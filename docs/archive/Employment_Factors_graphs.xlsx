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163270\Documents\GitHub\DEA\colombia-employment-factors\data\audit\"/>
    </mc:Choice>
  </mc:AlternateContent>
  <xr:revisionPtr revIDLastSave="0" documentId="13_ncr:1_{5985327E-83D0-4A6E-9945-AD10F4A84980}" xr6:coauthVersionLast="47" xr6:coauthVersionMax="47" xr10:uidLastSave="{00000000-0000-0000-0000-000000000000}"/>
  <bookViews>
    <workbookView xWindow="-108" yWindow="-108" windowWidth="41496" windowHeight="16776" activeTab="1" xr2:uid="{C8340EC4-BD15-44A0-A42F-B8FBBD08B070}"/>
  </bookViews>
  <sheets>
    <sheet name="Employment_Coefficients_Long_Fo" sheetId="1" r:id="rId1"/>
    <sheet name="Construction&amp;Manufacturing" sheetId="6" r:id="rId2"/>
    <sheet name="Cons&amp;Manu_old" sheetId="3" r:id="rId3"/>
    <sheet name="Cons&amp;Manu_data_old" sheetId="4" r:id="rId4"/>
  </sheets>
  <calcPr calcId="191029"/>
  <pivotCaches>
    <pivotCache cacheId="3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1BC9BB-8572-4A3B-9A81-A558A869DCDE}" keepAlive="1" name="Query - aaa" description="Connection to the 'aaa' query in the workbook." type="5" refreshedVersion="0" background="1">
    <dbPr connection="Provider=Microsoft.Mashup.OleDb.1;Data Source=$Workbook$;Location=aaa;Extended Properties=&quot;&quot;" command="SELECT * FROM [aaa]"/>
  </connection>
</connections>
</file>

<file path=xl/sharedStrings.xml><?xml version="1.0" encoding="utf-8"?>
<sst xmlns="http://schemas.openxmlformats.org/spreadsheetml/2006/main" count="761" uniqueCount="82">
  <si>
    <t>Technology</t>
  </si>
  <si>
    <t>Factor_Type</t>
  </si>
  <si>
    <t>Source</t>
  </si>
  <si>
    <t>Value</t>
  </si>
  <si>
    <t>Value_Numeric</t>
  </si>
  <si>
    <t>Coal power</t>
  </si>
  <si>
    <t>Construction</t>
  </si>
  <si>
    <t>Rutovitz 2015</t>
  </si>
  <si>
    <t>Manufacturing</t>
  </si>
  <si>
    <t>O&amp;M</t>
  </si>
  <si>
    <t>Fuel</t>
  </si>
  <si>
    <t>15.4 jobs/PJ</t>
  </si>
  <si>
    <t>Rutovitz 2025</t>
  </si>
  <si>
    <t>I-JEDI</t>
  </si>
  <si>
    <t>Notes</t>
  </si>
  <si>
    <t>Coal construction &amp; manufacturing from OECD JEDI model (Rutov 2015, Note 1). Fuel supply from Colombia data (15.4 jobs/PJ, 2,200 tonnes/worker-year). For LA adjustment: multiply OECD factors by 3.3 (2020 multiplier) if needed; these Rut 2015 LA factors already regional.</t>
  </si>
  <si>
    <t>Gas CCGT/OCGT</t>
  </si>
  <si>
    <t>World avg 15.1 jobs/PJ</t>
  </si>
  <si>
    <t>Gas construction &amp; manufacturing from OECD. Fuel supply: world average 15.1 jobs/PJ used (no LA-specific). For LA multiplier: apply 3.3Ã— to OECD if needed.</t>
  </si>
  <si>
    <t>Oil and diesel</t>
  </si>
  <si>
    <t>JEDI-US</t>
  </si>
  <si>
    <t>Oil/diesel: use gas employment factors per Rutovitz 2015 methodology (Table 1, Note Oil and diesel).</t>
  </si>
  <si>
    <t>Nuclear</t>
  </si>
  <si>
    <t>0.001 jobs/GWh final demand</t>
  </si>
  <si>
    <t>Nuclear: Rutovitz 2015 LA-specific from Brazil study (19.6 construct, 1.15 O&amp;M). Rutovitz 2025 does not update nuclear. I-JEDI-US available if needed.</t>
  </si>
  <si>
    <t>Biomass power</t>
  </si>
  <si>
    <t>81.1 jobs/PJ</t>
  </si>
  <si>
    <t>Biomass: Rutovitz 2015 uses OECD construction/O&amp;M but LA-specific fuel supply (81.1 jobs/PJ from Brazilian ABIB). I-JEDI Colombia provides 22.5 construct and 2.4 O&amp;M for 1,000 MW project.</t>
  </si>
  <si>
    <t>Hydro (large)</t>
  </si>
  <si>
    <t>Hydro large: Rutovitz 2015 no LA-specific construction factor available (use OECD 7.4 or apply 3.3Ã— multiplier). Rutovitz 2025 Australia: 7.36 construct, 2.3 O&amp;M; rescale to LA using labour productivity ratio (LA GDP/worker â‰ˆ 0.29Ã— OECD) â†’ multiply by ~3.4 to get LA estimate.</t>
  </si>
  <si>
    <t>Hydro (small)</t>
  </si>
  <si>
    <t>Hydro small: Rutovitz 2015 OECD 15.8 construct, 4.9 O&amp;M; no LA-specific. Apply 3.3Ã— multiplier for LA estimate.</t>
  </si>
  <si>
    <t>Onshore wind</t>
  </si>
  <si>
    <t>Wind onshore: Rutovitz 2015 LA-specific 6.7 construct, 0.6 O&amp;M from Brazil study (Simas &amp; Pacca 2015). Rutovitz 2025 Australia 2.65 construct; rescale to LA by ~3.4 factor â†’ ~9.0 construct estimate. I-JEDI Colombia 7.25 construct aligns better with LA context.</t>
  </si>
  <si>
    <t>Offshore wind</t>
  </si>
  <si>
    <t>Wind offshore: Rutovitz 2015 uses OECD (no LA-specific). Rutovitz 2025 Australia 1.5 construct, 0.28 O&amp;M; rescale by ~3 for LA â†’ ~4.5 construct estimate. Offshore development in Colombia is nascent; use with caution.</t>
  </si>
  <si>
    <t>Utility-scale solar PV</t>
  </si>
  <si>
    <t>Solar PV (utility): Rutovitz 2015 uses OECD 13 construct, 0.7 O&amp;M; no LA-specific. Rutovitz 2025 Australia 1.61 construct â†’ rescale by ~3â€“3.5 for LA â†’ ~5.5 construct (reflects larger modern plants). I-JEDI Colombia 9.97 for 1,000 MW is higher, suggesting finer labour intensity accounting.</t>
  </si>
  <si>
    <t>Rooftop solar PV</t>
  </si>
  <si>
    <t>Solar PV (rooftop): Rutovitz 2015 uses OECD 13 construct. Rutovitz 2025 Australia 4.19 construct; rescale by ~3â€“3.5 for LA â†’ ~14 construct. I-JEDI Colombia has distributed PV module; conversion to rooftop-equivalent needed.</t>
  </si>
  <si>
    <t>Solar thermal (CSP)</t>
  </si>
  <si>
    <t>Solar thermal (CSP): Rutovitz 2015 OECD 8 construct, 0.6 O&amp;M; no LA-specific. Not updated in Rutovitz 2025. Apply 3.3Ã— LA multiplier for estimate. Limited deployed capacity in Colombia.</t>
  </si>
  <si>
    <t>Geothermal</t>
  </si>
  <si>
    <t>Geothermal: Rutovitz 2015 OECD 6.8 construct, 0.4 O&amp;M; no LA-specific. Not updated in Rutovitz 2025. Limited geothermal potential in Colombia; I-JEDI may have estimates via custom region.</t>
  </si>
  <si>
    <t>Ocean</t>
  </si>
  <si>
    <t>Ocean (tidal/wave): Rutovitz 2015 OECD 10.2 construct, 0.6 O&amp;M; no LA-specific. Not updated in Rutovitz 2025. Early-stage technology; very limited Colombian data.</t>
  </si>
  <si>
    <t>Pumped hydro storage</t>
  </si>
  <si>
    <t>Pumped hydro storage (NEW in Rutovitz 2025): Australian data 2023 update. Use construction and O&amp;M factors from Rutovitz 2025 Australia hydro; rescale by ~3â€“3.5Ã— for LA labour intensity.</t>
  </si>
  <si>
    <t>Battery storage (grid)</t>
  </si>
  <si>
    <t>Battery storage (grid-scale, NEW in Rutovitz 2025): Rutovitz 2025 Australia 0.61 construct, 0.04 O&amp;M from 13 projects, 3.3 GW combined, 235 MW average capacity, 3.2 h storage. Rescale by ~3â€“3.5Ã— for LA â†’ ~2.1 construct, 0.14 O&amp;M (initial estimate).</t>
  </si>
  <si>
    <t>Battery storage (distributed)</t>
  </si>
  <si>
    <t>Transmission (single circuit)</t>
  </si>
  <si>
    <t>Transmission (distribution lines): Rutovitz 2025 not yet tabulated per GW; calculated from workforce projections. Estimate ~1â€“2 job-years/km for construction in Australia; rescale by 3â€“3.5Ã— for LA. OSeMOSYS-Colombia may express as jobs/circuit-km.</t>
  </si>
  <si>
    <t>Transmission (double circuit)</t>
  </si>
  <si>
    <t>Transmission (bulk transmission/high-voltage): Rutovitz 2025 Australia shows transmission peak workforce 2,000â€“2,500 in early 2020s under Step Change scenario. Emerging construction factors; recommend model sensitivity on transmission employment. Rescale Australian data by 3â€“3.5Ã— for LA.</t>
  </si>
  <si>
    <t>Transmission (other)</t>
  </si>
  <si>
    <t>Danish QBIS 2020</t>
  </si>
  <si>
    <t>Offshore wind (fixed)</t>
  </si>
  <si>
    <t>French QBIS 2023</t>
  </si>
  <si>
    <t>Offshore wind (floating)</t>
  </si>
  <si>
    <t>Sum of Value_Numeric</t>
  </si>
  <si>
    <t>Column Labels</t>
  </si>
  <si>
    <t>Row Labels</t>
  </si>
  <si>
    <t>Grand Total</t>
  </si>
  <si>
    <t>(Multiple Items)</t>
  </si>
  <si>
    <t>Job_Type</t>
  </si>
  <si>
    <t>Unit</t>
  </si>
  <si>
    <t>Direct</t>
  </si>
  <si>
    <t>job-yr/MW</t>
  </si>
  <si>
    <t>job/MW</t>
  </si>
  <si>
    <t>job/PJ</t>
  </si>
  <si>
    <t>Construction&amp;Manufacturing</t>
  </si>
  <si>
    <t>Indirect</t>
  </si>
  <si>
    <t>Induced</t>
  </si>
  <si>
    <t>job-yr/km</t>
  </si>
  <si>
    <t>job-yr/mile</t>
  </si>
  <si>
    <t>job/mile</t>
  </si>
  <si>
    <t>job-yr/MUSD</t>
  </si>
  <si>
    <t>Year</t>
  </si>
  <si>
    <t>QBIS 2020 Table 5 reports direct FTE for a 1 GW offshore wind farm commissioned in 2022. Construction&amp;Manufacturing is treated as cumulative direct job-years for development, wind turbine production, balance of plant, and installation/grid connection: 574+2655+2820+781=6830 FTE/GW = 6.83 job-yr/MW. Decommissioning (713 FTE/GW) is excluded. O&amp;M is reported as 1907 FTE/GW over 25 years and annualized to 1907/1000/25=0.0763 job/MW. Indirect and induced jobs are calculated separately in QBIS 2020 Tables 6-7, so these factors are direct jobs only.</t>
  </si>
  <si>
    <t>Offshore wind (fixed/floating)</t>
  </si>
  <si>
    <t>QBIS 2023 Figures 2.3-2.4 and Tables 2.1-2.2 report direct FTE/GW for 1 GW fixed and floating OWF models in 2022. Construction&amp;Manufacturing is treated as cumulative direct job-years excluding O&amp;M and decommissioning: fixed 131+2666+2608+996=6401 FTE/GW = 6.401 job-yr/MW; floating 208+4210+8348+1702=14468 FTE/GW = 14.468 job-yr/MW. O&amp;M is reported over 25 years and annualized: fixed 2640/1000/25=0.1056 job/MW; floating 6041/1000/25=0.2416 job/MW. QBIS 2023 Chapter 3 separately adds indirect FTE using an input-output model, so Figures 2.3-2.4 and Tables 2.1-2.2 are direct jobs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</si>
</sst>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[Employment_Factors_graphs.xlsx]Construction&amp;Manufacturing!PivotTable3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'Construction&amp;Manufacturing'!$B$4:$B$5</c:f>
              <c:strCache>
                <c:ptCount val="1"/>
                <c:pt idx="0">
                  <c:v>Danish QBIS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'Construction&amp;Manufacturing'!$A$6:$A$27</c:f>
              <c:strCache>
                <c:ptCount val="21"/>
                <c:pt idx="0">
                  <c:v>Battery storage (distributed)</c:v>
                </c:pt>
                <c:pt idx="1">
                  <c:v>Battery storage (grid)</c:v>
                </c:pt>
                <c:pt idx="2">
                  <c:v>Biomass power</c:v>
                </c:pt>
                <c:pt idx="3">
                  <c:v>Coal power</c:v>
                </c:pt>
                <c:pt idx="4">
                  <c:v>Gas CCGT/OCGT</c:v>
                </c:pt>
                <c:pt idx="5">
                  <c:v>Geothermal</c:v>
                </c:pt>
                <c:pt idx="6">
                  <c:v>Hydro (large)</c:v>
                </c:pt>
                <c:pt idx="7">
                  <c:v>Hydro (small)</c:v>
                </c:pt>
                <c:pt idx="8">
                  <c:v>Nuclear</c:v>
                </c:pt>
                <c:pt idx="9">
                  <c:v>Ocean</c:v>
                </c:pt>
                <c:pt idx="10">
                  <c:v>Offshore wind (fixed)</c:v>
                </c:pt>
                <c:pt idx="11">
                  <c:v>Offshore wind (floating)</c:v>
                </c:pt>
                <c:pt idx="12">
                  <c:v>Oil and diesel</c:v>
                </c:pt>
                <c:pt idx="13">
                  <c:v>Onshore wind</c:v>
                </c:pt>
                <c:pt idx="14">
                  <c:v>Pumped hydro storage</c:v>
                </c:pt>
                <c:pt idx="15">
                  <c:v>Rooftop solar PV</c:v>
                </c:pt>
                <c:pt idx="16">
                  <c:v>Solar thermal (CSP)</c:v>
                </c:pt>
                <c:pt idx="17">
                  <c:v>Transmission (double circuit)</c:v>
                </c:pt>
                <c:pt idx="18">
                  <c:v>Transmission (other)</c:v>
                </c:pt>
                <c:pt idx="19">
                  <c:v>Transmission (single circuit)</c:v>
                </c:pt>
                <c:pt idx="20">
                  <c:v>Utility-scale solar PV</c:v>
                </c:pt>
              </c:strCache>
            </c:strRef>
          </c:cat>
          <c:val>
            <c:numRef>
              <c:f>'Construction&amp;Manufacturing'!$B$6:$B$27</c:f>
              <c:numCache>
                <c:formatCode>General</c:formatCode>
                <c:ptCount val="21"/>
                <c:pt idx="10">
                  <c:v>6.83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0-4C8B-B0C2-A2B6EB8C959E}"/>
            </c:ext>
          </c:extLst>
        </c:ser>
        <c:ser>
          <c:idx val="1"/>
          <c:order val="1"/>
          <c:tx>
            <c:strRef>
              <c:f>'Construction&amp;Manufacturing'!$C$4:$C$5</c:f>
              <c:strCache>
                <c:ptCount val="1"/>
                <c:pt idx="0">
                  <c:v>French QBIS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'Construction&amp;Manufacturing'!$A$6:$A$27</c:f>
              <c:strCache>
                <c:ptCount val="21"/>
                <c:pt idx="0">
                  <c:v>Battery storage (distributed)</c:v>
                </c:pt>
                <c:pt idx="1">
                  <c:v>Battery storage (grid)</c:v>
                </c:pt>
                <c:pt idx="2">
                  <c:v>Biomass power</c:v>
                </c:pt>
                <c:pt idx="3">
                  <c:v>Coal power</c:v>
                </c:pt>
                <c:pt idx="4">
                  <c:v>Gas CCGT/OCGT</c:v>
                </c:pt>
                <c:pt idx="5">
                  <c:v>Geothermal</c:v>
                </c:pt>
                <c:pt idx="6">
                  <c:v>Hydro (large)</c:v>
                </c:pt>
                <c:pt idx="7">
                  <c:v>Hydro (small)</c:v>
                </c:pt>
                <c:pt idx="8">
                  <c:v>Nuclear</c:v>
                </c:pt>
                <c:pt idx="9">
                  <c:v>Ocean</c:v>
                </c:pt>
                <c:pt idx="10">
                  <c:v>Offshore wind (fixed)</c:v>
                </c:pt>
                <c:pt idx="11">
                  <c:v>Offshore wind (floating)</c:v>
                </c:pt>
                <c:pt idx="12">
                  <c:v>Oil and diesel</c:v>
                </c:pt>
                <c:pt idx="13">
                  <c:v>Onshore wind</c:v>
                </c:pt>
                <c:pt idx="14">
                  <c:v>Pumped hydro storage</c:v>
                </c:pt>
                <c:pt idx="15">
                  <c:v>Rooftop solar PV</c:v>
                </c:pt>
                <c:pt idx="16">
                  <c:v>Solar thermal (CSP)</c:v>
                </c:pt>
                <c:pt idx="17">
                  <c:v>Transmission (double circuit)</c:v>
                </c:pt>
                <c:pt idx="18">
                  <c:v>Transmission (other)</c:v>
                </c:pt>
                <c:pt idx="19">
                  <c:v>Transmission (single circuit)</c:v>
                </c:pt>
                <c:pt idx="20">
                  <c:v>Utility-scale solar PV</c:v>
                </c:pt>
              </c:strCache>
            </c:strRef>
          </c:cat>
          <c:val>
            <c:numRef>
              <c:f>'Construction&amp;Manufacturing'!$C$6:$C$27</c:f>
              <c:numCache>
                <c:formatCode>General</c:formatCode>
                <c:ptCount val="21"/>
                <c:pt idx="10">
                  <c:v>6.4009999999999998</c:v>
                </c:pt>
                <c:pt idx="11">
                  <c:v>14.468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0-4C8B-B0C2-A2B6EB8C959E}"/>
            </c:ext>
          </c:extLst>
        </c:ser>
        <c:ser>
          <c:idx val="2"/>
          <c:order val="2"/>
          <c:tx>
            <c:strRef>
              <c:f>'Construction&amp;Manufacturing'!$D$4:$D$5</c:f>
              <c:strCache>
                <c:ptCount val="1"/>
                <c:pt idx="0">
                  <c:v>I-JEDI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'Construction&amp;Manufacturing'!$A$6:$A$27</c:f>
              <c:strCache>
                <c:ptCount val="21"/>
                <c:pt idx="0">
                  <c:v>Battery storage (distributed)</c:v>
                </c:pt>
                <c:pt idx="1">
                  <c:v>Battery storage (grid)</c:v>
                </c:pt>
                <c:pt idx="2">
                  <c:v>Biomass power</c:v>
                </c:pt>
                <c:pt idx="3">
                  <c:v>Coal power</c:v>
                </c:pt>
                <c:pt idx="4">
                  <c:v>Gas CCGT/OCGT</c:v>
                </c:pt>
                <c:pt idx="5">
                  <c:v>Geothermal</c:v>
                </c:pt>
                <c:pt idx="6">
                  <c:v>Hydro (large)</c:v>
                </c:pt>
                <c:pt idx="7">
                  <c:v>Hydro (small)</c:v>
                </c:pt>
                <c:pt idx="8">
                  <c:v>Nuclear</c:v>
                </c:pt>
                <c:pt idx="9">
                  <c:v>Ocean</c:v>
                </c:pt>
                <c:pt idx="10">
                  <c:v>Offshore wind (fixed)</c:v>
                </c:pt>
                <c:pt idx="11">
                  <c:v>Offshore wind (floating)</c:v>
                </c:pt>
                <c:pt idx="12">
                  <c:v>Oil and diesel</c:v>
                </c:pt>
                <c:pt idx="13">
                  <c:v>Onshore wind</c:v>
                </c:pt>
                <c:pt idx="14">
                  <c:v>Pumped hydro storage</c:v>
                </c:pt>
                <c:pt idx="15">
                  <c:v>Rooftop solar PV</c:v>
                </c:pt>
                <c:pt idx="16">
                  <c:v>Solar thermal (CSP)</c:v>
                </c:pt>
                <c:pt idx="17">
                  <c:v>Transmission (double circuit)</c:v>
                </c:pt>
                <c:pt idx="18">
                  <c:v>Transmission (other)</c:v>
                </c:pt>
                <c:pt idx="19">
                  <c:v>Transmission (single circuit)</c:v>
                </c:pt>
                <c:pt idx="20">
                  <c:v>Utility-scale solar PV</c:v>
                </c:pt>
              </c:strCache>
            </c:strRef>
          </c:cat>
          <c:val>
            <c:numRef>
              <c:f>'Construction&amp;Manufacturing'!$D$6:$D$27</c:f>
              <c:numCache>
                <c:formatCode>General</c:formatCode>
                <c:ptCount val="21"/>
                <c:pt idx="2">
                  <c:v>22.523</c:v>
                </c:pt>
                <c:pt idx="5">
                  <c:v>5.0869999999999997</c:v>
                </c:pt>
                <c:pt idx="13">
                  <c:v>7.2469999999999999</c:v>
                </c:pt>
                <c:pt idx="20">
                  <c:v>9.9700000000000006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80-4C8B-B0C2-A2B6EB8C959E}"/>
            </c:ext>
          </c:extLst>
        </c:ser>
        <c:ser>
          <c:idx val="3"/>
          <c:order val="3"/>
          <c:tx>
            <c:strRef>
              <c:f>'Construction&amp;Manufacturing'!$E$4:$E$5</c:f>
              <c:strCache>
                <c:ptCount val="1"/>
                <c:pt idx="0">
                  <c:v>JEDI-US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'Construction&amp;Manufacturing'!$A$6:$A$27</c:f>
              <c:strCache>
                <c:ptCount val="21"/>
                <c:pt idx="0">
                  <c:v>Battery storage (distributed)</c:v>
                </c:pt>
                <c:pt idx="1">
                  <c:v>Battery storage (grid)</c:v>
                </c:pt>
                <c:pt idx="2">
                  <c:v>Biomass power</c:v>
                </c:pt>
                <c:pt idx="3">
                  <c:v>Coal power</c:v>
                </c:pt>
                <c:pt idx="4">
                  <c:v>Gas CCGT/OCGT</c:v>
                </c:pt>
                <c:pt idx="5">
                  <c:v>Geothermal</c:v>
                </c:pt>
                <c:pt idx="6">
                  <c:v>Hydro (large)</c:v>
                </c:pt>
                <c:pt idx="7">
                  <c:v>Hydro (small)</c:v>
                </c:pt>
                <c:pt idx="8">
                  <c:v>Nuclear</c:v>
                </c:pt>
                <c:pt idx="9">
                  <c:v>Ocean</c:v>
                </c:pt>
                <c:pt idx="10">
                  <c:v>Offshore wind (fixed)</c:v>
                </c:pt>
                <c:pt idx="11">
                  <c:v>Offshore wind (floating)</c:v>
                </c:pt>
                <c:pt idx="12">
                  <c:v>Oil and diesel</c:v>
                </c:pt>
                <c:pt idx="13">
                  <c:v>Onshore wind</c:v>
                </c:pt>
                <c:pt idx="14">
                  <c:v>Pumped hydro storage</c:v>
                </c:pt>
                <c:pt idx="15">
                  <c:v>Rooftop solar PV</c:v>
                </c:pt>
                <c:pt idx="16">
                  <c:v>Solar thermal (CSP)</c:v>
                </c:pt>
                <c:pt idx="17">
                  <c:v>Transmission (double circuit)</c:v>
                </c:pt>
                <c:pt idx="18">
                  <c:v>Transmission (other)</c:v>
                </c:pt>
                <c:pt idx="19">
                  <c:v>Transmission (single circuit)</c:v>
                </c:pt>
                <c:pt idx="20">
                  <c:v>Utility-scale solar PV</c:v>
                </c:pt>
              </c:strCache>
            </c:strRef>
          </c:cat>
          <c:val>
            <c:numRef>
              <c:f>'Construction&amp;Manufacturing'!$E$6:$E$27</c:f>
              <c:numCache>
                <c:formatCode>General</c:formatCode>
                <c:ptCount val="21"/>
                <c:pt idx="3">
                  <c:v>9.61</c:v>
                </c:pt>
                <c:pt idx="4">
                  <c:v>2.528</c:v>
                </c:pt>
                <c:pt idx="15">
                  <c:v>9.3279999999999994</c:v>
                </c:pt>
                <c:pt idx="19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80-4C8B-B0C2-A2B6EB8C959E}"/>
            </c:ext>
          </c:extLst>
        </c:ser>
        <c:ser>
          <c:idx val="4"/>
          <c:order val="4"/>
          <c:tx>
            <c:strRef>
              <c:f>'Construction&amp;Manufacturing'!$F$4:$F$5</c:f>
              <c:strCache>
                <c:ptCount val="1"/>
                <c:pt idx="0">
                  <c:v>Rutovitz 2015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'Construction&amp;Manufacturing'!$A$6:$A$27</c:f>
              <c:strCache>
                <c:ptCount val="21"/>
                <c:pt idx="0">
                  <c:v>Battery storage (distributed)</c:v>
                </c:pt>
                <c:pt idx="1">
                  <c:v>Battery storage (grid)</c:v>
                </c:pt>
                <c:pt idx="2">
                  <c:v>Biomass power</c:v>
                </c:pt>
                <c:pt idx="3">
                  <c:v>Coal power</c:v>
                </c:pt>
                <c:pt idx="4">
                  <c:v>Gas CCGT/OCGT</c:v>
                </c:pt>
                <c:pt idx="5">
                  <c:v>Geothermal</c:v>
                </c:pt>
                <c:pt idx="6">
                  <c:v>Hydro (large)</c:v>
                </c:pt>
                <c:pt idx="7">
                  <c:v>Hydro (small)</c:v>
                </c:pt>
                <c:pt idx="8">
                  <c:v>Nuclear</c:v>
                </c:pt>
                <c:pt idx="9">
                  <c:v>Ocean</c:v>
                </c:pt>
                <c:pt idx="10">
                  <c:v>Offshore wind (fixed)</c:v>
                </c:pt>
                <c:pt idx="11">
                  <c:v>Offshore wind (floating)</c:v>
                </c:pt>
                <c:pt idx="12">
                  <c:v>Oil and diesel</c:v>
                </c:pt>
                <c:pt idx="13">
                  <c:v>Onshore wind</c:v>
                </c:pt>
                <c:pt idx="14">
                  <c:v>Pumped hydro storage</c:v>
                </c:pt>
                <c:pt idx="15">
                  <c:v>Rooftop solar PV</c:v>
                </c:pt>
                <c:pt idx="16">
                  <c:v>Solar thermal (CSP)</c:v>
                </c:pt>
                <c:pt idx="17">
                  <c:v>Transmission (double circuit)</c:v>
                </c:pt>
                <c:pt idx="18">
                  <c:v>Transmission (other)</c:v>
                </c:pt>
                <c:pt idx="19">
                  <c:v>Transmission (single circuit)</c:v>
                </c:pt>
                <c:pt idx="20">
                  <c:v>Utility-scale solar PV</c:v>
                </c:pt>
              </c:strCache>
            </c:strRef>
          </c:cat>
          <c:val>
            <c:numRef>
              <c:f>'Construction&amp;Manufacturing'!$F$6:$F$27</c:f>
              <c:numCache>
                <c:formatCode>General</c:formatCode>
                <c:ptCount val="21"/>
                <c:pt idx="2">
                  <c:v>16.899999999999999</c:v>
                </c:pt>
                <c:pt idx="3">
                  <c:v>16.600000000000001</c:v>
                </c:pt>
                <c:pt idx="4">
                  <c:v>2.23</c:v>
                </c:pt>
                <c:pt idx="5">
                  <c:v>10.7</c:v>
                </c:pt>
                <c:pt idx="6">
                  <c:v>10.9</c:v>
                </c:pt>
                <c:pt idx="7">
                  <c:v>26.700000000000003</c:v>
                </c:pt>
                <c:pt idx="8">
                  <c:v>20.900000000000002</c:v>
                </c:pt>
                <c:pt idx="9">
                  <c:v>20.399999999999999</c:v>
                </c:pt>
                <c:pt idx="10">
                  <c:v>23.6</c:v>
                </c:pt>
                <c:pt idx="12">
                  <c:v>2.23</c:v>
                </c:pt>
                <c:pt idx="13">
                  <c:v>10.1</c:v>
                </c:pt>
                <c:pt idx="16">
                  <c:v>12</c:v>
                </c:pt>
                <c:pt idx="20">
                  <c:v>19.7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80-4C8B-B0C2-A2B6EB8C959E}"/>
            </c:ext>
          </c:extLst>
        </c:ser>
        <c:ser>
          <c:idx val="5"/>
          <c:order val="5"/>
          <c:tx>
            <c:strRef>
              <c:f>'Construction&amp;Manufacturing'!$G$4:$G$5</c:f>
              <c:strCache>
                <c:ptCount val="1"/>
                <c:pt idx="0">
                  <c:v>Rutovitz 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'Construction&amp;Manufacturing'!$A$6:$A$27</c:f>
              <c:strCache>
                <c:ptCount val="21"/>
                <c:pt idx="0">
                  <c:v>Battery storage (distributed)</c:v>
                </c:pt>
                <c:pt idx="1">
                  <c:v>Battery storage (grid)</c:v>
                </c:pt>
                <c:pt idx="2">
                  <c:v>Biomass power</c:v>
                </c:pt>
                <c:pt idx="3">
                  <c:v>Coal power</c:v>
                </c:pt>
                <c:pt idx="4">
                  <c:v>Gas CCGT/OCGT</c:v>
                </c:pt>
                <c:pt idx="5">
                  <c:v>Geothermal</c:v>
                </c:pt>
                <c:pt idx="6">
                  <c:v>Hydro (large)</c:v>
                </c:pt>
                <c:pt idx="7">
                  <c:v>Hydro (small)</c:v>
                </c:pt>
                <c:pt idx="8">
                  <c:v>Nuclear</c:v>
                </c:pt>
                <c:pt idx="9">
                  <c:v>Ocean</c:v>
                </c:pt>
                <c:pt idx="10">
                  <c:v>Offshore wind (fixed)</c:v>
                </c:pt>
                <c:pt idx="11">
                  <c:v>Offshore wind (floating)</c:v>
                </c:pt>
                <c:pt idx="12">
                  <c:v>Oil and diesel</c:v>
                </c:pt>
                <c:pt idx="13">
                  <c:v>Onshore wind</c:v>
                </c:pt>
                <c:pt idx="14">
                  <c:v>Pumped hydro storage</c:v>
                </c:pt>
                <c:pt idx="15">
                  <c:v>Rooftop solar PV</c:v>
                </c:pt>
                <c:pt idx="16">
                  <c:v>Solar thermal (CSP)</c:v>
                </c:pt>
                <c:pt idx="17">
                  <c:v>Transmission (double circuit)</c:v>
                </c:pt>
                <c:pt idx="18">
                  <c:v>Transmission (other)</c:v>
                </c:pt>
                <c:pt idx="19">
                  <c:v>Transmission (single circuit)</c:v>
                </c:pt>
                <c:pt idx="20">
                  <c:v>Utility-scale solar PV</c:v>
                </c:pt>
              </c:strCache>
            </c:strRef>
          </c:cat>
          <c:val>
            <c:numRef>
              <c:f>'Construction&amp;Manufacturing'!$G$6:$G$27</c:f>
              <c:numCache>
                <c:formatCode>General</c:formatCode>
                <c:ptCount val="21"/>
                <c:pt idx="0">
                  <c:v>4.75</c:v>
                </c:pt>
                <c:pt idx="1">
                  <c:v>0.84000000000000008</c:v>
                </c:pt>
                <c:pt idx="3">
                  <c:v>16.490000000000002</c:v>
                </c:pt>
                <c:pt idx="4">
                  <c:v>9.66</c:v>
                </c:pt>
                <c:pt idx="10">
                  <c:v>15.18</c:v>
                </c:pt>
                <c:pt idx="13">
                  <c:v>4.1899999999999995</c:v>
                </c:pt>
                <c:pt idx="14">
                  <c:v>13.58</c:v>
                </c:pt>
                <c:pt idx="15">
                  <c:v>7.0500000000000007</c:v>
                </c:pt>
                <c:pt idx="17">
                  <c:v>3.7</c:v>
                </c:pt>
                <c:pt idx="18">
                  <c:v>1.9</c:v>
                </c:pt>
                <c:pt idx="19">
                  <c:v>0.7</c:v>
                </c:pt>
                <c:pt idx="20">
                  <c:v>4.6900000000000004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80-4C8B-B0C2-A2B6EB8C9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2649696"/>
        <c:axId val="1122649216"/>
      </c:barChart>
      <c:catAx>
        <c:axId val="112264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49216"/>
        <c:crosses val="autoZero"/>
        <c:auto val="1"/>
        <c:lblAlgn val="ctr"/>
        <c:lblOffset val="100"/>
        <c:noMultiLvlLbl val="0"/>
      </c:catAx>
      <c:valAx>
        <c:axId val="112264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4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I-JEDI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2"/>
              <c:pt idx="0">
                <c:v>Battery storage (distributed)</c:v>
              </c:pt>
              <c:pt idx="1">
                <c:v>Battery storage (grid)</c:v>
              </c:pt>
              <c:pt idx="2">
                <c:v>Biomass power</c:v>
              </c:pt>
              <c:pt idx="3">
                <c:v>Coal power</c:v>
              </c:pt>
              <c:pt idx="4">
                <c:v>Gas CCGT/OCGT</c:v>
              </c:pt>
              <c:pt idx="5">
                <c:v>Geothermal</c:v>
              </c:pt>
              <c:pt idx="6">
                <c:v>Hydro (large)</c:v>
              </c:pt>
              <c:pt idx="7">
                <c:v>Hydro (small)</c:v>
              </c:pt>
              <c:pt idx="8">
                <c:v>Nuclear</c:v>
              </c:pt>
              <c:pt idx="9">
                <c:v>Ocean</c:v>
              </c:pt>
              <c:pt idx="10">
                <c:v>Offshore wind</c:v>
              </c:pt>
              <c:pt idx="11">
                <c:v>Offshore wind (fixed)</c:v>
              </c:pt>
              <c:pt idx="12">
                <c:v>Offshore wind (floating)</c:v>
              </c:pt>
              <c:pt idx="13">
                <c:v>Oil and diesel</c:v>
              </c:pt>
              <c:pt idx="14">
                <c:v>Onshore wind</c:v>
              </c:pt>
              <c:pt idx="15">
                <c:v>Pumped hydro storage</c:v>
              </c:pt>
              <c:pt idx="16">
                <c:v>Rooftop solar PV</c:v>
              </c:pt>
              <c:pt idx="17">
                <c:v>Solar thermal (CSP)</c:v>
              </c:pt>
              <c:pt idx="18">
                <c:v>Transmission (double circuit)</c:v>
              </c:pt>
              <c:pt idx="19">
                <c:v>Transmission (other)</c:v>
              </c:pt>
              <c:pt idx="20">
                <c:v>Transmission (single circuit)</c:v>
              </c:pt>
              <c:pt idx="21">
                <c:v>Utility-scale solar PV</c:v>
              </c:pt>
            </c:strLit>
          </c:cat>
          <c:val>
            <c:numLit>
              <c:formatCode>General</c:formatCode>
              <c:ptCount val="22"/>
              <c:pt idx="0">
                <c:v>0</c:v>
              </c:pt>
              <c:pt idx="1">
                <c:v>0</c:v>
              </c:pt>
              <c:pt idx="2">
                <c:v>22.523</c:v>
              </c:pt>
              <c:pt idx="3">
                <c:v>9.61</c:v>
              </c:pt>
              <c:pt idx="4">
                <c:v>2.528</c:v>
              </c:pt>
              <c:pt idx="5">
                <c:v>5.0869999999999997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7.2469999999999999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0.12</c:v>
              </c:pt>
              <c:pt idx="21">
                <c:v>9.9700000000000006</c:v>
              </c:pt>
            </c:numLit>
          </c:val>
          <c:extLst>
            <c:ext xmlns:c16="http://schemas.microsoft.com/office/drawing/2014/chart" uri="{C3380CC4-5D6E-409C-BE32-E72D297353CC}">
              <c16:uniqueId val="{00000000-AD71-4390-960A-86A38062297D}"/>
            </c:ext>
          </c:extLst>
        </c:ser>
        <c:ser>
          <c:idx val="1"/>
          <c:order val="1"/>
          <c:tx>
            <c:v>Rutovitz 2015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2"/>
              <c:pt idx="0">
                <c:v>Battery storage (distributed)</c:v>
              </c:pt>
              <c:pt idx="1">
                <c:v>Battery storage (grid)</c:v>
              </c:pt>
              <c:pt idx="2">
                <c:v>Biomass power</c:v>
              </c:pt>
              <c:pt idx="3">
                <c:v>Coal power</c:v>
              </c:pt>
              <c:pt idx="4">
                <c:v>Gas CCGT/OCGT</c:v>
              </c:pt>
              <c:pt idx="5">
                <c:v>Geothermal</c:v>
              </c:pt>
              <c:pt idx="6">
                <c:v>Hydro (large)</c:v>
              </c:pt>
              <c:pt idx="7">
                <c:v>Hydro (small)</c:v>
              </c:pt>
              <c:pt idx="8">
                <c:v>Nuclear</c:v>
              </c:pt>
              <c:pt idx="9">
                <c:v>Ocean</c:v>
              </c:pt>
              <c:pt idx="10">
                <c:v>Offshore wind</c:v>
              </c:pt>
              <c:pt idx="11">
                <c:v>Offshore wind (fixed)</c:v>
              </c:pt>
              <c:pt idx="12">
                <c:v>Offshore wind (floating)</c:v>
              </c:pt>
              <c:pt idx="13">
                <c:v>Oil and diesel</c:v>
              </c:pt>
              <c:pt idx="14">
                <c:v>Onshore wind</c:v>
              </c:pt>
              <c:pt idx="15">
                <c:v>Pumped hydro storage</c:v>
              </c:pt>
              <c:pt idx="16">
                <c:v>Rooftop solar PV</c:v>
              </c:pt>
              <c:pt idx="17">
                <c:v>Solar thermal (CSP)</c:v>
              </c:pt>
              <c:pt idx="18">
                <c:v>Transmission (double circuit)</c:v>
              </c:pt>
              <c:pt idx="19">
                <c:v>Transmission (other)</c:v>
              </c:pt>
              <c:pt idx="20">
                <c:v>Transmission (single circuit)</c:v>
              </c:pt>
              <c:pt idx="21">
                <c:v>Utility-scale solar PV</c:v>
              </c:pt>
            </c:strLit>
          </c:cat>
          <c:val>
            <c:numLit>
              <c:formatCode>General</c:formatCode>
              <c:ptCount val="22"/>
              <c:pt idx="0">
                <c:v>0</c:v>
              </c:pt>
              <c:pt idx="1">
                <c:v>0</c:v>
              </c:pt>
              <c:pt idx="2">
                <c:v>16.899999999999999</c:v>
              </c:pt>
              <c:pt idx="3">
                <c:v>16.600000000000001</c:v>
              </c:pt>
              <c:pt idx="4">
                <c:v>2.23</c:v>
              </c:pt>
              <c:pt idx="5">
                <c:v>10.7</c:v>
              </c:pt>
              <c:pt idx="6">
                <c:v>10.9</c:v>
              </c:pt>
              <c:pt idx="7">
                <c:v>26.700000000000003</c:v>
              </c:pt>
              <c:pt idx="8">
                <c:v>20.900000000000002</c:v>
              </c:pt>
              <c:pt idx="9">
                <c:v>20.399999999999999</c:v>
              </c:pt>
              <c:pt idx="10">
                <c:v>23.6</c:v>
              </c:pt>
              <c:pt idx="11">
                <c:v>0</c:v>
              </c:pt>
              <c:pt idx="12">
                <c:v>0</c:v>
              </c:pt>
              <c:pt idx="13">
                <c:v>2.23</c:v>
              </c:pt>
              <c:pt idx="14">
                <c:v>10.1</c:v>
              </c:pt>
              <c:pt idx="15">
                <c:v>0</c:v>
              </c:pt>
              <c:pt idx="16">
                <c:v>0</c:v>
              </c:pt>
              <c:pt idx="17">
                <c:v>12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19.7</c:v>
              </c:pt>
            </c:numLit>
          </c:val>
          <c:extLst>
            <c:ext xmlns:c16="http://schemas.microsoft.com/office/drawing/2014/chart" uri="{C3380CC4-5D6E-409C-BE32-E72D297353CC}">
              <c16:uniqueId val="{00000001-AD71-4390-960A-86A38062297D}"/>
            </c:ext>
          </c:extLst>
        </c:ser>
        <c:ser>
          <c:idx val="2"/>
          <c:order val="2"/>
          <c:tx>
            <c:v>Rutovitz 2025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2"/>
              <c:pt idx="0">
                <c:v>Battery storage (distributed)</c:v>
              </c:pt>
              <c:pt idx="1">
                <c:v>Battery storage (grid)</c:v>
              </c:pt>
              <c:pt idx="2">
                <c:v>Biomass power</c:v>
              </c:pt>
              <c:pt idx="3">
                <c:v>Coal power</c:v>
              </c:pt>
              <c:pt idx="4">
                <c:v>Gas CCGT/OCGT</c:v>
              </c:pt>
              <c:pt idx="5">
                <c:v>Geothermal</c:v>
              </c:pt>
              <c:pt idx="6">
                <c:v>Hydro (large)</c:v>
              </c:pt>
              <c:pt idx="7">
                <c:v>Hydro (small)</c:v>
              </c:pt>
              <c:pt idx="8">
                <c:v>Nuclear</c:v>
              </c:pt>
              <c:pt idx="9">
                <c:v>Ocean</c:v>
              </c:pt>
              <c:pt idx="10">
                <c:v>Offshore wind</c:v>
              </c:pt>
              <c:pt idx="11">
                <c:v>Offshore wind (fixed)</c:v>
              </c:pt>
              <c:pt idx="12">
                <c:v>Offshore wind (floating)</c:v>
              </c:pt>
              <c:pt idx="13">
                <c:v>Oil and diesel</c:v>
              </c:pt>
              <c:pt idx="14">
                <c:v>Onshore wind</c:v>
              </c:pt>
              <c:pt idx="15">
                <c:v>Pumped hydro storage</c:v>
              </c:pt>
              <c:pt idx="16">
                <c:v>Rooftop solar PV</c:v>
              </c:pt>
              <c:pt idx="17">
                <c:v>Solar thermal (CSP)</c:v>
              </c:pt>
              <c:pt idx="18">
                <c:v>Transmission (double circuit)</c:v>
              </c:pt>
              <c:pt idx="19">
                <c:v>Transmission (other)</c:v>
              </c:pt>
              <c:pt idx="20">
                <c:v>Transmission (single circuit)</c:v>
              </c:pt>
              <c:pt idx="21">
                <c:v>Utility-scale solar PV</c:v>
              </c:pt>
            </c:strLit>
          </c:cat>
          <c:val>
            <c:numLit>
              <c:formatCode>General</c:formatCode>
              <c:ptCount val="22"/>
              <c:pt idx="0">
                <c:v>4.75</c:v>
              </c:pt>
              <c:pt idx="1">
                <c:v>0.84000000000000008</c:v>
              </c:pt>
              <c:pt idx="2">
                <c:v>0</c:v>
              </c:pt>
              <c:pt idx="3">
                <c:v>16.490000000000002</c:v>
              </c:pt>
              <c:pt idx="4">
                <c:v>2.19</c:v>
              </c:pt>
              <c:pt idx="5">
                <c:v>0</c:v>
              </c:pt>
              <c:pt idx="6">
                <c:v>9.66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15.18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4.1899999999999995</c:v>
              </c:pt>
              <c:pt idx="15">
                <c:v>13.58</c:v>
              </c:pt>
              <c:pt idx="16">
                <c:v>7.0500000000000007</c:v>
              </c:pt>
              <c:pt idx="17">
                <c:v>0</c:v>
              </c:pt>
              <c:pt idx="18">
                <c:v>3.7</c:v>
              </c:pt>
              <c:pt idx="19">
                <c:v>1.9</c:v>
              </c:pt>
              <c:pt idx="20">
                <c:v>0.7</c:v>
              </c:pt>
              <c:pt idx="21">
                <c:v>4.6900000000000004</c:v>
              </c:pt>
            </c:numLit>
          </c:val>
          <c:extLst>
            <c:ext xmlns:c16="http://schemas.microsoft.com/office/drawing/2014/chart" uri="{C3380CC4-5D6E-409C-BE32-E72D297353CC}">
              <c16:uniqueId val="{00000002-AD71-4390-960A-86A38062297D}"/>
            </c:ext>
          </c:extLst>
        </c:ser>
        <c:ser>
          <c:idx val="3"/>
          <c:order val="3"/>
          <c:tx>
            <c:v>Danish QBIS 2020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22"/>
              <c:pt idx="0">
                <c:v>Battery storage (distributed)</c:v>
              </c:pt>
              <c:pt idx="1">
                <c:v>Battery storage (grid)</c:v>
              </c:pt>
              <c:pt idx="2">
                <c:v>Biomass power</c:v>
              </c:pt>
              <c:pt idx="3">
                <c:v>Coal power</c:v>
              </c:pt>
              <c:pt idx="4">
                <c:v>Gas CCGT/OCGT</c:v>
              </c:pt>
              <c:pt idx="5">
                <c:v>Geothermal</c:v>
              </c:pt>
              <c:pt idx="6">
                <c:v>Hydro (large)</c:v>
              </c:pt>
              <c:pt idx="7">
                <c:v>Hydro (small)</c:v>
              </c:pt>
              <c:pt idx="8">
                <c:v>Nuclear</c:v>
              </c:pt>
              <c:pt idx="9">
                <c:v>Ocean</c:v>
              </c:pt>
              <c:pt idx="10">
                <c:v>Offshore wind</c:v>
              </c:pt>
              <c:pt idx="11">
                <c:v>Offshore wind (fixed)</c:v>
              </c:pt>
              <c:pt idx="12">
                <c:v>Offshore wind (floating)</c:v>
              </c:pt>
              <c:pt idx="13">
                <c:v>Oil and diesel</c:v>
              </c:pt>
              <c:pt idx="14">
                <c:v>Onshore wind</c:v>
              </c:pt>
              <c:pt idx="15">
                <c:v>Pumped hydro storage</c:v>
              </c:pt>
              <c:pt idx="16">
                <c:v>Rooftop solar PV</c:v>
              </c:pt>
              <c:pt idx="17">
                <c:v>Solar thermal (CSP)</c:v>
              </c:pt>
              <c:pt idx="18">
                <c:v>Transmission (double circuit)</c:v>
              </c:pt>
              <c:pt idx="19">
                <c:v>Transmission (other)</c:v>
              </c:pt>
              <c:pt idx="20">
                <c:v>Transmission (single circuit)</c:v>
              </c:pt>
              <c:pt idx="21">
                <c:v>Utility-scale solar PV</c:v>
              </c:pt>
            </c:strLit>
          </c:cat>
          <c:val>
            <c:numLit>
              <c:formatCode>General</c:formatCode>
              <c:ptCount val="2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7.5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AD71-4390-960A-86A38062297D}"/>
            </c:ext>
          </c:extLst>
        </c:ser>
        <c:ser>
          <c:idx val="4"/>
          <c:order val="4"/>
          <c:tx>
            <c:v>French QBIS 2023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22"/>
              <c:pt idx="0">
                <c:v>Battery storage (distributed)</c:v>
              </c:pt>
              <c:pt idx="1">
                <c:v>Battery storage (grid)</c:v>
              </c:pt>
              <c:pt idx="2">
                <c:v>Biomass power</c:v>
              </c:pt>
              <c:pt idx="3">
                <c:v>Coal power</c:v>
              </c:pt>
              <c:pt idx="4">
                <c:v>Gas CCGT/OCGT</c:v>
              </c:pt>
              <c:pt idx="5">
                <c:v>Geothermal</c:v>
              </c:pt>
              <c:pt idx="6">
                <c:v>Hydro (large)</c:v>
              </c:pt>
              <c:pt idx="7">
                <c:v>Hydro (small)</c:v>
              </c:pt>
              <c:pt idx="8">
                <c:v>Nuclear</c:v>
              </c:pt>
              <c:pt idx="9">
                <c:v>Ocean</c:v>
              </c:pt>
              <c:pt idx="10">
                <c:v>Offshore wind</c:v>
              </c:pt>
              <c:pt idx="11">
                <c:v>Offshore wind (fixed)</c:v>
              </c:pt>
              <c:pt idx="12">
                <c:v>Offshore wind (floating)</c:v>
              </c:pt>
              <c:pt idx="13">
                <c:v>Oil and diesel</c:v>
              </c:pt>
              <c:pt idx="14">
                <c:v>Onshore wind</c:v>
              </c:pt>
              <c:pt idx="15">
                <c:v>Pumped hydro storage</c:v>
              </c:pt>
              <c:pt idx="16">
                <c:v>Rooftop solar PV</c:v>
              </c:pt>
              <c:pt idx="17">
                <c:v>Solar thermal (CSP)</c:v>
              </c:pt>
              <c:pt idx="18">
                <c:v>Transmission (double circuit)</c:v>
              </c:pt>
              <c:pt idx="19">
                <c:v>Transmission (other)</c:v>
              </c:pt>
              <c:pt idx="20">
                <c:v>Transmission (single circuit)</c:v>
              </c:pt>
              <c:pt idx="21">
                <c:v>Utility-scale solar PV</c:v>
              </c:pt>
            </c:strLit>
          </c:cat>
          <c:val>
            <c:numLit>
              <c:formatCode>General</c:formatCode>
              <c:ptCount val="2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6.81</c:v>
              </c:pt>
              <c:pt idx="12">
                <c:v>14.71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AD71-4390-960A-86A380622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996704"/>
        <c:axId val="1037864640"/>
      </c:barChart>
      <c:catAx>
        <c:axId val="103299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864640"/>
        <c:crosses val="autoZero"/>
        <c:auto val="1"/>
        <c:lblAlgn val="ctr"/>
        <c:lblOffset val="100"/>
        <c:noMultiLvlLbl val="0"/>
      </c:catAx>
      <c:valAx>
        <c:axId val="10378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dirty="0"/>
                  <a:t>Construction</a:t>
                </a:r>
                <a:r>
                  <a:rPr lang="en-GB" baseline="0" dirty="0"/>
                  <a:t> &amp; Manufacturing </a:t>
                </a:r>
                <a:br>
                  <a:rPr lang="en-GB" baseline="0" dirty="0"/>
                </a:br>
                <a:r>
                  <a:rPr lang="en-GB" baseline="0" dirty="0"/>
                  <a:t>(FTE-</a:t>
                </a:r>
                <a:r>
                  <a:rPr lang="en-GB" baseline="0" dirty="0" err="1"/>
                  <a:t>año</a:t>
                </a:r>
                <a:r>
                  <a:rPr lang="en-GB" baseline="0" dirty="0"/>
                  <a:t>/MW)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99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563880</xdr:colOff>
      <xdr:row>8</xdr:row>
      <xdr:rowOff>91440</xdr:rowOff>
    </xdr:from>
    <xdr:to>
      <xdr:col>22</xdr:col>
      <xdr:colOff>403860</xdr:colOff>
      <xdr:row>27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9FF4AE-FC91-25F6-6790-C20E29543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</xdr:row>
      <xdr:rowOff>133350</xdr:rowOff>
    </xdr:from>
    <xdr:to>
      <xdr:col>19</xdr:col>
      <xdr:colOff>356418</xdr:colOff>
      <xdr:row>16</xdr:row>
      <xdr:rowOff>178439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57E8E-95ED-9193-B892-EEBD4CE21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esco Michele Lovat Arranz" refreshedDate="46216.546732523151" createdVersion="8" refreshedVersion="8" minRefreshableVersion="3" recordCount="144" xr:uid="{1B582E65-8570-4FE6-817D-32F373FBF9C0}">
  <cacheSource type="worksheet">
    <worksheetSource ref="A1:H145" sheet="Employment_Coefficients_Long_Fo"/>
  </cacheSource>
  <cacheFields count="8">
    <cacheField name="Source" numFmtId="0">
      <sharedItems count="7">
        <s v="Rutovitz 2015"/>
        <s v="Rutovitz 2025"/>
        <s v="JEDI-US"/>
        <s v="Notes"/>
        <s v="I-JEDI"/>
        <s v="Danish QBIS 2020"/>
        <s v="French QBIS 2023"/>
      </sharedItems>
    </cacheField>
    <cacheField name="Technology" numFmtId="0">
      <sharedItems count="22">
        <s v="Coal power"/>
        <s v="Gas CCGT/OCGT"/>
        <s v="Oil and diesel"/>
        <s v="Nuclear"/>
        <s v="Biomass power"/>
        <s v="Hydro (large)"/>
        <s v="Hydro (small)"/>
        <s v="Onshore wind"/>
        <s v="Offshore wind (fixed)"/>
        <s v="Utility-scale solar PV"/>
        <s v="Rooftop solar PV"/>
        <s v="Solar thermal (CSP)"/>
        <s v="Geothermal"/>
        <s v="Ocean"/>
        <s v="Pumped hydro storage"/>
        <s v="Battery storage (grid)"/>
        <s v="Battery storage (distributed)"/>
        <s v="Transmission (single circuit)"/>
        <s v="Transmission (double circuit)"/>
        <s v="Transmission (other)"/>
        <s v="Offshore wind (floating)"/>
        <s v="Offshore wind (fixed/floating)"/>
      </sharedItems>
    </cacheField>
    <cacheField name="Factor_Type" numFmtId="0">
      <sharedItems containsBlank="1" count="6">
        <s v="Construction"/>
        <s v="Manufacturing"/>
        <s v="O&amp;M"/>
        <s v="Fuel"/>
        <s v="Construction&amp;Manufacturing"/>
        <m/>
      </sharedItems>
    </cacheField>
    <cacheField name="Job_Type" numFmtId="0">
      <sharedItems containsBlank="1" count="5">
        <s v="Direct"/>
        <s v="Fuel"/>
        <s v="Indirect"/>
        <s v="Induced"/>
        <m/>
      </sharedItems>
    </cacheField>
    <cacheField name="Unit" numFmtId="0">
      <sharedItems containsBlank="1"/>
    </cacheField>
    <cacheField name="Year" numFmtId="0">
      <sharedItems containsSemiMixedTypes="0" containsString="0" containsNumber="1" containsInteger="1" minValue="2015" maxValue="2024"/>
    </cacheField>
    <cacheField name="Value" numFmtId="0">
      <sharedItems containsMixedTypes="1" containsNumber="1" minValue="0" maxValue="14468" longText="1"/>
    </cacheField>
    <cacheField name="Value_Numeric" numFmtId="0">
      <sharedItems containsString="0" containsBlank="1" containsNumber="1" minValue="0" maxValue="81.09999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x v="0"/>
    <x v="0"/>
    <x v="0"/>
    <x v="0"/>
    <s v="job-yr/MW"/>
    <n v="2015"/>
    <n v="11.2"/>
    <n v="11.2"/>
  </r>
  <r>
    <x v="0"/>
    <x v="0"/>
    <x v="1"/>
    <x v="0"/>
    <s v="job-yr/MW"/>
    <n v="2015"/>
    <n v="5.4"/>
    <n v="5.4"/>
  </r>
  <r>
    <x v="0"/>
    <x v="0"/>
    <x v="2"/>
    <x v="0"/>
    <s v="job/MW"/>
    <n v="2015"/>
    <n v="0.14000000000000001"/>
    <n v="0.14000000000000001"/>
  </r>
  <r>
    <x v="0"/>
    <x v="0"/>
    <x v="3"/>
    <x v="1"/>
    <s v="job/PJ"/>
    <n v="2015"/>
    <s v="15.4 jobs/PJ"/>
    <n v="15.4"/>
  </r>
  <r>
    <x v="1"/>
    <x v="0"/>
    <x v="0"/>
    <x v="0"/>
    <s v="job-yr/MW"/>
    <n v="2024"/>
    <n v="11.08"/>
    <n v="11.08"/>
  </r>
  <r>
    <x v="1"/>
    <x v="0"/>
    <x v="1"/>
    <x v="0"/>
    <s v="job-yr/MW"/>
    <n v="2024"/>
    <n v="5.41"/>
    <n v="5.41"/>
  </r>
  <r>
    <x v="1"/>
    <x v="0"/>
    <x v="2"/>
    <x v="0"/>
    <s v="job/MW"/>
    <n v="2024"/>
    <n v="0.22"/>
    <n v="0.22"/>
  </r>
  <r>
    <x v="2"/>
    <x v="0"/>
    <x v="4"/>
    <x v="0"/>
    <s v="job-yr/MW"/>
    <n v="2024"/>
    <n v="9.61"/>
    <n v="9.61"/>
  </r>
  <r>
    <x v="2"/>
    <x v="0"/>
    <x v="2"/>
    <x v="0"/>
    <s v="job/MW"/>
    <n v="2024"/>
    <n v="0.14299999999999999"/>
    <n v="0.14299999999999999"/>
  </r>
  <r>
    <x v="2"/>
    <x v="0"/>
    <x v="4"/>
    <x v="2"/>
    <s v="job-yr/MW"/>
    <n v="2024"/>
    <n v="12.231999999999999"/>
    <n v="12.231999999999999"/>
  </r>
  <r>
    <x v="2"/>
    <x v="0"/>
    <x v="2"/>
    <x v="2"/>
    <s v="job/MW"/>
    <n v="2024"/>
    <n v="0.78900000000000003"/>
    <n v="0.78900000000000003"/>
  </r>
  <r>
    <x v="2"/>
    <x v="0"/>
    <x v="4"/>
    <x v="3"/>
    <s v="job-yr/MW"/>
    <n v="2024"/>
    <n v="11.301"/>
    <n v="11.301"/>
  </r>
  <r>
    <x v="2"/>
    <x v="0"/>
    <x v="2"/>
    <x v="3"/>
    <s v="job/MW"/>
    <n v="2024"/>
    <n v="0.56100000000000005"/>
    <n v="0.56100000000000005"/>
  </r>
  <r>
    <x v="3"/>
    <x v="0"/>
    <x v="5"/>
    <x v="4"/>
    <m/>
    <n v="2024"/>
    <s v="Coal construction &amp; manufacturing from OECD JEDI model (Rutov 2015, Note 1). Fuel supply from Colombia data (15.4 jobs/PJ, 2,200 tonnes/worker-year). For LA adjustment: multiply OECD factors by 3.3 (2020 multiplier) if needed; these Rut 2015 LA factors already regional."/>
    <m/>
  </r>
  <r>
    <x v="0"/>
    <x v="1"/>
    <x v="0"/>
    <x v="0"/>
    <s v="job-yr/MW"/>
    <n v="2015"/>
    <n v="1.3"/>
    <n v="1.3"/>
  </r>
  <r>
    <x v="0"/>
    <x v="1"/>
    <x v="1"/>
    <x v="0"/>
    <s v="job-yr/MW"/>
    <n v="2015"/>
    <n v="0.93"/>
    <n v="0.93"/>
  </r>
  <r>
    <x v="0"/>
    <x v="1"/>
    <x v="2"/>
    <x v="0"/>
    <s v="job/MW"/>
    <n v="2015"/>
    <n v="0.14000000000000001"/>
    <n v="0.14000000000000001"/>
  </r>
  <r>
    <x v="0"/>
    <x v="1"/>
    <x v="3"/>
    <x v="1"/>
    <s v="job/PJ"/>
    <n v="2015"/>
    <s v="World avg 15.1 jobs/PJ"/>
    <n v="15.1"/>
  </r>
  <r>
    <x v="1"/>
    <x v="1"/>
    <x v="0"/>
    <x v="0"/>
    <s v="job-yr/MW"/>
    <n v="2024"/>
    <n v="7.36"/>
    <n v="7.36"/>
  </r>
  <r>
    <x v="1"/>
    <x v="1"/>
    <x v="1"/>
    <x v="0"/>
    <s v="job-yr/MW"/>
    <n v="2024"/>
    <n v="2.2999999999999998"/>
    <n v="2.2999999999999998"/>
  </r>
  <r>
    <x v="1"/>
    <x v="1"/>
    <x v="2"/>
    <x v="0"/>
    <s v="job/MW"/>
    <n v="2024"/>
    <n v="0.14000000000000001"/>
    <n v="0.14000000000000001"/>
  </r>
  <r>
    <x v="2"/>
    <x v="1"/>
    <x v="4"/>
    <x v="0"/>
    <s v="job-yr/MW"/>
    <n v="2024"/>
    <n v="2.528"/>
    <n v="2.528"/>
  </r>
  <r>
    <x v="2"/>
    <x v="1"/>
    <x v="2"/>
    <x v="0"/>
    <s v="job/MW"/>
    <n v="2024"/>
    <n v="5.0999999999999997E-2"/>
    <n v="5.0999999999999997E-2"/>
  </r>
  <r>
    <x v="3"/>
    <x v="1"/>
    <x v="5"/>
    <x v="4"/>
    <m/>
    <n v="2024"/>
    <s v="Gas construction &amp; manufacturing from OECD. Fuel supply: world average 15.1 jobs/PJ used (no LA-specific). For LA multiplier: apply 3.3Ã— to OECD if needed."/>
    <m/>
  </r>
  <r>
    <x v="0"/>
    <x v="2"/>
    <x v="0"/>
    <x v="0"/>
    <s v="job-yr/MW"/>
    <n v="2015"/>
    <n v="1.3"/>
    <n v="1.3"/>
  </r>
  <r>
    <x v="0"/>
    <x v="2"/>
    <x v="1"/>
    <x v="0"/>
    <s v="job-yr/MW"/>
    <n v="2015"/>
    <n v="0.93"/>
    <n v="0.93"/>
  </r>
  <r>
    <x v="0"/>
    <x v="2"/>
    <x v="2"/>
    <x v="0"/>
    <s v="job/MW"/>
    <n v="2015"/>
    <n v="0.14000000000000001"/>
    <n v="0.14000000000000001"/>
  </r>
  <r>
    <x v="0"/>
    <x v="2"/>
    <x v="3"/>
    <x v="1"/>
    <s v="job/PJ"/>
    <n v="2015"/>
    <s v="World avg 15.1 jobs/PJ"/>
    <n v="15.1"/>
  </r>
  <r>
    <x v="3"/>
    <x v="2"/>
    <x v="5"/>
    <x v="4"/>
    <m/>
    <n v="2024"/>
    <s v="Oil/diesel: use gas employment factors per Rutovitz 2015 methodology (Table 1, Note Oil and diesel)."/>
    <m/>
  </r>
  <r>
    <x v="0"/>
    <x v="3"/>
    <x v="0"/>
    <x v="0"/>
    <s v="job-yr/MW"/>
    <n v="2015"/>
    <n v="19.600000000000001"/>
    <n v="19.600000000000001"/>
  </r>
  <r>
    <x v="0"/>
    <x v="3"/>
    <x v="1"/>
    <x v="0"/>
    <s v="job-yr/MW"/>
    <n v="2015"/>
    <n v="1.3"/>
    <n v="1.3"/>
  </r>
  <r>
    <x v="0"/>
    <x v="3"/>
    <x v="2"/>
    <x v="0"/>
    <s v="job/MW"/>
    <n v="2015"/>
    <n v="1.1499999999999999"/>
    <n v="1.1499999999999999"/>
  </r>
  <r>
    <x v="0"/>
    <x v="3"/>
    <x v="3"/>
    <x v="1"/>
    <s v="job/PJ"/>
    <n v="2015"/>
    <s v="0.001 jobs/GWh final demand"/>
    <m/>
  </r>
  <r>
    <x v="3"/>
    <x v="3"/>
    <x v="5"/>
    <x v="4"/>
    <m/>
    <n v="2024"/>
    <s v="Nuclear: Rutovitz 2015 LA-specific from Brazil study (19.6 construct, 1.15 O&amp;M). Rutovitz 2025 does not update nuclear. I-JEDI-US available if needed."/>
    <m/>
  </r>
  <r>
    <x v="0"/>
    <x v="4"/>
    <x v="0"/>
    <x v="0"/>
    <s v="job-yr/MW"/>
    <n v="2015"/>
    <n v="14"/>
    <n v="14"/>
  </r>
  <r>
    <x v="0"/>
    <x v="4"/>
    <x v="1"/>
    <x v="0"/>
    <s v="job-yr/MW"/>
    <n v="2015"/>
    <n v="2.9"/>
    <n v="2.9"/>
  </r>
  <r>
    <x v="0"/>
    <x v="4"/>
    <x v="2"/>
    <x v="0"/>
    <s v="job/MW"/>
    <n v="2015"/>
    <n v="1.5"/>
    <n v="1.5"/>
  </r>
  <r>
    <x v="0"/>
    <x v="4"/>
    <x v="3"/>
    <x v="1"/>
    <s v="job/PJ"/>
    <n v="2015"/>
    <s v="81.1 jobs/PJ"/>
    <n v="81.099999999999994"/>
  </r>
  <r>
    <x v="4"/>
    <x v="4"/>
    <x v="4"/>
    <x v="0"/>
    <s v="job-yr/MW"/>
    <n v="2024"/>
    <n v="22.523"/>
    <n v="22.523"/>
  </r>
  <r>
    <x v="4"/>
    <x v="4"/>
    <x v="2"/>
    <x v="0"/>
    <s v="job/MW"/>
    <n v="2024"/>
    <n v="2.4060000000000001"/>
    <n v="2.4060000000000001"/>
  </r>
  <r>
    <x v="4"/>
    <x v="4"/>
    <x v="4"/>
    <x v="2"/>
    <s v="job-yr/MW"/>
    <n v="2024"/>
    <n v="12.506"/>
    <n v="12.506"/>
  </r>
  <r>
    <x v="4"/>
    <x v="4"/>
    <x v="2"/>
    <x v="2"/>
    <s v="job/MW"/>
    <n v="2024"/>
    <n v="1.4770000000000001"/>
    <n v="1.4770000000000001"/>
  </r>
  <r>
    <x v="4"/>
    <x v="4"/>
    <x v="4"/>
    <x v="3"/>
    <s v="job-yr/MW"/>
    <n v="2024"/>
    <n v="16.497"/>
    <n v="16.497"/>
  </r>
  <r>
    <x v="4"/>
    <x v="4"/>
    <x v="2"/>
    <x v="3"/>
    <s v="job/MW"/>
    <n v="2024"/>
    <n v="1.6719999999999999"/>
    <n v="1.6719999999999999"/>
  </r>
  <r>
    <x v="3"/>
    <x v="4"/>
    <x v="5"/>
    <x v="4"/>
    <m/>
    <n v="2024"/>
    <s v="Biomass: Rutovitz 2015 uses OECD construction/O&amp;M but LA-specific fuel supply (81.1 jobs/PJ from Brazilian ABIB). I-JEDI Colombia provides 22.5 construct and 2.4 O&amp;M for 1,000 MW project."/>
    <m/>
  </r>
  <r>
    <x v="0"/>
    <x v="5"/>
    <x v="0"/>
    <x v="0"/>
    <s v="job-yr/MW"/>
    <n v="2015"/>
    <n v="7.4"/>
    <n v="7.4"/>
  </r>
  <r>
    <x v="0"/>
    <x v="5"/>
    <x v="1"/>
    <x v="0"/>
    <s v="job-yr/MW"/>
    <n v="2015"/>
    <n v="3.5"/>
    <n v="3.5"/>
  </r>
  <r>
    <x v="0"/>
    <x v="5"/>
    <x v="2"/>
    <x v="0"/>
    <s v="job/MW"/>
    <n v="2015"/>
    <n v="0.6"/>
    <n v="0.6"/>
  </r>
  <r>
    <x v="3"/>
    <x v="5"/>
    <x v="5"/>
    <x v="4"/>
    <m/>
    <n v="2024"/>
    <s v="Hydro large: Rutovitz 2015 no LA-specific construction factor available (use OECD 7.4 or apply 3.3Ã— multiplier). Rutovitz 2025 Australia: 7.36 construct, 2.3 O&amp;M; rescale to LA using labour productivity ratio (LA GDP/worker â‰ˆ 0.29Ã— OECD) â†’ multiply by ~3.4 to get LA estimate."/>
    <m/>
  </r>
  <r>
    <x v="0"/>
    <x v="6"/>
    <x v="0"/>
    <x v="0"/>
    <s v="job-yr/MW"/>
    <n v="2015"/>
    <n v="15.8"/>
    <n v="15.8"/>
  </r>
  <r>
    <x v="0"/>
    <x v="6"/>
    <x v="1"/>
    <x v="0"/>
    <s v="job-yr/MW"/>
    <n v="2015"/>
    <n v="10.9"/>
    <n v="10.9"/>
  </r>
  <r>
    <x v="0"/>
    <x v="6"/>
    <x v="2"/>
    <x v="0"/>
    <s v="job/MW"/>
    <n v="2015"/>
    <n v="4.9000000000000004"/>
    <n v="4.9000000000000004"/>
  </r>
  <r>
    <x v="3"/>
    <x v="6"/>
    <x v="5"/>
    <x v="4"/>
    <m/>
    <n v="2024"/>
    <s v="Hydro small: Rutovitz 2015 OECD 15.8 construct, 4.9 O&amp;M; no LA-specific. Apply 3.3Ã— multiplier for LA estimate."/>
    <m/>
  </r>
  <r>
    <x v="0"/>
    <x v="7"/>
    <x v="0"/>
    <x v="0"/>
    <s v="job-yr/MW"/>
    <n v="2015"/>
    <n v="6.7"/>
    <n v="6.7"/>
  </r>
  <r>
    <x v="0"/>
    <x v="7"/>
    <x v="1"/>
    <x v="0"/>
    <s v="job-yr/MW"/>
    <n v="2015"/>
    <n v="3.4"/>
    <n v="3.4"/>
  </r>
  <r>
    <x v="0"/>
    <x v="7"/>
    <x v="2"/>
    <x v="0"/>
    <s v="job/MW"/>
    <n v="2015"/>
    <n v="0.6"/>
    <n v="0.6"/>
  </r>
  <r>
    <x v="1"/>
    <x v="7"/>
    <x v="0"/>
    <x v="0"/>
    <s v="job-yr/MW"/>
    <n v="2024"/>
    <n v="2.65"/>
    <n v="2.65"/>
  </r>
  <r>
    <x v="1"/>
    <x v="7"/>
    <x v="1"/>
    <x v="0"/>
    <s v="job-yr/MW"/>
    <n v="2024"/>
    <n v="1.54"/>
    <n v="1.54"/>
  </r>
  <r>
    <x v="1"/>
    <x v="7"/>
    <x v="2"/>
    <x v="0"/>
    <s v="job/MW"/>
    <n v="2024"/>
    <n v="0.21"/>
    <n v="0.21"/>
  </r>
  <r>
    <x v="4"/>
    <x v="7"/>
    <x v="4"/>
    <x v="0"/>
    <s v="job-yr/MW"/>
    <n v="2024"/>
    <n v="7.2469999999999999"/>
    <n v="7.2469999999999999"/>
  </r>
  <r>
    <x v="4"/>
    <x v="7"/>
    <x v="2"/>
    <x v="0"/>
    <s v="job/MW"/>
    <n v="2024"/>
    <n v="0.03"/>
    <n v="0.03"/>
  </r>
  <r>
    <x v="4"/>
    <x v="7"/>
    <x v="4"/>
    <x v="2"/>
    <s v="job-yr/MW"/>
    <n v="2024"/>
    <n v="5.22"/>
    <n v="5.22"/>
  </r>
  <r>
    <x v="4"/>
    <x v="7"/>
    <x v="2"/>
    <x v="2"/>
    <s v="job/MW"/>
    <n v="2024"/>
    <n v="4.2999999999999997E-2"/>
    <n v="4.2999999999999997E-2"/>
  </r>
  <r>
    <x v="4"/>
    <x v="7"/>
    <x v="4"/>
    <x v="3"/>
    <s v="job-yr/MW"/>
    <n v="2024"/>
    <n v="4.0439999999999996"/>
    <n v="4.0439999999999996"/>
  </r>
  <r>
    <x v="4"/>
    <x v="7"/>
    <x v="2"/>
    <x v="3"/>
    <s v="job/MW"/>
    <n v="2024"/>
    <n v="4.48E-2"/>
    <n v="4.48E-2"/>
  </r>
  <r>
    <x v="3"/>
    <x v="7"/>
    <x v="5"/>
    <x v="4"/>
    <m/>
    <n v="2024"/>
    <s v="Wind onshore: Rutovitz 2015 LA-specific 6.7 construct, 0.6 O&amp;M from Brazil study (Simas &amp; Pacca 2015). Rutovitz 2025 Australia 2.65 construct; rescale to LA by ~3.4 factor â†’ ~9.0 construct estimate. I-JEDI Colombia 7.25 construct aligns better with LA context."/>
    <m/>
  </r>
  <r>
    <x v="0"/>
    <x v="8"/>
    <x v="0"/>
    <x v="0"/>
    <s v="job-yr/MW"/>
    <n v="2015"/>
    <n v="8"/>
    <n v="8"/>
  </r>
  <r>
    <x v="0"/>
    <x v="8"/>
    <x v="1"/>
    <x v="0"/>
    <s v="job-yr/MW"/>
    <n v="2015"/>
    <n v="15.6"/>
    <n v="15.6"/>
  </r>
  <r>
    <x v="0"/>
    <x v="8"/>
    <x v="2"/>
    <x v="0"/>
    <s v="job/MW"/>
    <n v="2015"/>
    <n v="0.2"/>
    <n v="0.2"/>
  </r>
  <r>
    <x v="1"/>
    <x v="8"/>
    <x v="0"/>
    <x v="0"/>
    <s v="job-yr/MW"/>
    <n v="2024"/>
    <n v="1.5"/>
    <n v="1.5"/>
  </r>
  <r>
    <x v="1"/>
    <x v="8"/>
    <x v="1"/>
    <x v="0"/>
    <s v="job-yr/MW"/>
    <n v="2024"/>
    <n v="13.68"/>
    <n v="13.68"/>
  </r>
  <r>
    <x v="1"/>
    <x v="8"/>
    <x v="2"/>
    <x v="0"/>
    <s v="job/MW"/>
    <n v="2024"/>
    <n v="0.28000000000000003"/>
    <n v="0.28000000000000003"/>
  </r>
  <r>
    <x v="3"/>
    <x v="8"/>
    <x v="5"/>
    <x v="4"/>
    <m/>
    <n v="2024"/>
    <s v="Wind offshore: Rutovitz 2015 uses OECD (no LA-specific). Rutovitz 2025 Australia 1.5 construct, 0.28 O&amp;M; rescale by ~3 for LA â†’ ~4.5 construct estimate. Offshore development in Colombia is nascent; use with caution."/>
    <m/>
  </r>
  <r>
    <x v="0"/>
    <x v="9"/>
    <x v="0"/>
    <x v="0"/>
    <s v="job-yr/MW"/>
    <n v="2015"/>
    <n v="13"/>
    <n v="13"/>
  </r>
  <r>
    <x v="0"/>
    <x v="9"/>
    <x v="1"/>
    <x v="0"/>
    <s v="job-yr/MW"/>
    <n v="2015"/>
    <n v="6.7"/>
    <n v="6.7"/>
  </r>
  <r>
    <x v="0"/>
    <x v="9"/>
    <x v="2"/>
    <x v="0"/>
    <s v="job/MW"/>
    <n v="2015"/>
    <n v="0.7"/>
    <n v="0.7"/>
  </r>
  <r>
    <x v="1"/>
    <x v="9"/>
    <x v="0"/>
    <x v="0"/>
    <s v="job-yr/MW"/>
    <n v="2024"/>
    <n v="1.61"/>
    <n v="1.61"/>
  </r>
  <r>
    <x v="1"/>
    <x v="9"/>
    <x v="1"/>
    <x v="0"/>
    <s v="job-yr/MW"/>
    <n v="2024"/>
    <n v="3.08"/>
    <n v="3.08"/>
  </r>
  <r>
    <x v="1"/>
    <x v="9"/>
    <x v="2"/>
    <x v="0"/>
    <s v="job/MW"/>
    <n v="2024"/>
    <n v="0.09"/>
    <n v="0.09"/>
  </r>
  <r>
    <x v="4"/>
    <x v="9"/>
    <x v="4"/>
    <x v="0"/>
    <s v="job-yr/MW"/>
    <n v="2024"/>
    <n v="9.9700000000000006"/>
    <n v="9.9700000000000006"/>
  </r>
  <r>
    <x v="4"/>
    <x v="9"/>
    <x v="2"/>
    <x v="0"/>
    <s v="job/MW"/>
    <n v="2024"/>
    <n v="9.6500000000000002E-2"/>
    <n v="9.6500000000000002E-2"/>
  </r>
  <r>
    <x v="4"/>
    <x v="9"/>
    <x v="4"/>
    <x v="2"/>
    <s v="job-yr/MW"/>
    <n v="2024"/>
    <n v="6.3639999999999999"/>
    <n v="6.3639999999999999"/>
  </r>
  <r>
    <x v="4"/>
    <x v="9"/>
    <x v="2"/>
    <x v="2"/>
    <s v="job/MW"/>
    <n v="2024"/>
    <n v="6.6000000000000003E-2"/>
    <n v="6.6000000000000003E-2"/>
  </r>
  <r>
    <x v="4"/>
    <x v="9"/>
    <x v="4"/>
    <x v="3"/>
    <s v="job-yr/MW"/>
    <n v="2024"/>
    <n v="6.3659999999999997"/>
    <n v="6.3659999999999997"/>
  </r>
  <r>
    <x v="4"/>
    <x v="9"/>
    <x v="2"/>
    <x v="3"/>
    <s v="job/MW"/>
    <n v="2024"/>
    <n v="4.9799999999999997E-2"/>
    <n v="4.9799999999999997E-2"/>
  </r>
  <r>
    <x v="3"/>
    <x v="9"/>
    <x v="5"/>
    <x v="4"/>
    <m/>
    <n v="2024"/>
    <s v="Solar PV (utility): Rutovitz 2015 uses OECD 13 construct, 0.7 O&amp;M; no LA-specific. Rutovitz 2025 Australia 1.61 construct â†’ rescale by ~3â€“3.5 for LA â†’ ~5.5 construct (reflects larger modern plants). I-JEDI Colombia 9.97 for 1,000 MW is higher, suggesting finer labour intensity accounting."/>
    <m/>
  </r>
  <r>
    <x v="1"/>
    <x v="10"/>
    <x v="0"/>
    <x v="0"/>
    <s v="job-yr/MW"/>
    <n v="2024"/>
    <n v="4.1900000000000004"/>
    <n v="4.1900000000000004"/>
  </r>
  <r>
    <x v="1"/>
    <x v="10"/>
    <x v="1"/>
    <x v="0"/>
    <s v="job-yr/MW"/>
    <n v="2024"/>
    <n v="2.86"/>
    <n v="2.86"/>
  </r>
  <r>
    <x v="1"/>
    <x v="10"/>
    <x v="2"/>
    <x v="0"/>
    <s v="job/MW"/>
    <n v="2024"/>
    <n v="0.13"/>
    <n v="0.13"/>
  </r>
  <r>
    <x v="2"/>
    <x v="10"/>
    <x v="4"/>
    <x v="0"/>
    <s v="job-yr/MW"/>
    <n v="2024"/>
    <n v="9328"/>
    <n v="9.3279999999999994"/>
  </r>
  <r>
    <x v="2"/>
    <x v="10"/>
    <x v="2"/>
    <x v="0"/>
    <s v="job/MW"/>
    <n v="2024"/>
    <n v="0.3"/>
    <n v="0.3"/>
  </r>
  <r>
    <x v="2"/>
    <x v="10"/>
    <x v="4"/>
    <x v="2"/>
    <s v="job-yr/MW"/>
    <n v="2024"/>
    <n v="10.8"/>
    <n v="10.8"/>
  </r>
  <r>
    <x v="2"/>
    <x v="10"/>
    <x v="2"/>
    <x v="2"/>
    <s v="job/MW"/>
    <n v="2024"/>
    <n v="0.105"/>
    <n v="0.105"/>
  </r>
  <r>
    <x v="2"/>
    <x v="10"/>
    <x v="4"/>
    <x v="3"/>
    <s v="job-yr/MW"/>
    <n v="2024"/>
    <n v="10"/>
    <n v="10"/>
  </r>
  <r>
    <x v="2"/>
    <x v="10"/>
    <x v="2"/>
    <x v="3"/>
    <s v="job/MW"/>
    <n v="2024"/>
    <n v="0.10100000000000001"/>
    <n v="0.10100000000000001"/>
  </r>
  <r>
    <x v="3"/>
    <x v="10"/>
    <x v="5"/>
    <x v="4"/>
    <m/>
    <n v="2024"/>
    <s v="Solar PV (rooftop): Rutovitz 2015 uses OECD 13 construct. Rutovitz 2025 Australia 4.19 construct; rescale by ~3â€“3.5 for LA â†’ ~14 construct. I-JEDI Colombia has distributed PV module; conversion to rooftop-equivalent needed."/>
    <m/>
  </r>
  <r>
    <x v="0"/>
    <x v="11"/>
    <x v="0"/>
    <x v="0"/>
    <s v="job-yr/MW"/>
    <n v="2015"/>
    <n v="8"/>
    <n v="8"/>
  </r>
  <r>
    <x v="0"/>
    <x v="11"/>
    <x v="1"/>
    <x v="0"/>
    <s v="job-yr/MW"/>
    <n v="2015"/>
    <n v="4"/>
    <n v="4"/>
  </r>
  <r>
    <x v="0"/>
    <x v="11"/>
    <x v="2"/>
    <x v="0"/>
    <s v="job/MW"/>
    <n v="2015"/>
    <n v="0.6"/>
    <n v="0.6"/>
  </r>
  <r>
    <x v="3"/>
    <x v="11"/>
    <x v="5"/>
    <x v="4"/>
    <m/>
    <n v="2024"/>
    <s v="Solar thermal (CSP): Rutovitz 2015 OECD 8 construct, 0.6 O&amp;M; no LA-specific. Not updated in Rutovitz 2025. Apply 3.3Ã— LA multiplier for estimate. Limited deployed capacity in Colombia."/>
    <m/>
  </r>
  <r>
    <x v="0"/>
    <x v="12"/>
    <x v="0"/>
    <x v="0"/>
    <s v="job-yr/MW"/>
    <n v="2015"/>
    <n v="6.8"/>
    <n v="6.8"/>
  </r>
  <r>
    <x v="0"/>
    <x v="12"/>
    <x v="1"/>
    <x v="0"/>
    <s v="job-yr/MW"/>
    <n v="2015"/>
    <n v="3.9"/>
    <n v="3.9"/>
  </r>
  <r>
    <x v="0"/>
    <x v="12"/>
    <x v="2"/>
    <x v="0"/>
    <s v="job/MW"/>
    <n v="2015"/>
    <n v="0.4"/>
    <n v="0.4"/>
  </r>
  <r>
    <x v="4"/>
    <x v="12"/>
    <x v="4"/>
    <x v="0"/>
    <s v="job-yr/MW"/>
    <n v="2024"/>
    <n v="5.0869999999999997"/>
    <n v="5.0869999999999997"/>
  </r>
  <r>
    <x v="4"/>
    <x v="12"/>
    <x v="2"/>
    <x v="0"/>
    <s v="job/MW"/>
    <n v="2024"/>
    <n v="8.0000000000000002E-3"/>
    <n v="8.0000000000000002E-3"/>
  </r>
  <r>
    <x v="4"/>
    <x v="12"/>
    <x v="4"/>
    <x v="2"/>
    <s v="job-yr/MW"/>
    <n v="2024"/>
    <n v="3.4"/>
    <n v="3.4"/>
  </r>
  <r>
    <x v="4"/>
    <x v="12"/>
    <x v="2"/>
    <x v="2"/>
    <s v="job/MW"/>
    <n v="2024"/>
    <n v="0.01"/>
    <n v="0.01"/>
  </r>
  <r>
    <x v="4"/>
    <x v="12"/>
    <x v="4"/>
    <x v="3"/>
    <s v="job-yr/MW"/>
    <n v="2024"/>
    <n v="5.5"/>
    <n v="5.5"/>
  </r>
  <r>
    <x v="4"/>
    <x v="12"/>
    <x v="2"/>
    <x v="3"/>
    <s v="job/MW"/>
    <n v="2024"/>
    <n v="2.9000000000000001E-2"/>
    <n v="2.9000000000000001E-2"/>
  </r>
  <r>
    <x v="3"/>
    <x v="12"/>
    <x v="5"/>
    <x v="4"/>
    <m/>
    <n v="2024"/>
    <s v="Geothermal: Rutovitz 2015 OECD 6.8 construct, 0.4 O&amp;M; no LA-specific. Not updated in Rutovitz 2025. Limited geothermal potential in Colombia; I-JEDI may have estimates via custom region."/>
    <m/>
  </r>
  <r>
    <x v="0"/>
    <x v="13"/>
    <x v="0"/>
    <x v="0"/>
    <s v="job-yr/MW"/>
    <n v="2015"/>
    <n v="10.199999999999999"/>
    <n v="10.199999999999999"/>
  </r>
  <r>
    <x v="0"/>
    <x v="13"/>
    <x v="1"/>
    <x v="0"/>
    <s v="job-yr/MW"/>
    <n v="2015"/>
    <n v="10.199999999999999"/>
    <n v="10.199999999999999"/>
  </r>
  <r>
    <x v="0"/>
    <x v="13"/>
    <x v="2"/>
    <x v="0"/>
    <s v="job/MW"/>
    <n v="2015"/>
    <n v="0.6"/>
    <n v="0.6"/>
  </r>
  <r>
    <x v="3"/>
    <x v="13"/>
    <x v="5"/>
    <x v="4"/>
    <m/>
    <n v="2024"/>
    <s v="Ocean (tidal/wave): Rutovitz 2015 OECD 10.2 construct, 0.6 O&amp;M; no LA-specific. Not updated in Rutovitz 2025. Early-stage technology; very limited Colombian data."/>
    <m/>
  </r>
  <r>
    <x v="1"/>
    <x v="14"/>
    <x v="0"/>
    <x v="0"/>
    <s v="job-yr/MW"/>
    <n v="2024"/>
    <n v="7.18"/>
    <n v="7.18"/>
  </r>
  <r>
    <x v="1"/>
    <x v="14"/>
    <x v="1"/>
    <x v="0"/>
    <s v="job-yr/MW"/>
    <n v="2024"/>
    <n v="6.4"/>
    <n v="6.4"/>
  </r>
  <r>
    <x v="1"/>
    <x v="14"/>
    <x v="2"/>
    <x v="0"/>
    <s v="job/MW"/>
    <n v="2024"/>
    <n v="0.08"/>
    <n v="0.08"/>
  </r>
  <r>
    <x v="3"/>
    <x v="14"/>
    <x v="5"/>
    <x v="4"/>
    <m/>
    <n v="2024"/>
    <s v="Pumped hydro storage (NEW in Rutovitz 2025): Australian data 2023 update. Use construction and O&amp;M factors from Rutovitz 2025 Australia hydro; rescale by ~3â€“3.5Ã— for LA labour intensity."/>
    <m/>
  </r>
  <r>
    <x v="1"/>
    <x v="15"/>
    <x v="0"/>
    <x v="0"/>
    <s v="job-yr/MW"/>
    <n v="2024"/>
    <n v="0.53"/>
    <n v="0.53"/>
  </r>
  <r>
    <x v="1"/>
    <x v="15"/>
    <x v="1"/>
    <x v="0"/>
    <s v="job-yr/MW"/>
    <n v="2024"/>
    <n v="0.31"/>
    <n v="0.31"/>
  </r>
  <r>
    <x v="1"/>
    <x v="15"/>
    <x v="2"/>
    <x v="0"/>
    <s v="job/MW"/>
    <n v="2024"/>
    <n v="0.03"/>
    <n v="0.03"/>
  </r>
  <r>
    <x v="3"/>
    <x v="15"/>
    <x v="5"/>
    <x v="4"/>
    <m/>
    <n v="2024"/>
    <s v="Battery storage (grid-scale, NEW in Rutovitz 2025): Rutovitz 2025 Australia 0.61 construct, 0.04 O&amp;M from 13 projects, 3.3 GW combined, 235 MW average capacity, 3.2 h storage. Rescale by ~3â€“3.5Ã— for LA â†’ ~2.1 construct, 0.14 O&amp;M (initial estimate)."/>
    <m/>
  </r>
  <r>
    <x v="1"/>
    <x v="16"/>
    <x v="0"/>
    <x v="0"/>
    <s v="job-yr/MW"/>
    <n v="2024"/>
    <n v="4.4400000000000004"/>
    <n v="4.4400000000000004"/>
  </r>
  <r>
    <x v="1"/>
    <x v="16"/>
    <x v="1"/>
    <x v="0"/>
    <s v="job-yr/MW"/>
    <n v="2024"/>
    <n v="0.31"/>
    <n v="0.31"/>
  </r>
  <r>
    <x v="1"/>
    <x v="16"/>
    <x v="2"/>
    <x v="0"/>
    <s v="job/MW"/>
    <n v="2024"/>
    <n v="0.23"/>
    <n v="0.23"/>
  </r>
  <r>
    <x v="1"/>
    <x v="17"/>
    <x v="0"/>
    <x v="0"/>
    <s v="job-yr/km"/>
    <n v="2024"/>
    <n v="0.7"/>
    <n v="0.7"/>
  </r>
  <r>
    <x v="2"/>
    <x v="17"/>
    <x v="4"/>
    <x v="0"/>
    <s v="job-yr/mile"/>
    <n v="2024"/>
    <n v="0.12"/>
    <n v="0.12"/>
  </r>
  <r>
    <x v="2"/>
    <x v="17"/>
    <x v="2"/>
    <x v="0"/>
    <s v="job/mile"/>
    <n v="2024"/>
    <n v="0"/>
    <n v="0"/>
  </r>
  <r>
    <x v="2"/>
    <x v="17"/>
    <x v="4"/>
    <x v="2"/>
    <s v="job-yr/mile"/>
    <n v="2024"/>
    <n v="0.3"/>
    <n v="0.3"/>
  </r>
  <r>
    <x v="2"/>
    <x v="17"/>
    <x v="2"/>
    <x v="2"/>
    <s v="job/mile"/>
    <n v="2024"/>
    <n v="2.5999999999999999E-2"/>
    <n v="2.5999999999999999E-2"/>
  </r>
  <r>
    <x v="2"/>
    <x v="17"/>
    <x v="4"/>
    <x v="3"/>
    <s v="job-yr/mile"/>
    <n v="2024"/>
    <n v="0.24"/>
    <n v="0.24"/>
  </r>
  <r>
    <x v="2"/>
    <x v="17"/>
    <x v="2"/>
    <x v="3"/>
    <s v="job/mile"/>
    <n v="2024"/>
    <n v="1.2999999999999999E-2"/>
    <n v="1.2999999999999999E-2"/>
  </r>
  <r>
    <x v="3"/>
    <x v="17"/>
    <x v="5"/>
    <x v="4"/>
    <m/>
    <n v="2024"/>
    <s v="Transmission (distribution lines): Rutovitz 2025 not yet tabulated per GW; calculated from workforce projections. Estimate ~1â€“2 job-years/km for construction in Australia; rescale by 3â€“3.5Ã— for LA. OSeMOSYS-Colombia may express as jobs/circuit-km."/>
    <m/>
  </r>
  <r>
    <x v="1"/>
    <x v="18"/>
    <x v="0"/>
    <x v="0"/>
    <s v="job-yr/km"/>
    <n v="2024"/>
    <n v="3.7"/>
    <n v="3.7"/>
  </r>
  <r>
    <x v="3"/>
    <x v="18"/>
    <x v="5"/>
    <x v="4"/>
    <m/>
    <n v="2024"/>
    <s v="Transmission (bulk transmission/high-voltage): Rutovitz 2025 Australia shows transmission peak workforce 2,000â€“2,500 in early 2020s under Step Change scenario. Emerging construction factors; recommend model sensitivity on transmission employment. Rescale Australian data by 3â€“3.5Ã— for LA."/>
    <m/>
  </r>
  <r>
    <x v="1"/>
    <x v="19"/>
    <x v="0"/>
    <x v="0"/>
    <s v="job-yr/MUSD"/>
    <n v="2024"/>
    <n v="1.9"/>
    <n v="1.9"/>
  </r>
  <r>
    <x v="5"/>
    <x v="8"/>
    <x v="4"/>
    <x v="0"/>
    <s v="job-yr/MW"/>
    <n v="2022"/>
    <n v="6830"/>
    <n v="6.83"/>
  </r>
  <r>
    <x v="5"/>
    <x v="8"/>
    <x v="2"/>
    <x v="0"/>
    <s v="job/MW"/>
    <n v="2022"/>
    <n v="7.6300000000000007E-2"/>
    <n v="7.6300000000000007E-2"/>
  </r>
  <r>
    <x v="3"/>
    <x v="8"/>
    <x v="5"/>
    <x v="4"/>
    <m/>
    <n v="2022"/>
    <s v="QBIS 2020 Table 5 reports direct FTE for a 1 GW offshore wind farm commissioned in 2022. Construction&amp;Manufacturing is treated as cumulative direct job-years for development, wind turbine production, balance of plant, and installation/grid connection: 574+2655+2820+781=6830 FTE/GW = 6.83 job-yr/MW. Decommissioning (713 FTE/GW) is excluded. O&amp;M is reported as 1907 FTE/GW over 25 years and annualized to 1907/1000/25=0.0763 job/MW. Indirect and induced jobs are calculated separately in QBIS 2020 Tables 6-7, so these factors are direct jobs only."/>
    <m/>
  </r>
  <r>
    <x v="6"/>
    <x v="8"/>
    <x v="4"/>
    <x v="0"/>
    <s v="job-yr/MW"/>
    <n v="2022"/>
    <n v="6401"/>
    <n v="6.4009999999999998"/>
  </r>
  <r>
    <x v="6"/>
    <x v="8"/>
    <x v="2"/>
    <x v="0"/>
    <s v="job/MW"/>
    <n v="2022"/>
    <n v="0.1056"/>
    <n v="0.1056"/>
  </r>
  <r>
    <x v="6"/>
    <x v="20"/>
    <x v="4"/>
    <x v="0"/>
    <s v="job-yr/MW"/>
    <n v="2022"/>
    <n v="14468"/>
    <n v="14.468"/>
  </r>
  <r>
    <x v="6"/>
    <x v="20"/>
    <x v="2"/>
    <x v="0"/>
    <s v="job/MW"/>
    <n v="2022"/>
    <n v="0.24160000000000001"/>
    <n v="0.24160000000000001"/>
  </r>
  <r>
    <x v="3"/>
    <x v="21"/>
    <x v="5"/>
    <x v="4"/>
    <m/>
    <n v="2022"/>
    <s v="QBIS 2023 Figures 2.3-2.4 and Tables 2.1-2.2 report direct FTE/GW for 1 GW fixed and floating OWF models in 2022. Construction&amp;Manufacturing is treated as cumulative direct job-years excluding O&amp;M and decommissioning: fixed 131+2666+2608+996=6401 FTE/GW = 6.401 job-yr/MW; floating 208+4210+8348+1702=14468 FTE/GW = 14.468 job-yr/MW. O&amp;M is reported over 25 years and annualized: fixed 2640/1000/25=0.1056 job/MW; floating 6041/1000/25=0.2416 job/MW. QBIS 2023 Chapter 3 separately adds indirect FTE using an input-output model, so Figures 2.3-2.4 and Tables 2.1-2.2 are direct jobs only.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5F8A4-6302-426B-8671-6D4CAD3E2DA1}" name="PivotTable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H27" firstHeaderRow="1" firstDataRow="2" firstDataCol="1" rowPageCount="2" colPageCount="1"/>
  <pivotFields count="8">
    <pivotField axis="axisCol" showAll="0">
      <items count="8">
        <item x="5"/>
        <item x="6"/>
        <item x="4"/>
        <item x="2"/>
        <item h="1" x="3"/>
        <item x="0"/>
        <item x="1"/>
        <item t="default"/>
      </items>
    </pivotField>
    <pivotField axis="axisRow" showAll="0">
      <items count="23">
        <item x="16"/>
        <item x="15"/>
        <item x="4"/>
        <item x="0"/>
        <item x="1"/>
        <item x="12"/>
        <item x="5"/>
        <item x="6"/>
        <item x="3"/>
        <item x="13"/>
        <item x="8"/>
        <item x="21"/>
        <item x="20"/>
        <item x="2"/>
        <item x="7"/>
        <item x="14"/>
        <item x="10"/>
        <item x="11"/>
        <item x="18"/>
        <item x="19"/>
        <item x="17"/>
        <item x="9"/>
        <item t="default"/>
      </items>
    </pivotField>
    <pivotField axis="axisPage" multipleItemSelectionAllowed="1" showAll="0">
      <items count="7">
        <item x="0"/>
        <item x="4"/>
        <item h="1" x="3"/>
        <item x="1"/>
        <item h="1" x="2"/>
        <item h="1" x="5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5"/>
    </i>
    <i>
      <x v="6"/>
    </i>
    <i t="grand">
      <x/>
    </i>
  </colItems>
  <pageFields count="2">
    <pageField fld="2" hier="-1"/>
    <pageField fld="3" item="0" hier="-1"/>
  </pageFields>
  <dataFields count="1">
    <dataField name="Sum of Value_Numeric" fld="7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60FD-3097-4CBB-B086-BF1FFCAB823D}">
  <sheetPr>
    <tabColor theme="9" tint="0.59999389629810485"/>
  </sheetPr>
  <dimension ref="A1:H145"/>
  <sheetViews>
    <sheetView workbookViewId="0">
      <selection activeCell="K27" sqref="K27"/>
    </sheetView>
  </sheetViews>
  <sheetFormatPr defaultRowHeight="14.4" x14ac:dyDescent="0.3"/>
  <cols>
    <col min="1" max="1" width="24.44140625" bestFit="1" customWidth="1"/>
    <col min="2" max="2" width="47" bestFit="1" customWidth="1"/>
    <col min="3" max="3" width="18.109375" customWidth="1"/>
    <col min="4" max="4" width="15.109375" bestFit="1" customWidth="1"/>
  </cols>
  <sheetData>
    <row r="1" spans="1:8" x14ac:dyDescent="0.3">
      <c r="A1" s="4" t="s">
        <v>2</v>
      </c>
      <c r="B1" s="4" t="s">
        <v>0</v>
      </c>
      <c r="C1" s="4" t="s">
        <v>1</v>
      </c>
      <c r="D1" s="4" t="s">
        <v>65</v>
      </c>
      <c r="E1" s="4" t="s">
        <v>66</v>
      </c>
      <c r="F1" s="4" t="s">
        <v>78</v>
      </c>
      <c r="G1" s="4" t="s">
        <v>3</v>
      </c>
      <c r="H1" s="4" t="s">
        <v>4</v>
      </c>
    </row>
    <row r="2" spans="1:8" x14ac:dyDescent="0.3">
      <c r="A2" s="4" t="s">
        <v>7</v>
      </c>
      <c r="B2" s="4" t="s">
        <v>5</v>
      </c>
      <c r="C2" s="4" t="s">
        <v>6</v>
      </c>
      <c r="D2" s="4" t="s">
        <v>67</v>
      </c>
      <c r="E2" s="4" t="s">
        <v>68</v>
      </c>
      <c r="F2" s="4">
        <v>2015</v>
      </c>
      <c r="G2" s="4">
        <v>11.2</v>
      </c>
      <c r="H2" s="4">
        <v>11.2</v>
      </c>
    </row>
    <row r="3" spans="1:8" x14ac:dyDescent="0.3">
      <c r="A3" s="4" t="s">
        <v>7</v>
      </c>
      <c r="B3" s="4" t="s">
        <v>5</v>
      </c>
      <c r="C3" s="4" t="s">
        <v>8</v>
      </c>
      <c r="D3" s="4" t="s">
        <v>67</v>
      </c>
      <c r="E3" s="4" t="s">
        <v>68</v>
      </c>
      <c r="F3" s="4">
        <v>2015</v>
      </c>
      <c r="G3" s="4">
        <v>5.4</v>
      </c>
      <c r="H3" s="4">
        <v>5.4</v>
      </c>
    </row>
    <row r="4" spans="1:8" x14ac:dyDescent="0.3">
      <c r="A4" s="4" t="s">
        <v>7</v>
      </c>
      <c r="B4" s="4" t="s">
        <v>5</v>
      </c>
      <c r="C4" s="4" t="s">
        <v>9</v>
      </c>
      <c r="D4" s="4" t="s">
        <v>67</v>
      </c>
      <c r="E4" s="4" t="s">
        <v>69</v>
      </c>
      <c r="F4" s="4">
        <v>2015</v>
      </c>
      <c r="G4" s="4">
        <v>0.14000000000000001</v>
      </c>
      <c r="H4" s="4">
        <v>0.14000000000000001</v>
      </c>
    </row>
    <row r="5" spans="1:8" x14ac:dyDescent="0.3">
      <c r="A5" s="4" t="s">
        <v>7</v>
      </c>
      <c r="B5" s="4" t="s">
        <v>5</v>
      </c>
      <c r="C5" s="4" t="s">
        <v>10</v>
      </c>
      <c r="D5" s="4" t="s">
        <v>10</v>
      </c>
      <c r="E5" s="4" t="s">
        <v>70</v>
      </c>
      <c r="F5" s="4">
        <v>2015</v>
      </c>
      <c r="G5" s="4" t="s">
        <v>11</v>
      </c>
      <c r="H5" s="4">
        <v>15.4</v>
      </c>
    </row>
    <row r="6" spans="1:8" x14ac:dyDescent="0.3">
      <c r="A6" s="4" t="s">
        <v>12</v>
      </c>
      <c r="B6" s="4" t="s">
        <v>5</v>
      </c>
      <c r="C6" s="4" t="s">
        <v>6</v>
      </c>
      <c r="D6" s="4" t="s">
        <v>67</v>
      </c>
      <c r="E6" s="4" t="s">
        <v>68</v>
      </c>
      <c r="F6" s="4">
        <v>2024</v>
      </c>
      <c r="G6" s="4">
        <v>11.08</v>
      </c>
      <c r="H6" s="4">
        <v>11.08</v>
      </c>
    </row>
    <row r="7" spans="1:8" x14ac:dyDescent="0.3">
      <c r="A7" s="4" t="s">
        <v>12</v>
      </c>
      <c r="B7" s="4" t="s">
        <v>5</v>
      </c>
      <c r="C7" s="4" t="s">
        <v>8</v>
      </c>
      <c r="D7" s="4" t="s">
        <v>67</v>
      </c>
      <c r="E7" s="4" t="s">
        <v>68</v>
      </c>
      <c r="F7" s="4">
        <v>2024</v>
      </c>
      <c r="G7" s="4">
        <v>5.41</v>
      </c>
      <c r="H7" s="4">
        <v>5.41</v>
      </c>
    </row>
    <row r="8" spans="1:8" x14ac:dyDescent="0.3">
      <c r="A8" s="4" t="s">
        <v>12</v>
      </c>
      <c r="B8" s="4" t="s">
        <v>5</v>
      </c>
      <c r="C8" s="4" t="s">
        <v>9</v>
      </c>
      <c r="D8" s="4" t="s">
        <v>67</v>
      </c>
      <c r="E8" s="4" t="s">
        <v>69</v>
      </c>
      <c r="F8" s="4">
        <v>2024</v>
      </c>
      <c r="G8" s="4">
        <v>0.22</v>
      </c>
      <c r="H8" s="4">
        <v>0.22</v>
      </c>
    </row>
    <row r="9" spans="1:8" x14ac:dyDescent="0.3">
      <c r="A9" s="4" t="s">
        <v>20</v>
      </c>
      <c r="B9" s="4" t="s">
        <v>5</v>
      </c>
      <c r="C9" s="4" t="s">
        <v>71</v>
      </c>
      <c r="D9" s="4" t="s">
        <v>67</v>
      </c>
      <c r="E9" s="4" t="s">
        <v>68</v>
      </c>
      <c r="F9" s="4">
        <v>2024</v>
      </c>
      <c r="G9" s="4">
        <v>9.61</v>
      </c>
      <c r="H9" s="4">
        <v>9.61</v>
      </c>
    </row>
    <row r="10" spans="1:8" x14ac:dyDescent="0.3">
      <c r="A10" s="4" t="s">
        <v>20</v>
      </c>
      <c r="B10" s="4" t="s">
        <v>5</v>
      </c>
      <c r="C10" s="4" t="s">
        <v>9</v>
      </c>
      <c r="D10" s="4" t="s">
        <v>67</v>
      </c>
      <c r="E10" s="4" t="s">
        <v>69</v>
      </c>
      <c r="F10" s="4">
        <v>2024</v>
      </c>
      <c r="G10" s="4">
        <v>0.14299999999999999</v>
      </c>
      <c r="H10" s="4">
        <v>0.14299999999999999</v>
      </c>
    </row>
    <row r="11" spans="1:8" x14ac:dyDescent="0.3">
      <c r="A11" s="4" t="s">
        <v>20</v>
      </c>
      <c r="B11" s="4" t="s">
        <v>5</v>
      </c>
      <c r="C11" s="4" t="s">
        <v>71</v>
      </c>
      <c r="D11" s="4" t="s">
        <v>72</v>
      </c>
      <c r="E11" s="4" t="s">
        <v>68</v>
      </c>
      <c r="F11" s="4">
        <v>2024</v>
      </c>
      <c r="G11" s="4">
        <v>12.231999999999999</v>
      </c>
      <c r="H11" s="4">
        <v>12.231999999999999</v>
      </c>
    </row>
    <row r="12" spans="1:8" x14ac:dyDescent="0.3">
      <c r="A12" s="4" t="s">
        <v>20</v>
      </c>
      <c r="B12" s="4" t="s">
        <v>5</v>
      </c>
      <c r="C12" s="4" t="s">
        <v>9</v>
      </c>
      <c r="D12" s="4" t="s">
        <v>72</v>
      </c>
      <c r="E12" s="4" t="s">
        <v>69</v>
      </c>
      <c r="F12" s="4">
        <v>2024</v>
      </c>
      <c r="G12" s="4">
        <v>0.78900000000000003</v>
      </c>
      <c r="H12" s="4">
        <v>0.78900000000000003</v>
      </c>
    </row>
    <row r="13" spans="1:8" x14ac:dyDescent="0.3">
      <c r="A13" s="4" t="s">
        <v>20</v>
      </c>
      <c r="B13" s="4" t="s">
        <v>5</v>
      </c>
      <c r="C13" s="4" t="s">
        <v>71</v>
      </c>
      <c r="D13" s="4" t="s">
        <v>73</v>
      </c>
      <c r="E13" s="4" t="s">
        <v>68</v>
      </c>
      <c r="F13" s="4">
        <v>2024</v>
      </c>
      <c r="G13" s="4">
        <v>11.301</v>
      </c>
      <c r="H13" s="4">
        <v>11.301</v>
      </c>
    </row>
    <row r="14" spans="1:8" x14ac:dyDescent="0.3">
      <c r="A14" s="4" t="s">
        <v>20</v>
      </c>
      <c r="B14" s="4" t="s">
        <v>5</v>
      </c>
      <c r="C14" s="4" t="s">
        <v>9</v>
      </c>
      <c r="D14" s="4" t="s">
        <v>73</v>
      </c>
      <c r="E14" s="4" t="s">
        <v>69</v>
      </c>
      <c r="F14" s="4">
        <v>2024</v>
      </c>
      <c r="G14" s="4">
        <v>0.56100000000000005</v>
      </c>
      <c r="H14" s="4">
        <v>0.56100000000000005</v>
      </c>
    </row>
    <row r="15" spans="1:8" x14ac:dyDescent="0.3">
      <c r="A15" s="4" t="s">
        <v>14</v>
      </c>
      <c r="B15" s="4" t="s">
        <v>5</v>
      </c>
      <c r="C15" s="4"/>
      <c r="D15" s="4"/>
      <c r="E15" s="4"/>
      <c r="F15" s="4">
        <v>2024</v>
      </c>
      <c r="G15" s="4" t="s">
        <v>15</v>
      </c>
      <c r="H15" s="4"/>
    </row>
    <row r="16" spans="1:8" x14ac:dyDescent="0.3">
      <c r="A16" s="4" t="s">
        <v>7</v>
      </c>
      <c r="B16" s="4" t="s">
        <v>16</v>
      </c>
      <c r="C16" s="4" t="s">
        <v>6</v>
      </c>
      <c r="D16" s="4" t="s">
        <v>67</v>
      </c>
      <c r="E16" s="4" t="s">
        <v>68</v>
      </c>
      <c r="F16" s="4">
        <v>2015</v>
      </c>
      <c r="G16" s="4">
        <v>1.3</v>
      </c>
      <c r="H16" s="4">
        <v>1.3</v>
      </c>
    </row>
    <row r="17" spans="1:8" x14ac:dyDescent="0.3">
      <c r="A17" s="4" t="s">
        <v>7</v>
      </c>
      <c r="B17" s="4" t="s">
        <v>16</v>
      </c>
      <c r="C17" s="4" t="s">
        <v>8</v>
      </c>
      <c r="D17" s="4" t="s">
        <v>67</v>
      </c>
      <c r="E17" s="4" t="s">
        <v>68</v>
      </c>
      <c r="F17" s="4">
        <v>2015</v>
      </c>
      <c r="G17" s="4">
        <v>0.93</v>
      </c>
      <c r="H17" s="4">
        <v>0.93</v>
      </c>
    </row>
    <row r="18" spans="1:8" x14ac:dyDescent="0.3">
      <c r="A18" s="4" t="s">
        <v>7</v>
      </c>
      <c r="B18" s="4" t="s">
        <v>16</v>
      </c>
      <c r="C18" s="4" t="s">
        <v>9</v>
      </c>
      <c r="D18" s="4" t="s">
        <v>67</v>
      </c>
      <c r="E18" s="4" t="s">
        <v>69</v>
      </c>
      <c r="F18" s="4">
        <v>2015</v>
      </c>
      <c r="G18" s="4">
        <v>0.14000000000000001</v>
      </c>
      <c r="H18" s="4">
        <v>0.14000000000000001</v>
      </c>
    </row>
    <row r="19" spans="1:8" x14ac:dyDescent="0.3">
      <c r="A19" s="4" t="s">
        <v>7</v>
      </c>
      <c r="B19" s="4" t="s">
        <v>16</v>
      </c>
      <c r="C19" s="4" t="s">
        <v>10</v>
      </c>
      <c r="D19" s="4" t="s">
        <v>10</v>
      </c>
      <c r="E19" s="4" t="s">
        <v>70</v>
      </c>
      <c r="F19" s="4">
        <v>2015</v>
      </c>
      <c r="G19" s="4" t="s">
        <v>17</v>
      </c>
      <c r="H19" s="4">
        <v>15.1</v>
      </c>
    </row>
    <row r="20" spans="1:8" x14ac:dyDescent="0.3">
      <c r="A20" s="4" t="s">
        <v>12</v>
      </c>
      <c r="B20" s="4" t="s">
        <v>16</v>
      </c>
      <c r="C20" s="4" t="s">
        <v>6</v>
      </c>
      <c r="D20" s="4" t="s">
        <v>67</v>
      </c>
      <c r="E20" s="4" t="s">
        <v>68</v>
      </c>
      <c r="F20" s="4">
        <v>2024</v>
      </c>
      <c r="G20" s="4">
        <v>7.36</v>
      </c>
      <c r="H20" s="4">
        <v>7.36</v>
      </c>
    </row>
    <row r="21" spans="1:8" x14ac:dyDescent="0.3">
      <c r="A21" s="4" t="s">
        <v>12</v>
      </c>
      <c r="B21" s="4" t="s">
        <v>16</v>
      </c>
      <c r="C21" s="4" t="s">
        <v>8</v>
      </c>
      <c r="D21" s="4" t="s">
        <v>67</v>
      </c>
      <c r="E21" s="4" t="s">
        <v>68</v>
      </c>
      <c r="F21" s="4">
        <v>2024</v>
      </c>
      <c r="G21" s="4">
        <v>2.2999999999999998</v>
      </c>
      <c r="H21" s="4">
        <v>2.2999999999999998</v>
      </c>
    </row>
    <row r="22" spans="1:8" x14ac:dyDescent="0.3">
      <c r="A22" s="4" t="s">
        <v>12</v>
      </c>
      <c r="B22" s="4" t="s">
        <v>16</v>
      </c>
      <c r="C22" s="4" t="s">
        <v>9</v>
      </c>
      <c r="D22" s="4" t="s">
        <v>67</v>
      </c>
      <c r="E22" s="4" t="s">
        <v>69</v>
      </c>
      <c r="F22" s="4">
        <v>2024</v>
      </c>
      <c r="G22" s="4">
        <v>0.14000000000000001</v>
      </c>
      <c r="H22" s="4">
        <v>0.14000000000000001</v>
      </c>
    </row>
    <row r="23" spans="1:8" x14ac:dyDescent="0.3">
      <c r="A23" s="4" t="s">
        <v>20</v>
      </c>
      <c r="B23" s="4" t="s">
        <v>16</v>
      </c>
      <c r="C23" s="4" t="s">
        <v>71</v>
      </c>
      <c r="D23" s="4" t="s">
        <v>67</v>
      </c>
      <c r="E23" s="4" t="s">
        <v>68</v>
      </c>
      <c r="F23" s="4">
        <v>2024</v>
      </c>
      <c r="G23" s="4">
        <v>2.528</v>
      </c>
      <c r="H23" s="4">
        <v>2.528</v>
      </c>
    </row>
    <row r="24" spans="1:8" x14ac:dyDescent="0.3">
      <c r="A24" s="4" t="s">
        <v>20</v>
      </c>
      <c r="B24" s="4" t="s">
        <v>16</v>
      </c>
      <c r="C24" s="4" t="s">
        <v>9</v>
      </c>
      <c r="D24" s="4" t="s">
        <v>67</v>
      </c>
      <c r="E24" s="4" t="s">
        <v>69</v>
      </c>
      <c r="F24" s="4">
        <v>2024</v>
      </c>
      <c r="G24" s="4">
        <v>5.0999999999999997E-2</v>
      </c>
      <c r="H24" s="4">
        <v>5.0999999999999997E-2</v>
      </c>
    </row>
    <row r="25" spans="1:8" x14ac:dyDescent="0.3">
      <c r="A25" s="4" t="s">
        <v>14</v>
      </c>
      <c r="B25" s="4" t="s">
        <v>16</v>
      </c>
      <c r="C25" s="4"/>
      <c r="D25" s="4"/>
      <c r="E25" s="4"/>
      <c r="F25" s="4">
        <v>2024</v>
      </c>
      <c r="G25" s="4" t="s">
        <v>18</v>
      </c>
      <c r="H25" s="4"/>
    </row>
    <row r="26" spans="1:8" x14ac:dyDescent="0.3">
      <c r="A26" s="4" t="s">
        <v>7</v>
      </c>
      <c r="B26" s="4" t="s">
        <v>19</v>
      </c>
      <c r="C26" s="4" t="s">
        <v>6</v>
      </c>
      <c r="D26" s="4" t="s">
        <v>67</v>
      </c>
      <c r="E26" s="4" t="s">
        <v>68</v>
      </c>
      <c r="F26" s="4">
        <v>2015</v>
      </c>
      <c r="G26" s="4">
        <v>1.3</v>
      </c>
      <c r="H26" s="4">
        <v>1.3</v>
      </c>
    </row>
    <row r="27" spans="1:8" x14ac:dyDescent="0.3">
      <c r="A27" s="4" t="s">
        <v>7</v>
      </c>
      <c r="B27" s="4" t="s">
        <v>19</v>
      </c>
      <c r="C27" s="4" t="s">
        <v>8</v>
      </c>
      <c r="D27" s="4" t="s">
        <v>67</v>
      </c>
      <c r="E27" s="4" t="s">
        <v>68</v>
      </c>
      <c r="F27" s="4">
        <v>2015</v>
      </c>
      <c r="G27" s="4">
        <v>0.93</v>
      </c>
      <c r="H27" s="4">
        <v>0.93</v>
      </c>
    </row>
    <row r="28" spans="1:8" x14ac:dyDescent="0.3">
      <c r="A28" s="4" t="s">
        <v>7</v>
      </c>
      <c r="B28" s="4" t="s">
        <v>19</v>
      </c>
      <c r="C28" s="4" t="s">
        <v>9</v>
      </c>
      <c r="D28" s="4" t="s">
        <v>67</v>
      </c>
      <c r="E28" s="4" t="s">
        <v>69</v>
      </c>
      <c r="F28" s="4">
        <v>2015</v>
      </c>
      <c r="G28" s="4">
        <v>0.14000000000000001</v>
      </c>
      <c r="H28" s="4">
        <v>0.14000000000000001</v>
      </c>
    </row>
    <row r="29" spans="1:8" x14ac:dyDescent="0.3">
      <c r="A29" s="4" t="s">
        <v>7</v>
      </c>
      <c r="B29" s="4" t="s">
        <v>19</v>
      </c>
      <c r="C29" s="4" t="s">
        <v>10</v>
      </c>
      <c r="D29" s="4" t="s">
        <v>10</v>
      </c>
      <c r="E29" s="4" t="s">
        <v>70</v>
      </c>
      <c r="F29" s="4">
        <v>2015</v>
      </c>
      <c r="G29" s="4" t="s">
        <v>17</v>
      </c>
      <c r="H29" s="4">
        <v>15.1</v>
      </c>
    </row>
    <row r="30" spans="1:8" x14ac:dyDescent="0.3">
      <c r="A30" s="4" t="s">
        <v>14</v>
      </c>
      <c r="B30" s="4" t="s">
        <v>19</v>
      </c>
      <c r="C30" s="4"/>
      <c r="D30" s="4"/>
      <c r="E30" s="4"/>
      <c r="F30" s="4">
        <v>2024</v>
      </c>
      <c r="G30" s="4" t="s">
        <v>21</v>
      </c>
      <c r="H30" s="4"/>
    </row>
    <row r="31" spans="1:8" x14ac:dyDescent="0.3">
      <c r="A31" s="4" t="s">
        <v>7</v>
      </c>
      <c r="B31" s="4" t="s">
        <v>22</v>
      </c>
      <c r="C31" s="4" t="s">
        <v>6</v>
      </c>
      <c r="D31" s="4" t="s">
        <v>67</v>
      </c>
      <c r="E31" s="4" t="s">
        <v>68</v>
      </c>
      <c r="F31" s="4">
        <v>2015</v>
      </c>
      <c r="G31" s="4">
        <v>19.600000000000001</v>
      </c>
      <c r="H31" s="4">
        <v>19.600000000000001</v>
      </c>
    </row>
    <row r="32" spans="1:8" x14ac:dyDescent="0.3">
      <c r="A32" s="4" t="s">
        <v>7</v>
      </c>
      <c r="B32" s="4" t="s">
        <v>22</v>
      </c>
      <c r="C32" s="4" t="s">
        <v>8</v>
      </c>
      <c r="D32" s="4" t="s">
        <v>67</v>
      </c>
      <c r="E32" s="4" t="s">
        <v>68</v>
      </c>
      <c r="F32" s="4">
        <v>2015</v>
      </c>
      <c r="G32" s="4">
        <v>1.3</v>
      </c>
      <c r="H32" s="4">
        <v>1.3</v>
      </c>
    </row>
    <row r="33" spans="1:8" x14ac:dyDescent="0.3">
      <c r="A33" s="4" t="s">
        <v>7</v>
      </c>
      <c r="B33" s="4" t="s">
        <v>22</v>
      </c>
      <c r="C33" s="4" t="s">
        <v>9</v>
      </c>
      <c r="D33" s="4" t="s">
        <v>67</v>
      </c>
      <c r="E33" s="4" t="s">
        <v>69</v>
      </c>
      <c r="F33" s="4">
        <v>2015</v>
      </c>
      <c r="G33" s="4">
        <v>1.1499999999999999</v>
      </c>
      <c r="H33" s="4">
        <v>1.1499999999999999</v>
      </c>
    </row>
    <row r="34" spans="1:8" x14ac:dyDescent="0.3">
      <c r="A34" s="4" t="s">
        <v>7</v>
      </c>
      <c r="B34" s="4" t="s">
        <v>22</v>
      </c>
      <c r="C34" s="4" t="s">
        <v>10</v>
      </c>
      <c r="D34" s="4" t="s">
        <v>10</v>
      </c>
      <c r="E34" s="4" t="s">
        <v>70</v>
      </c>
      <c r="F34" s="4">
        <v>2015</v>
      </c>
      <c r="G34" s="4" t="s">
        <v>23</v>
      </c>
      <c r="H34" s="4"/>
    </row>
    <row r="35" spans="1:8" x14ac:dyDescent="0.3">
      <c r="A35" s="4" t="s">
        <v>14</v>
      </c>
      <c r="B35" s="4" t="s">
        <v>22</v>
      </c>
      <c r="C35" s="4"/>
      <c r="D35" s="4"/>
      <c r="E35" s="4"/>
      <c r="F35" s="4">
        <v>2024</v>
      </c>
      <c r="G35" s="4" t="s">
        <v>24</v>
      </c>
      <c r="H35" s="4"/>
    </row>
    <row r="36" spans="1:8" x14ac:dyDescent="0.3">
      <c r="A36" s="4" t="s">
        <v>7</v>
      </c>
      <c r="B36" s="4" t="s">
        <v>25</v>
      </c>
      <c r="C36" s="4" t="s">
        <v>6</v>
      </c>
      <c r="D36" s="4" t="s">
        <v>67</v>
      </c>
      <c r="E36" s="4" t="s">
        <v>68</v>
      </c>
      <c r="F36" s="4">
        <v>2015</v>
      </c>
      <c r="G36" s="4">
        <v>14</v>
      </c>
      <c r="H36" s="4">
        <v>14</v>
      </c>
    </row>
    <row r="37" spans="1:8" x14ac:dyDescent="0.3">
      <c r="A37" s="4" t="s">
        <v>7</v>
      </c>
      <c r="B37" s="4" t="s">
        <v>25</v>
      </c>
      <c r="C37" s="4" t="s">
        <v>8</v>
      </c>
      <c r="D37" s="4" t="s">
        <v>67</v>
      </c>
      <c r="E37" s="4" t="s">
        <v>68</v>
      </c>
      <c r="F37" s="4">
        <v>2015</v>
      </c>
      <c r="G37" s="4">
        <v>2.9</v>
      </c>
      <c r="H37" s="4">
        <v>2.9</v>
      </c>
    </row>
    <row r="38" spans="1:8" x14ac:dyDescent="0.3">
      <c r="A38" s="4" t="s">
        <v>7</v>
      </c>
      <c r="B38" s="4" t="s">
        <v>25</v>
      </c>
      <c r="C38" s="4" t="s">
        <v>9</v>
      </c>
      <c r="D38" s="4" t="s">
        <v>67</v>
      </c>
      <c r="E38" s="4" t="s">
        <v>69</v>
      </c>
      <c r="F38" s="4">
        <v>2015</v>
      </c>
      <c r="G38" s="4">
        <v>1.5</v>
      </c>
      <c r="H38" s="4">
        <v>1.5</v>
      </c>
    </row>
    <row r="39" spans="1:8" x14ac:dyDescent="0.3">
      <c r="A39" s="4" t="s">
        <v>7</v>
      </c>
      <c r="B39" s="4" t="s">
        <v>25</v>
      </c>
      <c r="C39" s="4" t="s">
        <v>10</v>
      </c>
      <c r="D39" s="4" t="s">
        <v>10</v>
      </c>
      <c r="E39" s="4" t="s">
        <v>70</v>
      </c>
      <c r="F39" s="4">
        <v>2015</v>
      </c>
      <c r="G39" s="4" t="s">
        <v>26</v>
      </c>
      <c r="H39" s="4">
        <v>81.099999999999994</v>
      </c>
    </row>
    <row r="40" spans="1:8" x14ac:dyDescent="0.3">
      <c r="A40" s="4" t="s">
        <v>13</v>
      </c>
      <c r="B40" s="4" t="s">
        <v>25</v>
      </c>
      <c r="C40" s="4" t="s">
        <v>71</v>
      </c>
      <c r="D40" s="4" t="s">
        <v>67</v>
      </c>
      <c r="E40" s="4" t="s">
        <v>68</v>
      </c>
      <c r="F40" s="4">
        <v>2024</v>
      </c>
      <c r="G40" s="4">
        <v>22.523</v>
      </c>
      <c r="H40" s="4">
        <v>22.523</v>
      </c>
    </row>
    <row r="41" spans="1:8" x14ac:dyDescent="0.3">
      <c r="A41" s="4" t="s">
        <v>13</v>
      </c>
      <c r="B41" s="4" t="s">
        <v>25</v>
      </c>
      <c r="C41" s="4" t="s">
        <v>9</v>
      </c>
      <c r="D41" s="4" t="s">
        <v>67</v>
      </c>
      <c r="E41" s="4" t="s">
        <v>69</v>
      </c>
      <c r="F41" s="4">
        <v>2024</v>
      </c>
      <c r="G41" s="4">
        <v>2.4060000000000001</v>
      </c>
      <c r="H41" s="4">
        <v>2.4060000000000001</v>
      </c>
    </row>
    <row r="42" spans="1:8" x14ac:dyDescent="0.3">
      <c r="A42" s="4" t="s">
        <v>13</v>
      </c>
      <c r="B42" s="4" t="s">
        <v>25</v>
      </c>
      <c r="C42" s="4" t="s">
        <v>71</v>
      </c>
      <c r="D42" s="4" t="s">
        <v>72</v>
      </c>
      <c r="E42" s="4" t="s">
        <v>68</v>
      </c>
      <c r="F42" s="4">
        <v>2024</v>
      </c>
      <c r="G42" s="4">
        <v>12.506</v>
      </c>
      <c r="H42" s="4">
        <v>12.506</v>
      </c>
    </row>
    <row r="43" spans="1:8" x14ac:dyDescent="0.3">
      <c r="A43" s="4" t="s">
        <v>13</v>
      </c>
      <c r="B43" s="4" t="s">
        <v>25</v>
      </c>
      <c r="C43" s="4" t="s">
        <v>9</v>
      </c>
      <c r="D43" s="4" t="s">
        <v>72</v>
      </c>
      <c r="E43" s="4" t="s">
        <v>69</v>
      </c>
      <c r="F43" s="4">
        <v>2024</v>
      </c>
      <c r="G43" s="4">
        <v>1.4770000000000001</v>
      </c>
      <c r="H43" s="4">
        <v>1.4770000000000001</v>
      </c>
    </row>
    <row r="44" spans="1:8" x14ac:dyDescent="0.3">
      <c r="A44" s="4" t="s">
        <v>13</v>
      </c>
      <c r="B44" s="4" t="s">
        <v>25</v>
      </c>
      <c r="C44" s="4" t="s">
        <v>71</v>
      </c>
      <c r="D44" s="4" t="s">
        <v>73</v>
      </c>
      <c r="E44" s="4" t="s">
        <v>68</v>
      </c>
      <c r="F44" s="4">
        <v>2024</v>
      </c>
      <c r="G44" s="4">
        <v>16.497</v>
      </c>
      <c r="H44" s="4">
        <v>16.497</v>
      </c>
    </row>
    <row r="45" spans="1:8" x14ac:dyDescent="0.3">
      <c r="A45" s="4" t="s">
        <v>13</v>
      </c>
      <c r="B45" s="4" t="s">
        <v>25</v>
      </c>
      <c r="C45" s="4" t="s">
        <v>9</v>
      </c>
      <c r="D45" s="4" t="s">
        <v>73</v>
      </c>
      <c r="E45" s="4" t="s">
        <v>69</v>
      </c>
      <c r="F45" s="4">
        <v>2024</v>
      </c>
      <c r="G45" s="4">
        <v>1.6719999999999999</v>
      </c>
      <c r="H45" s="4">
        <v>1.6719999999999999</v>
      </c>
    </row>
    <row r="46" spans="1:8" x14ac:dyDescent="0.3">
      <c r="A46" s="4" t="s">
        <v>14</v>
      </c>
      <c r="B46" s="4" t="s">
        <v>25</v>
      </c>
      <c r="C46" s="4"/>
      <c r="D46" s="4"/>
      <c r="E46" s="4"/>
      <c r="F46" s="4">
        <v>2024</v>
      </c>
      <c r="G46" s="4" t="s">
        <v>27</v>
      </c>
      <c r="H46" s="4"/>
    </row>
    <row r="47" spans="1:8" x14ac:dyDescent="0.3">
      <c r="A47" s="4" t="s">
        <v>7</v>
      </c>
      <c r="B47" s="4" t="s">
        <v>28</v>
      </c>
      <c r="C47" s="4" t="s">
        <v>6</v>
      </c>
      <c r="D47" s="4" t="s">
        <v>67</v>
      </c>
      <c r="E47" s="4" t="s">
        <v>68</v>
      </c>
      <c r="F47" s="4">
        <v>2015</v>
      </c>
      <c r="G47" s="4">
        <v>7.4</v>
      </c>
      <c r="H47" s="4">
        <v>7.4</v>
      </c>
    </row>
    <row r="48" spans="1:8" x14ac:dyDescent="0.3">
      <c r="A48" s="4" t="s">
        <v>7</v>
      </c>
      <c r="B48" s="4" t="s">
        <v>28</v>
      </c>
      <c r="C48" s="4" t="s">
        <v>8</v>
      </c>
      <c r="D48" s="4" t="s">
        <v>67</v>
      </c>
      <c r="E48" s="4" t="s">
        <v>68</v>
      </c>
      <c r="F48" s="4">
        <v>2015</v>
      </c>
      <c r="G48" s="4">
        <v>3.5</v>
      </c>
      <c r="H48" s="4">
        <v>3.5</v>
      </c>
    </row>
    <row r="49" spans="1:8" x14ac:dyDescent="0.3">
      <c r="A49" s="4" t="s">
        <v>7</v>
      </c>
      <c r="B49" s="4" t="s">
        <v>28</v>
      </c>
      <c r="C49" s="4" t="s">
        <v>9</v>
      </c>
      <c r="D49" s="4" t="s">
        <v>67</v>
      </c>
      <c r="E49" s="4" t="s">
        <v>69</v>
      </c>
      <c r="F49" s="4">
        <v>2015</v>
      </c>
      <c r="G49" s="4">
        <v>0.6</v>
      </c>
      <c r="H49" s="4">
        <v>0.6</v>
      </c>
    </row>
    <row r="50" spans="1:8" x14ac:dyDescent="0.3">
      <c r="A50" s="4" t="s">
        <v>14</v>
      </c>
      <c r="B50" s="4" t="s">
        <v>28</v>
      </c>
      <c r="C50" s="4"/>
      <c r="D50" s="4"/>
      <c r="E50" s="4"/>
      <c r="F50" s="4">
        <v>2024</v>
      </c>
      <c r="G50" s="4" t="s">
        <v>29</v>
      </c>
      <c r="H50" s="4"/>
    </row>
    <row r="51" spans="1:8" x14ac:dyDescent="0.3">
      <c r="A51" s="4" t="s">
        <v>7</v>
      </c>
      <c r="B51" s="4" t="s">
        <v>30</v>
      </c>
      <c r="C51" s="4" t="s">
        <v>6</v>
      </c>
      <c r="D51" s="4" t="s">
        <v>67</v>
      </c>
      <c r="E51" s="4" t="s">
        <v>68</v>
      </c>
      <c r="F51" s="4">
        <v>2015</v>
      </c>
      <c r="G51" s="4">
        <v>15.8</v>
      </c>
      <c r="H51" s="4">
        <v>15.8</v>
      </c>
    </row>
    <row r="52" spans="1:8" x14ac:dyDescent="0.3">
      <c r="A52" s="4" t="s">
        <v>7</v>
      </c>
      <c r="B52" s="4" t="s">
        <v>30</v>
      </c>
      <c r="C52" s="4" t="s">
        <v>8</v>
      </c>
      <c r="D52" s="4" t="s">
        <v>67</v>
      </c>
      <c r="E52" s="4" t="s">
        <v>68</v>
      </c>
      <c r="F52" s="4">
        <v>2015</v>
      </c>
      <c r="G52" s="4">
        <v>10.9</v>
      </c>
      <c r="H52" s="4">
        <v>10.9</v>
      </c>
    </row>
    <row r="53" spans="1:8" x14ac:dyDescent="0.3">
      <c r="A53" s="4" t="s">
        <v>7</v>
      </c>
      <c r="B53" s="4" t="s">
        <v>30</v>
      </c>
      <c r="C53" s="4" t="s">
        <v>9</v>
      </c>
      <c r="D53" s="4" t="s">
        <v>67</v>
      </c>
      <c r="E53" s="4" t="s">
        <v>69</v>
      </c>
      <c r="F53" s="4">
        <v>2015</v>
      </c>
      <c r="G53" s="4">
        <v>4.9000000000000004</v>
      </c>
      <c r="H53" s="4">
        <v>4.9000000000000004</v>
      </c>
    </row>
    <row r="54" spans="1:8" x14ac:dyDescent="0.3">
      <c r="A54" s="4" t="s">
        <v>14</v>
      </c>
      <c r="B54" s="4" t="s">
        <v>30</v>
      </c>
      <c r="C54" s="4"/>
      <c r="D54" s="4"/>
      <c r="E54" s="4"/>
      <c r="F54" s="4">
        <v>2024</v>
      </c>
      <c r="G54" s="4" t="s">
        <v>31</v>
      </c>
      <c r="H54" s="4"/>
    </row>
    <row r="55" spans="1:8" x14ac:dyDescent="0.3">
      <c r="A55" s="4" t="s">
        <v>7</v>
      </c>
      <c r="B55" s="4" t="s">
        <v>32</v>
      </c>
      <c r="C55" s="4" t="s">
        <v>6</v>
      </c>
      <c r="D55" s="4" t="s">
        <v>67</v>
      </c>
      <c r="E55" s="4" t="s">
        <v>68</v>
      </c>
      <c r="F55" s="4">
        <v>2015</v>
      </c>
      <c r="G55" s="4">
        <v>6.7</v>
      </c>
      <c r="H55" s="4">
        <v>6.7</v>
      </c>
    </row>
    <row r="56" spans="1:8" x14ac:dyDescent="0.3">
      <c r="A56" s="4" t="s">
        <v>7</v>
      </c>
      <c r="B56" s="4" t="s">
        <v>32</v>
      </c>
      <c r="C56" s="4" t="s">
        <v>8</v>
      </c>
      <c r="D56" s="4" t="s">
        <v>67</v>
      </c>
      <c r="E56" s="4" t="s">
        <v>68</v>
      </c>
      <c r="F56" s="4">
        <v>2015</v>
      </c>
      <c r="G56" s="4">
        <v>3.4</v>
      </c>
      <c r="H56" s="4">
        <v>3.4</v>
      </c>
    </row>
    <row r="57" spans="1:8" x14ac:dyDescent="0.3">
      <c r="A57" s="4" t="s">
        <v>7</v>
      </c>
      <c r="B57" s="4" t="s">
        <v>32</v>
      </c>
      <c r="C57" s="4" t="s">
        <v>9</v>
      </c>
      <c r="D57" s="4" t="s">
        <v>67</v>
      </c>
      <c r="E57" s="4" t="s">
        <v>69</v>
      </c>
      <c r="F57" s="4">
        <v>2015</v>
      </c>
      <c r="G57" s="4">
        <v>0.6</v>
      </c>
      <c r="H57" s="4">
        <v>0.6</v>
      </c>
    </row>
    <row r="58" spans="1:8" x14ac:dyDescent="0.3">
      <c r="A58" s="4" t="s">
        <v>12</v>
      </c>
      <c r="B58" s="4" t="s">
        <v>32</v>
      </c>
      <c r="C58" s="4" t="s">
        <v>6</v>
      </c>
      <c r="D58" s="4" t="s">
        <v>67</v>
      </c>
      <c r="E58" s="4" t="s">
        <v>68</v>
      </c>
      <c r="F58" s="4">
        <v>2024</v>
      </c>
      <c r="G58" s="4">
        <v>2.65</v>
      </c>
      <c r="H58" s="4">
        <v>2.65</v>
      </c>
    </row>
    <row r="59" spans="1:8" x14ac:dyDescent="0.3">
      <c r="A59" s="4" t="s">
        <v>12</v>
      </c>
      <c r="B59" s="4" t="s">
        <v>32</v>
      </c>
      <c r="C59" s="4" t="s">
        <v>8</v>
      </c>
      <c r="D59" s="4" t="s">
        <v>67</v>
      </c>
      <c r="E59" s="4" t="s">
        <v>68</v>
      </c>
      <c r="F59" s="4">
        <v>2024</v>
      </c>
      <c r="G59" s="4">
        <v>1.54</v>
      </c>
      <c r="H59" s="4">
        <v>1.54</v>
      </c>
    </row>
    <row r="60" spans="1:8" x14ac:dyDescent="0.3">
      <c r="A60" s="4" t="s">
        <v>12</v>
      </c>
      <c r="B60" s="4" t="s">
        <v>32</v>
      </c>
      <c r="C60" s="4" t="s">
        <v>9</v>
      </c>
      <c r="D60" s="4" t="s">
        <v>67</v>
      </c>
      <c r="E60" s="4" t="s">
        <v>69</v>
      </c>
      <c r="F60" s="4">
        <v>2024</v>
      </c>
      <c r="G60" s="4">
        <v>0.21</v>
      </c>
      <c r="H60" s="4">
        <v>0.21</v>
      </c>
    </row>
    <row r="61" spans="1:8" x14ac:dyDescent="0.3">
      <c r="A61" s="4" t="s">
        <v>13</v>
      </c>
      <c r="B61" s="4" t="s">
        <v>32</v>
      </c>
      <c r="C61" s="4" t="s">
        <v>71</v>
      </c>
      <c r="D61" s="4" t="s">
        <v>67</v>
      </c>
      <c r="E61" s="4" t="s">
        <v>68</v>
      </c>
      <c r="F61" s="4">
        <v>2024</v>
      </c>
      <c r="G61" s="4">
        <v>7.2469999999999999</v>
      </c>
      <c r="H61" s="4">
        <v>7.2469999999999999</v>
      </c>
    </row>
    <row r="62" spans="1:8" x14ac:dyDescent="0.3">
      <c r="A62" s="4" t="s">
        <v>13</v>
      </c>
      <c r="B62" s="4" t="s">
        <v>32</v>
      </c>
      <c r="C62" s="4" t="s">
        <v>9</v>
      </c>
      <c r="D62" s="4" t="s">
        <v>67</v>
      </c>
      <c r="E62" s="4" t="s">
        <v>69</v>
      </c>
      <c r="F62" s="4">
        <v>2024</v>
      </c>
      <c r="G62" s="4">
        <v>0.03</v>
      </c>
      <c r="H62" s="4">
        <v>0.03</v>
      </c>
    </row>
    <row r="63" spans="1:8" x14ac:dyDescent="0.3">
      <c r="A63" s="4" t="s">
        <v>13</v>
      </c>
      <c r="B63" s="4" t="s">
        <v>32</v>
      </c>
      <c r="C63" s="4" t="s">
        <v>71</v>
      </c>
      <c r="D63" s="4" t="s">
        <v>72</v>
      </c>
      <c r="E63" s="4" t="s">
        <v>68</v>
      </c>
      <c r="F63" s="4">
        <v>2024</v>
      </c>
      <c r="G63" s="4">
        <v>5.22</v>
      </c>
      <c r="H63" s="4">
        <v>5.22</v>
      </c>
    </row>
    <row r="64" spans="1:8" x14ac:dyDescent="0.3">
      <c r="A64" s="4" t="s">
        <v>13</v>
      </c>
      <c r="B64" s="4" t="s">
        <v>32</v>
      </c>
      <c r="C64" s="4" t="s">
        <v>9</v>
      </c>
      <c r="D64" s="4" t="s">
        <v>72</v>
      </c>
      <c r="E64" s="4" t="s">
        <v>69</v>
      </c>
      <c r="F64" s="4">
        <v>2024</v>
      </c>
      <c r="G64" s="4">
        <v>4.2999999999999997E-2</v>
      </c>
      <c r="H64" s="4">
        <v>4.2999999999999997E-2</v>
      </c>
    </row>
    <row r="65" spans="1:8" x14ac:dyDescent="0.3">
      <c r="A65" s="4" t="s">
        <v>13</v>
      </c>
      <c r="B65" s="4" t="s">
        <v>32</v>
      </c>
      <c r="C65" s="4" t="s">
        <v>71</v>
      </c>
      <c r="D65" s="4" t="s">
        <v>73</v>
      </c>
      <c r="E65" s="4" t="s">
        <v>68</v>
      </c>
      <c r="F65" s="4">
        <v>2024</v>
      </c>
      <c r="G65" s="4">
        <v>4.0439999999999996</v>
      </c>
      <c r="H65" s="4">
        <v>4.0439999999999996</v>
      </c>
    </row>
    <row r="66" spans="1:8" x14ac:dyDescent="0.3">
      <c r="A66" s="4" t="s">
        <v>13</v>
      </c>
      <c r="B66" s="4" t="s">
        <v>32</v>
      </c>
      <c r="C66" s="4" t="s">
        <v>9</v>
      </c>
      <c r="D66" s="4" t="s">
        <v>73</v>
      </c>
      <c r="E66" s="4" t="s">
        <v>69</v>
      </c>
      <c r="F66" s="4">
        <v>2024</v>
      </c>
      <c r="G66" s="4">
        <v>4.48E-2</v>
      </c>
      <c r="H66" s="4">
        <v>4.48E-2</v>
      </c>
    </row>
    <row r="67" spans="1:8" x14ac:dyDescent="0.3">
      <c r="A67" s="4" t="s">
        <v>14</v>
      </c>
      <c r="B67" s="4" t="s">
        <v>32</v>
      </c>
      <c r="C67" s="4"/>
      <c r="D67" s="4"/>
      <c r="E67" s="4"/>
      <c r="F67" s="4">
        <v>2024</v>
      </c>
      <c r="G67" s="4" t="s">
        <v>33</v>
      </c>
      <c r="H67" s="4"/>
    </row>
    <row r="68" spans="1:8" x14ac:dyDescent="0.3">
      <c r="A68" s="4" t="s">
        <v>7</v>
      </c>
      <c r="B68" s="4" t="s">
        <v>57</v>
      </c>
      <c r="C68" s="4" t="s">
        <v>6</v>
      </c>
      <c r="D68" s="4" t="s">
        <v>67</v>
      </c>
      <c r="E68" s="4" t="s">
        <v>68</v>
      </c>
      <c r="F68" s="4">
        <v>2015</v>
      </c>
      <c r="G68" s="4">
        <v>8</v>
      </c>
      <c r="H68" s="4">
        <v>8</v>
      </c>
    </row>
    <row r="69" spans="1:8" x14ac:dyDescent="0.3">
      <c r="A69" s="4" t="s">
        <v>7</v>
      </c>
      <c r="B69" s="4" t="s">
        <v>57</v>
      </c>
      <c r="C69" s="4" t="s">
        <v>8</v>
      </c>
      <c r="D69" s="4" t="s">
        <v>67</v>
      </c>
      <c r="E69" s="4" t="s">
        <v>68</v>
      </c>
      <c r="F69" s="4">
        <v>2015</v>
      </c>
      <c r="G69" s="4">
        <v>15.6</v>
      </c>
      <c r="H69" s="4">
        <v>15.6</v>
      </c>
    </row>
    <row r="70" spans="1:8" x14ac:dyDescent="0.3">
      <c r="A70" s="4" t="s">
        <v>7</v>
      </c>
      <c r="B70" s="4" t="s">
        <v>57</v>
      </c>
      <c r="C70" s="4" t="s">
        <v>9</v>
      </c>
      <c r="D70" s="4" t="s">
        <v>67</v>
      </c>
      <c r="E70" s="4" t="s">
        <v>69</v>
      </c>
      <c r="F70" s="4">
        <v>2015</v>
      </c>
      <c r="G70" s="4">
        <v>0.2</v>
      </c>
      <c r="H70" s="4">
        <v>0.2</v>
      </c>
    </row>
    <row r="71" spans="1:8" x14ac:dyDescent="0.3">
      <c r="A71" s="4" t="s">
        <v>12</v>
      </c>
      <c r="B71" s="4" t="s">
        <v>57</v>
      </c>
      <c r="C71" s="4" t="s">
        <v>6</v>
      </c>
      <c r="D71" s="4" t="s">
        <v>67</v>
      </c>
      <c r="E71" s="4" t="s">
        <v>68</v>
      </c>
      <c r="F71" s="4">
        <v>2024</v>
      </c>
      <c r="G71" s="4">
        <v>1.5</v>
      </c>
      <c r="H71" s="4">
        <v>1.5</v>
      </c>
    </row>
    <row r="72" spans="1:8" x14ac:dyDescent="0.3">
      <c r="A72" s="4" t="s">
        <v>12</v>
      </c>
      <c r="B72" s="4" t="s">
        <v>57</v>
      </c>
      <c r="C72" s="4" t="s">
        <v>8</v>
      </c>
      <c r="D72" s="4" t="s">
        <v>67</v>
      </c>
      <c r="E72" s="4" t="s">
        <v>68</v>
      </c>
      <c r="F72" s="4">
        <v>2024</v>
      </c>
      <c r="G72" s="4">
        <v>13.68</v>
      </c>
      <c r="H72" s="4">
        <v>13.68</v>
      </c>
    </row>
    <row r="73" spans="1:8" x14ac:dyDescent="0.3">
      <c r="A73" s="4" t="s">
        <v>12</v>
      </c>
      <c r="B73" s="4" t="s">
        <v>57</v>
      </c>
      <c r="C73" s="4" t="s">
        <v>9</v>
      </c>
      <c r="D73" s="4" t="s">
        <v>67</v>
      </c>
      <c r="E73" s="4" t="s">
        <v>69</v>
      </c>
      <c r="F73" s="4">
        <v>2024</v>
      </c>
      <c r="G73" s="4">
        <v>0.28000000000000003</v>
      </c>
      <c r="H73" s="4">
        <v>0.28000000000000003</v>
      </c>
    </row>
    <row r="74" spans="1:8" x14ac:dyDescent="0.3">
      <c r="A74" s="4" t="s">
        <v>14</v>
      </c>
      <c r="B74" s="4" t="s">
        <v>57</v>
      </c>
      <c r="C74" s="4"/>
      <c r="D74" s="4"/>
      <c r="E74" s="4"/>
      <c r="F74" s="4">
        <v>2024</v>
      </c>
      <c r="G74" s="4" t="s">
        <v>35</v>
      </c>
      <c r="H74" s="4"/>
    </row>
    <row r="75" spans="1:8" x14ac:dyDescent="0.3">
      <c r="A75" s="4" t="s">
        <v>7</v>
      </c>
      <c r="B75" s="4" t="s">
        <v>36</v>
      </c>
      <c r="C75" s="4" t="s">
        <v>6</v>
      </c>
      <c r="D75" s="4" t="s">
        <v>67</v>
      </c>
      <c r="E75" s="4" t="s">
        <v>68</v>
      </c>
      <c r="F75" s="4">
        <v>2015</v>
      </c>
      <c r="G75" s="4">
        <v>13</v>
      </c>
      <c r="H75" s="4">
        <v>13</v>
      </c>
    </row>
    <row r="76" spans="1:8" x14ac:dyDescent="0.3">
      <c r="A76" s="4" t="s">
        <v>7</v>
      </c>
      <c r="B76" s="4" t="s">
        <v>36</v>
      </c>
      <c r="C76" s="4" t="s">
        <v>8</v>
      </c>
      <c r="D76" s="4" t="s">
        <v>67</v>
      </c>
      <c r="E76" s="4" t="s">
        <v>68</v>
      </c>
      <c r="F76" s="4">
        <v>2015</v>
      </c>
      <c r="G76" s="4">
        <v>6.7</v>
      </c>
      <c r="H76" s="4">
        <v>6.7</v>
      </c>
    </row>
    <row r="77" spans="1:8" x14ac:dyDescent="0.3">
      <c r="A77" s="4" t="s">
        <v>7</v>
      </c>
      <c r="B77" s="4" t="s">
        <v>36</v>
      </c>
      <c r="C77" s="4" t="s">
        <v>9</v>
      </c>
      <c r="D77" s="4" t="s">
        <v>67</v>
      </c>
      <c r="E77" s="4" t="s">
        <v>69</v>
      </c>
      <c r="F77" s="4">
        <v>2015</v>
      </c>
      <c r="G77" s="4">
        <v>0.7</v>
      </c>
      <c r="H77" s="4">
        <v>0.7</v>
      </c>
    </row>
    <row r="78" spans="1:8" x14ac:dyDescent="0.3">
      <c r="A78" s="4" t="s">
        <v>12</v>
      </c>
      <c r="B78" s="4" t="s">
        <v>36</v>
      </c>
      <c r="C78" s="4" t="s">
        <v>6</v>
      </c>
      <c r="D78" s="4" t="s">
        <v>67</v>
      </c>
      <c r="E78" s="4" t="s">
        <v>68</v>
      </c>
      <c r="F78" s="4">
        <v>2024</v>
      </c>
      <c r="G78" s="4">
        <v>1.61</v>
      </c>
      <c r="H78" s="4">
        <v>1.61</v>
      </c>
    </row>
    <row r="79" spans="1:8" x14ac:dyDescent="0.3">
      <c r="A79" s="4" t="s">
        <v>12</v>
      </c>
      <c r="B79" s="4" t="s">
        <v>36</v>
      </c>
      <c r="C79" s="4" t="s">
        <v>8</v>
      </c>
      <c r="D79" s="4" t="s">
        <v>67</v>
      </c>
      <c r="E79" s="4" t="s">
        <v>68</v>
      </c>
      <c r="F79" s="4">
        <v>2024</v>
      </c>
      <c r="G79" s="4">
        <v>3.08</v>
      </c>
      <c r="H79" s="4">
        <v>3.08</v>
      </c>
    </row>
    <row r="80" spans="1:8" x14ac:dyDescent="0.3">
      <c r="A80" s="4" t="s">
        <v>12</v>
      </c>
      <c r="B80" s="4" t="s">
        <v>36</v>
      </c>
      <c r="C80" s="4" t="s">
        <v>9</v>
      </c>
      <c r="D80" s="4" t="s">
        <v>67</v>
      </c>
      <c r="E80" s="4" t="s">
        <v>69</v>
      </c>
      <c r="F80" s="4">
        <v>2024</v>
      </c>
      <c r="G80" s="4">
        <v>0.09</v>
      </c>
      <c r="H80" s="4">
        <v>0.09</v>
      </c>
    </row>
    <row r="81" spans="1:8" x14ac:dyDescent="0.3">
      <c r="A81" s="4" t="s">
        <v>13</v>
      </c>
      <c r="B81" s="4" t="s">
        <v>36</v>
      </c>
      <c r="C81" s="4" t="s">
        <v>71</v>
      </c>
      <c r="D81" s="4" t="s">
        <v>67</v>
      </c>
      <c r="E81" s="4" t="s">
        <v>68</v>
      </c>
      <c r="F81" s="4">
        <v>2024</v>
      </c>
      <c r="G81" s="4">
        <v>9.9700000000000006</v>
      </c>
      <c r="H81" s="4">
        <v>9.9700000000000006</v>
      </c>
    </row>
    <row r="82" spans="1:8" x14ac:dyDescent="0.3">
      <c r="A82" s="4" t="s">
        <v>13</v>
      </c>
      <c r="B82" s="4" t="s">
        <v>36</v>
      </c>
      <c r="C82" s="4" t="s">
        <v>9</v>
      </c>
      <c r="D82" s="4" t="s">
        <v>67</v>
      </c>
      <c r="E82" s="4" t="s">
        <v>69</v>
      </c>
      <c r="F82" s="4">
        <v>2024</v>
      </c>
      <c r="G82" s="4">
        <v>9.6500000000000002E-2</v>
      </c>
      <c r="H82" s="4">
        <v>9.6500000000000002E-2</v>
      </c>
    </row>
    <row r="83" spans="1:8" x14ac:dyDescent="0.3">
      <c r="A83" s="4" t="s">
        <v>13</v>
      </c>
      <c r="B83" s="4" t="s">
        <v>36</v>
      </c>
      <c r="C83" s="4" t="s">
        <v>71</v>
      </c>
      <c r="D83" s="4" t="s">
        <v>72</v>
      </c>
      <c r="E83" s="4" t="s">
        <v>68</v>
      </c>
      <c r="F83" s="4">
        <v>2024</v>
      </c>
      <c r="G83" s="4">
        <v>6.3639999999999999</v>
      </c>
      <c r="H83" s="4">
        <v>6.3639999999999999</v>
      </c>
    </row>
    <row r="84" spans="1:8" x14ac:dyDescent="0.3">
      <c r="A84" s="4" t="s">
        <v>13</v>
      </c>
      <c r="B84" s="4" t="s">
        <v>36</v>
      </c>
      <c r="C84" s="4" t="s">
        <v>9</v>
      </c>
      <c r="D84" s="4" t="s">
        <v>72</v>
      </c>
      <c r="E84" s="4" t="s">
        <v>69</v>
      </c>
      <c r="F84" s="4">
        <v>2024</v>
      </c>
      <c r="G84" s="4">
        <v>6.6000000000000003E-2</v>
      </c>
      <c r="H84" s="4">
        <v>6.6000000000000003E-2</v>
      </c>
    </row>
    <row r="85" spans="1:8" x14ac:dyDescent="0.3">
      <c r="A85" s="4" t="s">
        <v>13</v>
      </c>
      <c r="B85" s="4" t="s">
        <v>36</v>
      </c>
      <c r="C85" s="4" t="s">
        <v>71</v>
      </c>
      <c r="D85" s="4" t="s">
        <v>73</v>
      </c>
      <c r="E85" s="4" t="s">
        <v>68</v>
      </c>
      <c r="F85" s="4">
        <v>2024</v>
      </c>
      <c r="G85" s="4">
        <v>6.3659999999999997</v>
      </c>
      <c r="H85" s="4">
        <v>6.3659999999999997</v>
      </c>
    </row>
    <row r="86" spans="1:8" x14ac:dyDescent="0.3">
      <c r="A86" s="4" t="s">
        <v>13</v>
      </c>
      <c r="B86" s="4" t="s">
        <v>36</v>
      </c>
      <c r="C86" s="4" t="s">
        <v>9</v>
      </c>
      <c r="D86" s="4" t="s">
        <v>73</v>
      </c>
      <c r="E86" s="4" t="s">
        <v>69</v>
      </c>
      <c r="F86" s="4">
        <v>2024</v>
      </c>
      <c r="G86" s="4">
        <v>4.9799999999999997E-2</v>
      </c>
      <c r="H86" s="4">
        <v>4.9799999999999997E-2</v>
      </c>
    </row>
    <row r="87" spans="1:8" x14ac:dyDescent="0.3">
      <c r="A87" s="4" t="s">
        <v>14</v>
      </c>
      <c r="B87" s="4" t="s">
        <v>36</v>
      </c>
      <c r="C87" s="4"/>
      <c r="D87" s="4"/>
      <c r="E87" s="4"/>
      <c r="F87" s="4">
        <v>2024</v>
      </c>
      <c r="G87" s="4" t="s">
        <v>37</v>
      </c>
      <c r="H87" s="4"/>
    </row>
    <row r="88" spans="1:8" x14ac:dyDescent="0.3">
      <c r="A88" s="4" t="s">
        <v>12</v>
      </c>
      <c r="B88" s="4" t="s">
        <v>38</v>
      </c>
      <c r="C88" s="4" t="s">
        <v>6</v>
      </c>
      <c r="D88" s="4" t="s">
        <v>67</v>
      </c>
      <c r="E88" s="4" t="s">
        <v>68</v>
      </c>
      <c r="F88" s="4">
        <v>2024</v>
      </c>
      <c r="G88" s="4">
        <v>4.1900000000000004</v>
      </c>
      <c r="H88" s="4">
        <v>4.1900000000000004</v>
      </c>
    </row>
    <row r="89" spans="1:8" x14ac:dyDescent="0.3">
      <c r="A89" s="4" t="s">
        <v>12</v>
      </c>
      <c r="B89" s="4" t="s">
        <v>38</v>
      </c>
      <c r="C89" s="4" t="s">
        <v>8</v>
      </c>
      <c r="D89" s="4" t="s">
        <v>67</v>
      </c>
      <c r="E89" s="4" t="s">
        <v>68</v>
      </c>
      <c r="F89" s="4">
        <v>2024</v>
      </c>
      <c r="G89" s="4">
        <v>2.86</v>
      </c>
      <c r="H89" s="4">
        <v>2.86</v>
      </c>
    </row>
    <row r="90" spans="1:8" x14ac:dyDescent="0.3">
      <c r="A90" s="4" t="s">
        <v>12</v>
      </c>
      <c r="B90" s="4" t="s">
        <v>38</v>
      </c>
      <c r="C90" s="4" t="s">
        <v>9</v>
      </c>
      <c r="D90" s="4" t="s">
        <v>67</v>
      </c>
      <c r="E90" s="4" t="s">
        <v>69</v>
      </c>
      <c r="F90" s="4">
        <v>2024</v>
      </c>
      <c r="G90" s="4">
        <v>0.13</v>
      </c>
      <c r="H90" s="4">
        <v>0.13</v>
      </c>
    </row>
    <row r="91" spans="1:8" x14ac:dyDescent="0.3">
      <c r="A91" s="4" t="s">
        <v>20</v>
      </c>
      <c r="B91" s="4" t="s">
        <v>38</v>
      </c>
      <c r="C91" s="4" t="s">
        <v>71</v>
      </c>
      <c r="D91" s="4" t="s">
        <v>67</v>
      </c>
      <c r="E91" s="4" t="s">
        <v>68</v>
      </c>
      <c r="F91" s="4">
        <v>2024</v>
      </c>
      <c r="G91" s="4">
        <v>9328</v>
      </c>
      <c r="H91" s="4">
        <v>9.3279999999999994</v>
      </c>
    </row>
    <row r="92" spans="1:8" x14ac:dyDescent="0.3">
      <c r="A92" s="4" t="s">
        <v>20</v>
      </c>
      <c r="B92" s="4" t="s">
        <v>38</v>
      </c>
      <c r="C92" s="4" t="s">
        <v>9</v>
      </c>
      <c r="D92" s="4" t="s">
        <v>67</v>
      </c>
      <c r="E92" s="4" t="s">
        <v>69</v>
      </c>
      <c r="F92" s="4">
        <v>2024</v>
      </c>
      <c r="G92" s="4">
        <v>0.3</v>
      </c>
      <c r="H92" s="4">
        <v>0.3</v>
      </c>
    </row>
    <row r="93" spans="1:8" x14ac:dyDescent="0.3">
      <c r="A93" s="4" t="s">
        <v>20</v>
      </c>
      <c r="B93" s="4" t="s">
        <v>38</v>
      </c>
      <c r="C93" s="4" t="s">
        <v>71</v>
      </c>
      <c r="D93" s="4" t="s">
        <v>72</v>
      </c>
      <c r="E93" s="4" t="s">
        <v>68</v>
      </c>
      <c r="F93" s="4">
        <v>2024</v>
      </c>
      <c r="G93" s="4">
        <v>10.8</v>
      </c>
      <c r="H93" s="4">
        <v>10.8</v>
      </c>
    </row>
    <row r="94" spans="1:8" x14ac:dyDescent="0.3">
      <c r="A94" s="4" t="s">
        <v>20</v>
      </c>
      <c r="B94" s="4" t="s">
        <v>38</v>
      </c>
      <c r="C94" s="4" t="s">
        <v>9</v>
      </c>
      <c r="D94" s="4" t="s">
        <v>72</v>
      </c>
      <c r="E94" s="4" t="s">
        <v>69</v>
      </c>
      <c r="F94" s="4">
        <v>2024</v>
      </c>
      <c r="G94" s="4">
        <v>0.105</v>
      </c>
      <c r="H94" s="4">
        <v>0.105</v>
      </c>
    </row>
    <row r="95" spans="1:8" x14ac:dyDescent="0.3">
      <c r="A95" s="4" t="s">
        <v>20</v>
      </c>
      <c r="B95" s="4" t="s">
        <v>38</v>
      </c>
      <c r="C95" s="4" t="s">
        <v>71</v>
      </c>
      <c r="D95" s="4" t="s">
        <v>73</v>
      </c>
      <c r="E95" s="4" t="s">
        <v>68</v>
      </c>
      <c r="F95" s="4">
        <v>2024</v>
      </c>
      <c r="G95" s="4">
        <v>10</v>
      </c>
      <c r="H95" s="4">
        <v>10</v>
      </c>
    </row>
    <row r="96" spans="1:8" x14ac:dyDescent="0.3">
      <c r="A96" s="4" t="s">
        <v>20</v>
      </c>
      <c r="B96" s="4" t="s">
        <v>38</v>
      </c>
      <c r="C96" s="4" t="s">
        <v>9</v>
      </c>
      <c r="D96" s="4" t="s">
        <v>73</v>
      </c>
      <c r="E96" s="4" t="s">
        <v>69</v>
      </c>
      <c r="F96" s="4">
        <v>2024</v>
      </c>
      <c r="G96" s="4">
        <v>0.10100000000000001</v>
      </c>
      <c r="H96" s="4">
        <v>0.10100000000000001</v>
      </c>
    </row>
    <row r="97" spans="1:8" x14ac:dyDescent="0.3">
      <c r="A97" s="4" t="s">
        <v>14</v>
      </c>
      <c r="B97" s="4" t="s">
        <v>38</v>
      </c>
      <c r="C97" s="4"/>
      <c r="D97" s="4"/>
      <c r="E97" s="4"/>
      <c r="F97" s="4">
        <v>2024</v>
      </c>
      <c r="G97" s="4" t="s">
        <v>39</v>
      </c>
      <c r="H97" s="4"/>
    </row>
    <row r="98" spans="1:8" x14ac:dyDescent="0.3">
      <c r="A98" s="4" t="s">
        <v>7</v>
      </c>
      <c r="B98" s="4" t="s">
        <v>40</v>
      </c>
      <c r="C98" s="4" t="s">
        <v>6</v>
      </c>
      <c r="D98" s="4" t="s">
        <v>67</v>
      </c>
      <c r="E98" s="4" t="s">
        <v>68</v>
      </c>
      <c r="F98" s="4">
        <v>2015</v>
      </c>
      <c r="G98" s="4">
        <v>8</v>
      </c>
      <c r="H98" s="4">
        <v>8</v>
      </c>
    </row>
    <row r="99" spans="1:8" x14ac:dyDescent="0.3">
      <c r="A99" s="4" t="s">
        <v>7</v>
      </c>
      <c r="B99" s="4" t="s">
        <v>40</v>
      </c>
      <c r="C99" s="4" t="s">
        <v>8</v>
      </c>
      <c r="D99" s="4" t="s">
        <v>67</v>
      </c>
      <c r="E99" s="4" t="s">
        <v>68</v>
      </c>
      <c r="F99" s="4">
        <v>2015</v>
      </c>
      <c r="G99" s="4">
        <v>4</v>
      </c>
      <c r="H99" s="4">
        <v>4</v>
      </c>
    </row>
    <row r="100" spans="1:8" x14ac:dyDescent="0.3">
      <c r="A100" s="4" t="s">
        <v>7</v>
      </c>
      <c r="B100" s="4" t="s">
        <v>40</v>
      </c>
      <c r="C100" s="4" t="s">
        <v>9</v>
      </c>
      <c r="D100" s="4" t="s">
        <v>67</v>
      </c>
      <c r="E100" s="4" t="s">
        <v>69</v>
      </c>
      <c r="F100" s="4">
        <v>2015</v>
      </c>
      <c r="G100" s="4">
        <v>0.6</v>
      </c>
      <c r="H100" s="4">
        <v>0.6</v>
      </c>
    </row>
    <row r="101" spans="1:8" x14ac:dyDescent="0.3">
      <c r="A101" s="4" t="s">
        <v>14</v>
      </c>
      <c r="B101" s="4" t="s">
        <v>40</v>
      </c>
      <c r="C101" s="4"/>
      <c r="D101" s="4"/>
      <c r="E101" s="4"/>
      <c r="F101" s="4">
        <v>2024</v>
      </c>
      <c r="G101" s="4" t="s">
        <v>41</v>
      </c>
      <c r="H101" s="4"/>
    </row>
    <row r="102" spans="1:8" x14ac:dyDescent="0.3">
      <c r="A102" s="4" t="s">
        <v>7</v>
      </c>
      <c r="B102" s="4" t="s">
        <v>42</v>
      </c>
      <c r="C102" s="4" t="s">
        <v>6</v>
      </c>
      <c r="D102" s="4" t="s">
        <v>67</v>
      </c>
      <c r="E102" s="4" t="s">
        <v>68</v>
      </c>
      <c r="F102" s="4">
        <v>2015</v>
      </c>
      <c r="G102" s="4">
        <v>6.8</v>
      </c>
      <c r="H102" s="4">
        <v>6.8</v>
      </c>
    </row>
    <row r="103" spans="1:8" x14ac:dyDescent="0.3">
      <c r="A103" s="4" t="s">
        <v>7</v>
      </c>
      <c r="B103" s="4" t="s">
        <v>42</v>
      </c>
      <c r="C103" s="4" t="s">
        <v>8</v>
      </c>
      <c r="D103" s="4" t="s">
        <v>67</v>
      </c>
      <c r="E103" s="4" t="s">
        <v>68</v>
      </c>
      <c r="F103" s="4">
        <v>2015</v>
      </c>
      <c r="G103" s="4">
        <v>3.9</v>
      </c>
      <c r="H103" s="4">
        <v>3.9</v>
      </c>
    </row>
    <row r="104" spans="1:8" x14ac:dyDescent="0.3">
      <c r="A104" s="4" t="s">
        <v>7</v>
      </c>
      <c r="B104" s="4" t="s">
        <v>42</v>
      </c>
      <c r="C104" s="4" t="s">
        <v>9</v>
      </c>
      <c r="D104" s="4" t="s">
        <v>67</v>
      </c>
      <c r="E104" s="4" t="s">
        <v>69</v>
      </c>
      <c r="F104" s="4">
        <v>2015</v>
      </c>
      <c r="G104" s="4">
        <v>0.4</v>
      </c>
      <c r="H104" s="4">
        <v>0.4</v>
      </c>
    </row>
    <row r="105" spans="1:8" x14ac:dyDescent="0.3">
      <c r="A105" s="4" t="s">
        <v>13</v>
      </c>
      <c r="B105" s="4" t="s">
        <v>42</v>
      </c>
      <c r="C105" s="4" t="s">
        <v>71</v>
      </c>
      <c r="D105" s="4" t="s">
        <v>67</v>
      </c>
      <c r="E105" s="4" t="s">
        <v>68</v>
      </c>
      <c r="F105" s="4">
        <v>2024</v>
      </c>
      <c r="G105" s="4">
        <v>5.0869999999999997</v>
      </c>
      <c r="H105" s="4">
        <v>5.0869999999999997</v>
      </c>
    </row>
    <row r="106" spans="1:8" x14ac:dyDescent="0.3">
      <c r="A106" s="4" t="s">
        <v>13</v>
      </c>
      <c r="B106" s="4" t="s">
        <v>42</v>
      </c>
      <c r="C106" s="4" t="s">
        <v>9</v>
      </c>
      <c r="D106" s="4" t="s">
        <v>67</v>
      </c>
      <c r="E106" s="4" t="s">
        <v>69</v>
      </c>
      <c r="F106" s="4">
        <v>2024</v>
      </c>
      <c r="G106" s="4">
        <v>8.0000000000000002E-3</v>
      </c>
      <c r="H106" s="4">
        <v>8.0000000000000002E-3</v>
      </c>
    </row>
    <row r="107" spans="1:8" x14ac:dyDescent="0.3">
      <c r="A107" s="4" t="s">
        <v>13</v>
      </c>
      <c r="B107" s="4" t="s">
        <v>42</v>
      </c>
      <c r="C107" s="4" t="s">
        <v>71</v>
      </c>
      <c r="D107" s="4" t="s">
        <v>72</v>
      </c>
      <c r="E107" s="4" t="s">
        <v>68</v>
      </c>
      <c r="F107" s="4">
        <v>2024</v>
      </c>
      <c r="G107" s="4">
        <v>3.4</v>
      </c>
      <c r="H107" s="4">
        <v>3.4</v>
      </c>
    </row>
    <row r="108" spans="1:8" x14ac:dyDescent="0.3">
      <c r="A108" s="4" t="s">
        <v>13</v>
      </c>
      <c r="B108" s="4" t="s">
        <v>42</v>
      </c>
      <c r="C108" s="4" t="s">
        <v>9</v>
      </c>
      <c r="D108" s="4" t="s">
        <v>72</v>
      </c>
      <c r="E108" s="4" t="s">
        <v>69</v>
      </c>
      <c r="F108" s="4">
        <v>2024</v>
      </c>
      <c r="G108" s="4">
        <v>0.01</v>
      </c>
      <c r="H108" s="4">
        <v>0.01</v>
      </c>
    </row>
    <row r="109" spans="1:8" x14ac:dyDescent="0.3">
      <c r="A109" s="4" t="s">
        <v>13</v>
      </c>
      <c r="B109" s="4" t="s">
        <v>42</v>
      </c>
      <c r="C109" s="4" t="s">
        <v>71</v>
      </c>
      <c r="D109" s="4" t="s">
        <v>73</v>
      </c>
      <c r="E109" s="4" t="s">
        <v>68</v>
      </c>
      <c r="F109" s="4">
        <v>2024</v>
      </c>
      <c r="G109" s="4">
        <v>5.5</v>
      </c>
      <c r="H109" s="4">
        <v>5.5</v>
      </c>
    </row>
    <row r="110" spans="1:8" x14ac:dyDescent="0.3">
      <c r="A110" s="4" t="s">
        <v>13</v>
      </c>
      <c r="B110" s="4" t="s">
        <v>42</v>
      </c>
      <c r="C110" s="4" t="s">
        <v>9</v>
      </c>
      <c r="D110" s="4" t="s">
        <v>73</v>
      </c>
      <c r="E110" s="4" t="s">
        <v>69</v>
      </c>
      <c r="F110" s="4">
        <v>2024</v>
      </c>
      <c r="G110" s="4">
        <v>2.9000000000000001E-2</v>
      </c>
      <c r="H110" s="4">
        <v>2.9000000000000001E-2</v>
      </c>
    </row>
    <row r="111" spans="1:8" x14ac:dyDescent="0.3">
      <c r="A111" s="4" t="s">
        <v>14</v>
      </c>
      <c r="B111" s="4" t="s">
        <v>42</v>
      </c>
      <c r="C111" s="4"/>
      <c r="D111" s="4"/>
      <c r="E111" s="4"/>
      <c r="F111" s="4">
        <v>2024</v>
      </c>
      <c r="G111" s="4" t="s">
        <v>43</v>
      </c>
      <c r="H111" s="4"/>
    </row>
    <row r="112" spans="1:8" x14ac:dyDescent="0.3">
      <c r="A112" s="4" t="s">
        <v>7</v>
      </c>
      <c r="B112" s="4" t="s">
        <v>44</v>
      </c>
      <c r="C112" s="4" t="s">
        <v>6</v>
      </c>
      <c r="D112" s="4" t="s">
        <v>67</v>
      </c>
      <c r="E112" s="4" t="s">
        <v>68</v>
      </c>
      <c r="F112" s="4">
        <v>2015</v>
      </c>
      <c r="G112" s="4">
        <v>10.199999999999999</v>
      </c>
      <c r="H112" s="4">
        <v>10.199999999999999</v>
      </c>
    </row>
    <row r="113" spans="1:8" x14ac:dyDescent="0.3">
      <c r="A113" s="4" t="s">
        <v>7</v>
      </c>
      <c r="B113" s="4" t="s">
        <v>44</v>
      </c>
      <c r="C113" s="4" t="s">
        <v>8</v>
      </c>
      <c r="D113" s="4" t="s">
        <v>67</v>
      </c>
      <c r="E113" s="4" t="s">
        <v>68</v>
      </c>
      <c r="F113" s="4">
        <v>2015</v>
      </c>
      <c r="G113" s="4">
        <v>10.199999999999999</v>
      </c>
      <c r="H113" s="4">
        <v>10.199999999999999</v>
      </c>
    </row>
    <row r="114" spans="1:8" x14ac:dyDescent="0.3">
      <c r="A114" s="4" t="s">
        <v>7</v>
      </c>
      <c r="B114" s="4" t="s">
        <v>44</v>
      </c>
      <c r="C114" s="4" t="s">
        <v>9</v>
      </c>
      <c r="D114" s="4" t="s">
        <v>67</v>
      </c>
      <c r="E114" s="4" t="s">
        <v>69</v>
      </c>
      <c r="F114" s="4">
        <v>2015</v>
      </c>
      <c r="G114" s="4">
        <v>0.6</v>
      </c>
      <c r="H114" s="4">
        <v>0.6</v>
      </c>
    </row>
    <row r="115" spans="1:8" x14ac:dyDescent="0.3">
      <c r="A115" s="4" t="s">
        <v>14</v>
      </c>
      <c r="B115" s="4" t="s">
        <v>44</v>
      </c>
      <c r="C115" s="4"/>
      <c r="D115" s="4"/>
      <c r="E115" s="4"/>
      <c r="F115" s="4">
        <v>2024</v>
      </c>
      <c r="G115" s="4" t="s">
        <v>45</v>
      </c>
      <c r="H115" s="4"/>
    </row>
    <row r="116" spans="1:8" x14ac:dyDescent="0.3">
      <c r="A116" s="4" t="s">
        <v>12</v>
      </c>
      <c r="B116" s="4" t="s">
        <v>46</v>
      </c>
      <c r="C116" s="4" t="s">
        <v>6</v>
      </c>
      <c r="D116" s="4" t="s">
        <v>67</v>
      </c>
      <c r="E116" s="4" t="s">
        <v>68</v>
      </c>
      <c r="F116" s="4">
        <v>2024</v>
      </c>
      <c r="G116" s="4">
        <v>7.18</v>
      </c>
      <c r="H116" s="4">
        <v>7.18</v>
      </c>
    </row>
    <row r="117" spans="1:8" x14ac:dyDescent="0.3">
      <c r="A117" s="4" t="s">
        <v>12</v>
      </c>
      <c r="B117" s="4" t="s">
        <v>46</v>
      </c>
      <c r="C117" s="4" t="s">
        <v>8</v>
      </c>
      <c r="D117" s="4" t="s">
        <v>67</v>
      </c>
      <c r="E117" s="4" t="s">
        <v>68</v>
      </c>
      <c r="F117" s="4">
        <v>2024</v>
      </c>
      <c r="G117" s="4">
        <v>6.4</v>
      </c>
      <c r="H117" s="4">
        <v>6.4</v>
      </c>
    </row>
    <row r="118" spans="1:8" x14ac:dyDescent="0.3">
      <c r="A118" s="4" t="s">
        <v>12</v>
      </c>
      <c r="B118" s="4" t="s">
        <v>46</v>
      </c>
      <c r="C118" s="4" t="s">
        <v>9</v>
      </c>
      <c r="D118" s="4" t="s">
        <v>67</v>
      </c>
      <c r="E118" s="4" t="s">
        <v>69</v>
      </c>
      <c r="F118" s="4">
        <v>2024</v>
      </c>
      <c r="G118" s="4">
        <v>0.08</v>
      </c>
      <c r="H118" s="4">
        <v>0.08</v>
      </c>
    </row>
    <row r="119" spans="1:8" x14ac:dyDescent="0.3">
      <c r="A119" s="4" t="s">
        <v>14</v>
      </c>
      <c r="B119" s="4" t="s">
        <v>46</v>
      </c>
      <c r="C119" s="4"/>
      <c r="D119" s="4"/>
      <c r="E119" s="4"/>
      <c r="F119" s="4">
        <v>2024</v>
      </c>
      <c r="G119" s="4" t="s">
        <v>47</v>
      </c>
      <c r="H119" s="4"/>
    </row>
    <row r="120" spans="1:8" x14ac:dyDescent="0.3">
      <c r="A120" s="4" t="s">
        <v>12</v>
      </c>
      <c r="B120" s="4" t="s">
        <v>48</v>
      </c>
      <c r="C120" s="4" t="s">
        <v>6</v>
      </c>
      <c r="D120" s="4" t="s">
        <v>67</v>
      </c>
      <c r="E120" s="4" t="s">
        <v>68</v>
      </c>
      <c r="F120" s="4">
        <v>2024</v>
      </c>
      <c r="G120" s="4">
        <v>0.53</v>
      </c>
      <c r="H120" s="4">
        <v>0.53</v>
      </c>
    </row>
    <row r="121" spans="1:8" x14ac:dyDescent="0.3">
      <c r="A121" s="4" t="s">
        <v>12</v>
      </c>
      <c r="B121" s="4" t="s">
        <v>48</v>
      </c>
      <c r="C121" s="4" t="s">
        <v>8</v>
      </c>
      <c r="D121" s="4" t="s">
        <v>67</v>
      </c>
      <c r="E121" s="4" t="s">
        <v>68</v>
      </c>
      <c r="F121" s="4">
        <v>2024</v>
      </c>
      <c r="G121" s="4">
        <v>0.31</v>
      </c>
      <c r="H121" s="4">
        <v>0.31</v>
      </c>
    </row>
    <row r="122" spans="1:8" x14ac:dyDescent="0.3">
      <c r="A122" s="4" t="s">
        <v>12</v>
      </c>
      <c r="B122" s="4" t="s">
        <v>48</v>
      </c>
      <c r="C122" s="4" t="s">
        <v>9</v>
      </c>
      <c r="D122" s="4" t="s">
        <v>67</v>
      </c>
      <c r="E122" s="4" t="s">
        <v>69</v>
      </c>
      <c r="F122" s="4">
        <v>2024</v>
      </c>
      <c r="G122" s="4">
        <v>0.03</v>
      </c>
      <c r="H122" s="4">
        <v>0.03</v>
      </c>
    </row>
    <row r="123" spans="1:8" x14ac:dyDescent="0.3">
      <c r="A123" s="4" t="s">
        <v>14</v>
      </c>
      <c r="B123" s="4" t="s">
        <v>48</v>
      </c>
      <c r="C123" s="4"/>
      <c r="D123" s="4"/>
      <c r="E123" s="4"/>
      <c r="F123" s="4">
        <v>2024</v>
      </c>
      <c r="G123" s="4" t="s">
        <v>49</v>
      </c>
      <c r="H123" s="4"/>
    </row>
    <row r="124" spans="1:8" x14ac:dyDescent="0.3">
      <c r="A124" s="4" t="s">
        <v>12</v>
      </c>
      <c r="B124" s="4" t="s">
        <v>50</v>
      </c>
      <c r="C124" s="4" t="s">
        <v>6</v>
      </c>
      <c r="D124" s="4" t="s">
        <v>67</v>
      </c>
      <c r="E124" s="4" t="s">
        <v>68</v>
      </c>
      <c r="F124" s="4">
        <v>2024</v>
      </c>
      <c r="G124" s="4">
        <v>4.4400000000000004</v>
      </c>
      <c r="H124" s="4">
        <v>4.4400000000000004</v>
      </c>
    </row>
    <row r="125" spans="1:8" x14ac:dyDescent="0.3">
      <c r="A125" s="4" t="s">
        <v>12</v>
      </c>
      <c r="B125" s="4" t="s">
        <v>50</v>
      </c>
      <c r="C125" s="4" t="s">
        <v>8</v>
      </c>
      <c r="D125" s="4" t="s">
        <v>67</v>
      </c>
      <c r="E125" s="4" t="s">
        <v>68</v>
      </c>
      <c r="F125" s="4">
        <v>2024</v>
      </c>
      <c r="G125" s="4">
        <v>0.31</v>
      </c>
      <c r="H125" s="4">
        <v>0.31</v>
      </c>
    </row>
    <row r="126" spans="1:8" x14ac:dyDescent="0.3">
      <c r="A126" s="4" t="s">
        <v>12</v>
      </c>
      <c r="B126" s="4" t="s">
        <v>50</v>
      </c>
      <c r="C126" s="4" t="s">
        <v>9</v>
      </c>
      <c r="D126" s="4" t="s">
        <v>67</v>
      </c>
      <c r="E126" s="4" t="s">
        <v>69</v>
      </c>
      <c r="F126" s="4">
        <v>2024</v>
      </c>
      <c r="G126" s="4">
        <v>0.23</v>
      </c>
      <c r="H126" s="4">
        <v>0.23</v>
      </c>
    </row>
    <row r="127" spans="1:8" x14ac:dyDescent="0.3">
      <c r="A127" s="4" t="s">
        <v>12</v>
      </c>
      <c r="B127" s="4" t="s">
        <v>51</v>
      </c>
      <c r="C127" s="4" t="s">
        <v>6</v>
      </c>
      <c r="D127" s="4" t="s">
        <v>67</v>
      </c>
      <c r="E127" s="4" t="s">
        <v>74</v>
      </c>
      <c r="F127" s="4">
        <v>2024</v>
      </c>
      <c r="G127" s="4">
        <v>0.7</v>
      </c>
      <c r="H127" s="4">
        <v>0.7</v>
      </c>
    </row>
    <row r="128" spans="1:8" x14ac:dyDescent="0.3">
      <c r="A128" s="4" t="s">
        <v>20</v>
      </c>
      <c r="B128" s="4" t="s">
        <v>51</v>
      </c>
      <c r="C128" s="4" t="s">
        <v>71</v>
      </c>
      <c r="D128" s="4" t="s">
        <v>67</v>
      </c>
      <c r="E128" s="4" t="s">
        <v>75</v>
      </c>
      <c r="F128" s="4">
        <v>2024</v>
      </c>
      <c r="G128" s="4">
        <v>0.12</v>
      </c>
      <c r="H128" s="4">
        <v>0.12</v>
      </c>
    </row>
    <row r="129" spans="1:8" x14ac:dyDescent="0.3">
      <c r="A129" s="4" t="s">
        <v>20</v>
      </c>
      <c r="B129" s="4" t="s">
        <v>51</v>
      </c>
      <c r="C129" s="4" t="s">
        <v>9</v>
      </c>
      <c r="D129" s="4" t="s">
        <v>67</v>
      </c>
      <c r="E129" s="4" t="s">
        <v>76</v>
      </c>
      <c r="F129" s="4">
        <v>2024</v>
      </c>
      <c r="G129" s="4">
        <v>0</v>
      </c>
      <c r="H129" s="4">
        <v>0</v>
      </c>
    </row>
    <row r="130" spans="1:8" x14ac:dyDescent="0.3">
      <c r="A130" s="4" t="s">
        <v>20</v>
      </c>
      <c r="B130" s="4" t="s">
        <v>51</v>
      </c>
      <c r="C130" s="4" t="s">
        <v>71</v>
      </c>
      <c r="D130" s="4" t="s">
        <v>72</v>
      </c>
      <c r="E130" s="4" t="s">
        <v>75</v>
      </c>
      <c r="F130" s="4">
        <v>2024</v>
      </c>
      <c r="G130" s="4">
        <v>0.3</v>
      </c>
      <c r="H130" s="4">
        <v>0.3</v>
      </c>
    </row>
    <row r="131" spans="1:8" x14ac:dyDescent="0.3">
      <c r="A131" s="4" t="s">
        <v>20</v>
      </c>
      <c r="B131" s="4" t="s">
        <v>51</v>
      </c>
      <c r="C131" s="4" t="s">
        <v>9</v>
      </c>
      <c r="D131" s="4" t="s">
        <v>72</v>
      </c>
      <c r="E131" s="4" t="s">
        <v>76</v>
      </c>
      <c r="F131" s="4">
        <v>2024</v>
      </c>
      <c r="G131" s="4">
        <v>2.5999999999999999E-2</v>
      </c>
      <c r="H131" s="4">
        <v>2.5999999999999999E-2</v>
      </c>
    </row>
    <row r="132" spans="1:8" x14ac:dyDescent="0.3">
      <c r="A132" s="4" t="s">
        <v>20</v>
      </c>
      <c r="B132" s="4" t="s">
        <v>51</v>
      </c>
      <c r="C132" s="4" t="s">
        <v>71</v>
      </c>
      <c r="D132" s="4" t="s">
        <v>73</v>
      </c>
      <c r="E132" s="4" t="s">
        <v>75</v>
      </c>
      <c r="F132" s="4">
        <v>2024</v>
      </c>
      <c r="G132" s="4">
        <v>0.24</v>
      </c>
      <c r="H132" s="4">
        <v>0.24</v>
      </c>
    </row>
    <row r="133" spans="1:8" x14ac:dyDescent="0.3">
      <c r="A133" s="4" t="s">
        <v>20</v>
      </c>
      <c r="B133" s="4" t="s">
        <v>51</v>
      </c>
      <c r="C133" s="4" t="s">
        <v>9</v>
      </c>
      <c r="D133" s="4" t="s">
        <v>73</v>
      </c>
      <c r="E133" s="4" t="s">
        <v>76</v>
      </c>
      <c r="F133" s="4">
        <v>2024</v>
      </c>
      <c r="G133" s="4">
        <v>1.2999999999999999E-2</v>
      </c>
      <c r="H133" s="4">
        <v>1.2999999999999999E-2</v>
      </c>
    </row>
    <row r="134" spans="1:8" x14ac:dyDescent="0.3">
      <c r="A134" s="4" t="s">
        <v>14</v>
      </c>
      <c r="B134" s="4" t="s">
        <v>51</v>
      </c>
      <c r="C134" s="4"/>
      <c r="D134" s="4"/>
      <c r="E134" s="4"/>
      <c r="F134" s="4">
        <v>2024</v>
      </c>
      <c r="G134" s="4" t="s">
        <v>52</v>
      </c>
      <c r="H134" s="4"/>
    </row>
    <row r="135" spans="1:8" x14ac:dyDescent="0.3">
      <c r="A135" s="4" t="s">
        <v>12</v>
      </c>
      <c r="B135" s="4" t="s">
        <v>53</v>
      </c>
      <c r="C135" s="4" t="s">
        <v>6</v>
      </c>
      <c r="D135" s="4" t="s">
        <v>67</v>
      </c>
      <c r="E135" s="4" t="s">
        <v>74</v>
      </c>
      <c r="F135" s="4">
        <v>2024</v>
      </c>
      <c r="G135" s="4">
        <v>3.7</v>
      </c>
      <c r="H135" s="4">
        <v>3.7</v>
      </c>
    </row>
    <row r="136" spans="1:8" x14ac:dyDescent="0.3">
      <c r="A136" s="4" t="s">
        <v>14</v>
      </c>
      <c r="B136" s="4" t="s">
        <v>53</v>
      </c>
      <c r="C136" s="4"/>
      <c r="D136" s="4"/>
      <c r="E136" s="4"/>
      <c r="F136" s="4">
        <v>2024</v>
      </c>
      <c r="G136" s="4" t="s">
        <v>54</v>
      </c>
      <c r="H136" s="4"/>
    </row>
    <row r="137" spans="1:8" x14ac:dyDescent="0.3">
      <c r="A137" s="4" t="s">
        <v>12</v>
      </c>
      <c r="B137" s="4" t="s">
        <v>55</v>
      </c>
      <c r="C137" s="4" t="s">
        <v>6</v>
      </c>
      <c r="D137" s="4" t="s">
        <v>67</v>
      </c>
      <c r="E137" s="4" t="s">
        <v>77</v>
      </c>
      <c r="F137" s="4">
        <v>2024</v>
      </c>
      <c r="G137" s="4">
        <v>1.9</v>
      </c>
      <c r="H137" s="4">
        <v>1.9</v>
      </c>
    </row>
    <row r="138" spans="1:8" x14ac:dyDescent="0.3">
      <c r="A138" s="4" t="s">
        <v>56</v>
      </c>
      <c r="B138" s="4" t="s">
        <v>57</v>
      </c>
      <c r="C138" s="4" t="s">
        <v>71</v>
      </c>
      <c r="D138" s="4" t="s">
        <v>67</v>
      </c>
      <c r="E138" s="4" t="s">
        <v>68</v>
      </c>
      <c r="F138" s="4">
        <v>2022</v>
      </c>
      <c r="G138" s="4">
        <v>6830</v>
      </c>
      <c r="H138" s="4">
        <v>6.83</v>
      </c>
    </row>
    <row r="139" spans="1:8" x14ac:dyDescent="0.3">
      <c r="A139" s="4" t="s">
        <v>56</v>
      </c>
      <c r="B139" s="4" t="s">
        <v>57</v>
      </c>
      <c r="C139" s="4" t="s">
        <v>9</v>
      </c>
      <c r="D139" s="4" t="s">
        <v>67</v>
      </c>
      <c r="E139" s="4" t="s">
        <v>69</v>
      </c>
      <c r="F139" s="4">
        <v>2022</v>
      </c>
      <c r="G139" s="4">
        <v>7.6300000000000007E-2</v>
      </c>
      <c r="H139" s="4">
        <v>7.6300000000000007E-2</v>
      </c>
    </row>
    <row r="140" spans="1:8" x14ac:dyDescent="0.3">
      <c r="A140" s="4" t="s">
        <v>14</v>
      </c>
      <c r="B140" s="4" t="s">
        <v>57</v>
      </c>
      <c r="C140" s="4"/>
      <c r="D140" s="4"/>
      <c r="E140" s="4"/>
      <c r="F140" s="4">
        <v>2022</v>
      </c>
      <c r="G140" s="4" t="s">
        <v>79</v>
      </c>
      <c r="H140" s="4"/>
    </row>
    <row r="141" spans="1:8" x14ac:dyDescent="0.3">
      <c r="A141" s="4" t="s">
        <v>58</v>
      </c>
      <c r="B141" s="4" t="s">
        <v>57</v>
      </c>
      <c r="C141" s="4" t="s">
        <v>71</v>
      </c>
      <c r="D141" s="4" t="s">
        <v>67</v>
      </c>
      <c r="E141" s="4" t="s">
        <v>68</v>
      </c>
      <c r="F141" s="4">
        <v>2022</v>
      </c>
      <c r="G141" s="4">
        <v>6401</v>
      </c>
      <c r="H141" s="4">
        <v>6.4009999999999998</v>
      </c>
    </row>
    <row r="142" spans="1:8" x14ac:dyDescent="0.3">
      <c r="A142" s="4" t="s">
        <v>58</v>
      </c>
      <c r="B142" s="4" t="s">
        <v>57</v>
      </c>
      <c r="C142" s="4" t="s">
        <v>9</v>
      </c>
      <c r="D142" s="4" t="s">
        <v>67</v>
      </c>
      <c r="E142" s="4" t="s">
        <v>69</v>
      </c>
      <c r="F142" s="4">
        <v>2022</v>
      </c>
      <c r="G142" s="4">
        <v>0.1056</v>
      </c>
      <c r="H142" s="4">
        <v>0.1056</v>
      </c>
    </row>
    <row r="143" spans="1:8" x14ac:dyDescent="0.3">
      <c r="A143" s="4" t="s">
        <v>58</v>
      </c>
      <c r="B143" s="4" t="s">
        <v>59</v>
      </c>
      <c r="C143" s="4" t="s">
        <v>71</v>
      </c>
      <c r="D143" s="4" t="s">
        <v>67</v>
      </c>
      <c r="E143" s="4" t="s">
        <v>68</v>
      </c>
      <c r="F143" s="4">
        <v>2022</v>
      </c>
      <c r="G143" s="4">
        <v>14468</v>
      </c>
      <c r="H143" s="4">
        <v>14.468</v>
      </c>
    </row>
    <row r="144" spans="1:8" x14ac:dyDescent="0.3">
      <c r="A144" s="4" t="s">
        <v>58</v>
      </c>
      <c r="B144" s="4" t="s">
        <v>59</v>
      </c>
      <c r="C144" s="4" t="s">
        <v>9</v>
      </c>
      <c r="D144" s="4" t="s">
        <v>67</v>
      </c>
      <c r="E144" s="4" t="s">
        <v>69</v>
      </c>
      <c r="F144" s="4">
        <v>2022</v>
      </c>
      <c r="G144" s="4">
        <v>0.24160000000000001</v>
      </c>
      <c r="H144" s="4">
        <v>0.24160000000000001</v>
      </c>
    </row>
    <row r="145" spans="1:8" x14ac:dyDescent="0.3">
      <c r="A145" s="4" t="s">
        <v>14</v>
      </c>
      <c r="B145" s="4" t="s">
        <v>80</v>
      </c>
      <c r="C145" s="4"/>
      <c r="D145" s="4"/>
      <c r="E145" s="4"/>
      <c r="F145" s="4">
        <v>2022</v>
      </c>
      <c r="G145" s="4" t="s">
        <v>81</v>
      </c>
      <c r="H14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1F33-FF40-426C-AE4D-F19752D4AA46}">
  <dimension ref="A1:H27"/>
  <sheetViews>
    <sheetView tabSelected="1" workbookViewId="0">
      <selection activeCell="J6" sqref="J6"/>
    </sheetView>
  </sheetViews>
  <sheetFormatPr defaultRowHeight="14.4" x14ac:dyDescent="0.3"/>
  <cols>
    <col min="1" max="1" width="24.33203125" bestFit="1" customWidth="1"/>
    <col min="2" max="3" width="15.5546875" bestFit="1" customWidth="1"/>
    <col min="4" max="4" width="7" bestFit="1" customWidth="1"/>
    <col min="5" max="5" width="7.44140625" bestFit="1" customWidth="1"/>
    <col min="6" max="7" width="12.109375" bestFit="1" customWidth="1"/>
    <col min="8" max="9" width="10.5546875" bestFit="1" customWidth="1"/>
    <col min="10" max="11" width="9.109375" bestFit="1" customWidth="1"/>
    <col min="12" max="12" width="11.88671875" bestFit="1" customWidth="1"/>
    <col min="13" max="13" width="7.5546875" bestFit="1" customWidth="1"/>
    <col min="14" max="14" width="10.33203125" bestFit="1" customWidth="1"/>
    <col min="15" max="16" width="13.77734375" bestFit="1" customWidth="1"/>
    <col min="17" max="17" width="16.6640625" bestFit="1" customWidth="1"/>
    <col min="18" max="18" width="13.77734375" bestFit="1" customWidth="1"/>
    <col min="19" max="19" width="16.6640625" bestFit="1" customWidth="1"/>
    <col min="20" max="20" width="10.5546875" bestFit="1" customWidth="1"/>
  </cols>
  <sheetData>
    <row r="1" spans="1:8" x14ac:dyDescent="0.3">
      <c r="A1" s="1" t="s">
        <v>1</v>
      </c>
      <c r="B1" s="4" t="s">
        <v>64</v>
      </c>
    </row>
    <row r="2" spans="1:8" x14ac:dyDescent="0.3">
      <c r="A2" s="1" t="s">
        <v>65</v>
      </c>
      <c r="B2" s="4" t="s">
        <v>67</v>
      </c>
    </row>
    <row r="4" spans="1:8" x14ac:dyDescent="0.3">
      <c r="A4" s="1" t="s">
        <v>60</v>
      </c>
      <c r="B4" s="1" t="s">
        <v>61</v>
      </c>
    </row>
    <row r="5" spans="1:8" x14ac:dyDescent="0.3">
      <c r="A5" s="1" t="s">
        <v>62</v>
      </c>
      <c r="B5" s="4" t="s">
        <v>56</v>
      </c>
      <c r="C5" s="4" t="s">
        <v>58</v>
      </c>
      <c r="D5" s="4" t="s">
        <v>13</v>
      </c>
      <c r="E5" s="4" t="s">
        <v>20</v>
      </c>
      <c r="F5" s="4" t="s">
        <v>7</v>
      </c>
      <c r="G5" s="4" t="s">
        <v>12</v>
      </c>
      <c r="H5" s="4" t="s">
        <v>63</v>
      </c>
    </row>
    <row r="6" spans="1:8" x14ac:dyDescent="0.3">
      <c r="A6" s="3" t="s">
        <v>50</v>
      </c>
      <c r="B6" s="2"/>
      <c r="C6" s="2"/>
      <c r="D6" s="2"/>
      <c r="E6" s="2"/>
      <c r="F6" s="2"/>
      <c r="G6" s="2">
        <v>4.75</v>
      </c>
      <c r="H6" s="2">
        <v>4.75</v>
      </c>
    </row>
    <row r="7" spans="1:8" x14ac:dyDescent="0.3">
      <c r="A7" s="3" t="s">
        <v>48</v>
      </c>
      <c r="B7" s="2"/>
      <c r="C7" s="2"/>
      <c r="D7" s="2"/>
      <c r="E7" s="2"/>
      <c r="F7" s="2"/>
      <c r="G7" s="2">
        <v>0.84000000000000008</v>
      </c>
      <c r="H7" s="2">
        <v>0.84000000000000008</v>
      </c>
    </row>
    <row r="8" spans="1:8" x14ac:dyDescent="0.3">
      <c r="A8" s="3" t="s">
        <v>25</v>
      </c>
      <c r="B8" s="2"/>
      <c r="C8" s="2"/>
      <c r="D8" s="2">
        <v>22.523</v>
      </c>
      <c r="E8" s="2"/>
      <c r="F8" s="2">
        <v>16.899999999999999</v>
      </c>
      <c r="G8" s="2"/>
      <c r="H8" s="2">
        <v>39.423000000000002</v>
      </c>
    </row>
    <row r="9" spans="1:8" x14ac:dyDescent="0.3">
      <c r="A9" s="3" t="s">
        <v>5</v>
      </c>
      <c r="B9" s="2"/>
      <c r="C9" s="2"/>
      <c r="D9" s="2"/>
      <c r="E9" s="2">
        <v>9.61</v>
      </c>
      <c r="F9" s="2">
        <v>16.600000000000001</v>
      </c>
      <c r="G9" s="2">
        <v>16.490000000000002</v>
      </c>
      <c r="H9" s="2">
        <v>42.7</v>
      </c>
    </row>
    <row r="10" spans="1:8" x14ac:dyDescent="0.3">
      <c r="A10" s="3" t="s">
        <v>16</v>
      </c>
      <c r="B10" s="2"/>
      <c r="C10" s="2"/>
      <c r="D10" s="2"/>
      <c r="E10" s="2">
        <v>2.528</v>
      </c>
      <c r="F10" s="2">
        <v>2.23</v>
      </c>
      <c r="G10" s="2">
        <v>9.66</v>
      </c>
      <c r="H10" s="2">
        <v>14.417999999999999</v>
      </c>
    </row>
    <row r="11" spans="1:8" x14ac:dyDescent="0.3">
      <c r="A11" s="3" t="s">
        <v>42</v>
      </c>
      <c r="B11" s="2"/>
      <c r="C11" s="2"/>
      <c r="D11" s="2">
        <v>5.0869999999999997</v>
      </c>
      <c r="E11" s="2"/>
      <c r="F11" s="2">
        <v>10.7</v>
      </c>
      <c r="G11" s="2"/>
      <c r="H11" s="2">
        <v>15.786999999999999</v>
      </c>
    </row>
    <row r="12" spans="1:8" x14ac:dyDescent="0.3">
      <c r="A12" s="3" t="s">
        <v>28</v>
      </c>
      <c r="B12" s="2"/>
      <c r="C12" s="2"/>
      <c r="D12" s="2"/>
      <c r="E12" s="2"/>
      <c r="F12" s="2">
        <v>10.9</v>
      </c>
      <c r="G12" s="2"/>
      <c r="H12" s="2">
        <v>10.9</v>
      </c>
    </row>
    <row r="13" spans="1:8" x14ac:dyDescent="0.3">
      <c r="A13" s="3" t="s">
        <v>30</v>
      </c>
      <c r="B13" s="2"/>
      <c r="C13" s="2"/>
      <c r="D13" s="2"/>
      <c r="E13" s="2"/>
      <c r="F13" s="2">
        <v>26.700000000000003</v>
      </c>
      <c r="G13" s="2"/>
      <c r="H13" s="2">
        <v>26.700000000000003</v>
      </c>
    </row>
    <row r="14" spans="1:8" x14ac:dyDescent="0.3">
      <c r="A14" s="3" t="s">
        <v>22</v>
      </c>
      <c r="B14" s="2"/>
      <c r="C14" s="2"/>
      <c r="D14" s="2"/>
      <c r="E14" s="2"/>
      <c r="F14" s="2">
        <v>20.900000000000002</v>
      </c>
      <c r="G14" s="2"/>
      <c r="H14" s="2">
        <v>20.900000000000002</v>
      </c>
    </row>
    <row r="15" spans="1:8" x14ac:dyDescent="0.3">
      <c r="A15" s="3" t="s">
        <v>44</v>
      </c>
      <c r="B15" s="2"/>
      <c r="C15" s="2"/>
      <c r="D15" s="2"/>
      <c r="E15" s="2"/>
      <c r="F15" s="2">
        <v>20.399999999999999</v>
      </c>
      <c r="G15" s="2"/>
      <c r="H15" s="2">
        <v>20.399999999999999</v>
      </c>
    </row>
    <row r="16" spans="1:8" x14ac:dyDescent="0.3">
      <c r="A16" s="3" t="s">
        <v>57</v>
      </c>
      <c r="B16" s="2">
        <v>6.83</v>
      </c>
      <c r="C16" s="2">
        <v>6.4009999999999998</v>
      </c>
      <c r="D16" s="2"/>
      <c r="E16" s="2"/>
      <c r="F16" s="2">
        <v>23.6</v>
      </c>
      <c r="G16" s="2">
        <v>15.18</v>
      </c>
      <c r="H16" s="2">
        <v>52.011000000000003</v>
      </c>
    </row>
    <row r="17" spans="1:8" x14ac:dyDescent="0.3">
      <c r="A17" s="3" t="s">
        <v>59</v>
      </c>
      <c r="B17" s="2"/>
      <c r="C17" s="2">
        <v>14.468</v>
      </c>
      <c r="D17" s="2"/>
      <c r="E17" s="2"/>
      <c r="F17" s="2"/>
      <c r="G17" s="2"/>
      <c r="H17" s="2">
        <v>14.468</v>
      </c>
    </row>
    <row r="18" spans="1:8" x14ac:dyDescent="0.3">
      <c r="A18" s="3" t="s">
        <v>19</v>
      </c>
      <c r="B18" s="2"/>
      <c r="C18" s="2"/>
      <c r="D18" s="2"/>
      <c r="E18" s="2"/>
      <c r="F18" s="2">
        <v>2.23</v>
      </c>
      <c r="G18" s="2"/>
      <c r="H18" s="2">
        <v>2.23</v>
      </c>
    </row>
    <row r="19" spans="1:8" x14ac:dyDescent="0.3">
      <c r="A19" s="3" t="s">
        <v>32</v>
      </c>
      <c r="B19" s="2"/>
      <c r="C19" s="2"/>
      <c r="D19" s="2">
        <v>7.2469999999999999</v>
      </c>
      <c r="E19" s="2"/>
      <c r="F19" s="2">
        <v>10.1</v>
      </c>
      <c r="G19" s="2">
        <v>4.1899999999999995</v>
      </c>
      <c r="H19" s="2">
        <v>21.536999999999999</v>
      </c>
    </row>
    <row r="20" spans="1:8" x14ac:dyDescent="0.3">
      <c r="A20" s="3" t="s">
        <v>46</v>
      </c>
      <c r="B20" s="2"/>
      <c r="C20" s="2"/>
      <c r="D20" s="2"/>
      <c r="E20" s="2"/>
      <c r="F20" s="2"/>
      <c r="G20" s="2">
        <v>13.58</v>
      </c>
      <c r="H20" s="2">
        <v>13.58</v>
      </c>
    </row>
    <row r="21" spans="1:8" x14ac:dyDescent="0.3">
      <c r="A21" s="3" t="s">
        <v>38</v>
      </c>
      <c r="B21" s="2"/>
      <c r="C21" s="2"/>
      <c r="D21" s="2"/>
      <c r="E21" s="2">
        <v>9.3279999999999994</v>
      </c>
      <c r="F21" s="2"/>
      <c r="G21" s="2">
        <v>7.0500000000000007</v>
      </c>
      <c r="H21" s="2">
        <v>16.378</v>
      </c>
    </row>
    <row r="22" spans="1:8" x14ac:dyDescent="0.3">
      <c r="A22" s="3" t="s">
        <v>40</v>
      </c>
      <c r="B22" s="2"/>
      <c r="C22" s="2"/>
      <c r="D22" s="2"/>
      <c r="E22" s="2"/>
      <c r="F22" s="2">
        <v>12</v>
      </c>
      <c r="G22" s="2"/>
      <c r="H22" s="2">
        <v>12</v>
      </c>
    </row>
    <row r="23" spans="1:8" x14ac:dyDescent="0.3">
      <c r="A23" s="3" t="s">
        <v>53</v>
      </c>
      <c r="B23" s="2"/>
      <c r="C23" s="2"/>
      <c r="D23" s="2"/>
      <c r="E23" s="2"/>
      <c r="F23" s="2"/>
      <c r="G23" s="2">
        <v>3.7</v>
      </c>
      <c r="H23" s="2">
        <v>3.7</v>
      </c>
    </row>
    <row r="24" spans="1:8" x14ac:dyDescent="0.3">
      <c r="A24" s="3" t="s">
        <v>55</v>
      </c>
      <c r="B24" s="2"/>
      <c r="C24" s="2"/>
      <c r="D24" s="2"/>
      <c r="E24" s="2"/>
      <c r="F24" s="2"/>
      <c r="G24" s="2">
        <v>1.9</v>
      </c>
      <c r="H24" s="2">
        <v>1.9</v>
      </c>
    </row>
    <row r="25" spans="1:8" x14ac:dyDescent="0.3">
      <c r="A25" s="3" t="s">
        <v>51</v>
      </c>
      <c r="B25" s="2"/>
      <c r="C25" s="2"/>
      <c r="D25" s="2"/>
      <c r="E25" s="2">
        <v>0.12</v>
      </c>
      <c r="F25" s="2"/>
      <c r="G25" s="2">
        <v>0.7</v>
      </c>
      <c r="H25" s="2">
        <v>0.82</v>
      </c>
    </row>
    <row r="26" spans="1:8" x14ac:dyDescent="0.3">
      <c r="A26" s="3" t="s">
        <v>36</v>
      </c>
      <c r="B26" s="2"/>
      <c r="C26" s="2"/>
      <c r="D26" s="2">
        <v>9.9700000000000006</v>
      </c>
      <c r="E26" s="2"/>
      <c r="F26" s="2">
        <v>19.7</v>
      </c>
      <c r="G26" s="2">
        <v>4.6900000000000004</v>
      </c>
      <c r="H26" s="2">
        <v>34.36</v>
      </c>
    </row>
    <row r="27" spans="1:8" x14ac:dyDescent="0.3">
      <c r="A27" s="3" t="s">
        <v>63</v>
      </c>
      <c r="B27" s="2">
        <v>6.83</v>
      </c>
      <c r="C27" s="2">
        <v>20.869</v>
      </c>
      <c r="D27" s="2">
        <v>44.826999999999998</v>
      </c>
      <c r="E27" s="2">
        <v>21.586000000000002</v>
      </c>
      <c r="F27" s="2">
        <v>192.95999999999998</v>
      </c>
      <c r="G27" s="2">
        <v>82.73</v>
      </c>
      <c r="H27" s="2">
        <v>369.80199999999996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822D-952C-47DA-A2E1-09EA5E5B9137}">
  <sheetPr>
    <tabColor rgb="FFFF0000"/>
  </sheetPr>
  <dimension ref="A1"/>
  <sheetViews>
    <sheetView workbookViewId="0">
      <selection activeCell="P32" sqref="P3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1A58-ED7E-49C4-8D93-67CCE1506A37}">
  <sheetPr>
    <tabColor rgb="FFFF0000"/>
  </sheetPr>
  <dimension ref="A1:G25"/>
  <sheetViews>
    <sheetView workbookViewId="0">
      <selection activeCell="A41" sqref="A41"/>
    </sheetView>
  </sheetViews>
  <sheetFormatPr defaultRowHeight="14.4" x14ac:dyDescent="0.3"/>
  <cols>
    <col min="1" max="1" width="24.44140625" bestFit="1" customWidth="1"/>
    <col min="2" max="2" width="12.6640625" bestFit="1" customWidth="1"/>
    <col min="3" max="4" width="11.5546875" bestFit="1" customWidth="1"/>
    <col min="5" max="6" width="15.109375" bestFit="1" customWidth="1"/>
    <col min="7" max="7" width="10.109375" bestFit="1" customWidth="1"/>
  </cols>
  <sheetData>
    <row r="1" spans="1:7" x14ac:dyDescent="0.3">
      <c r="A1" s="4" t="s">
        <v>60</v>
      </c>
      <c r="B1" s="4" t="s">
        <v>61</v>
      </c>
      <c r="C1" s="4"/>
      <c r="D1" s="4"/>
      <c r="E1" s="4"/>
      <c r="F1" s="4"/>
      <c r="G1" s="4"/>
    </row>
    <row r="2" spans="1:7" x14ac:dyDescent="0.3">
      <c r="A2" s="4" t="s">
        <v>62</v>
      </c>
      <c r="B2" s="4" t="s">
        <v>13</v>
      </c>
      <c r="C2" s="4" t="s">
        <v>7</v>
      </c>
      <c r="D2" s="4" t="s">
        <v>12</v>
      </c>
      <c r="E2" s="4" t="s">
        <v>56</v>
      </c>
      <c r="F2" s="4" t="s">
        <v>58</v>
      </c>
      <c r="G2" s="4" t="s">
        <v>63</v>
      </c>
    </row>
    <row r="3" spans="1:7" x14ac:dyDescent="0.3">
      <c r="A3" s="4" t="s">
        <v>50</v>
      </c>
      <c r="B3" s="4"/>
      <c r="C3" s="4"/>
      <c r="D3" s="4">
        <v>4.75</v>
      </c>
      <c r="E3" s="4"/>
      <c r="F3" s="4"/>
      <c r="G3" s="4">
        <v>4.75</v>
      </c>
    </row>
    <row r="4" spans="1:7" x14ac:dyDescent="0.3">
      <c r="A4" s="4" t="s">
        <v>48</v>
      </c>
      <c r="B4" s="4"/>
      <c r="C4" s="4"/>
      <c r="D4" s="4">
        <v>0.84</v>
      </c>
      <c r="E4" s="4"/>
      <c r="F4" s="4"/>
      <c r="G4" s="4">
        <v>0.84</v>
      </c>
    </row>
    <row r="5" spans="1:7" x14ac:dyDescent="0.3">
      <c r="A5" s="4" t="s">
        <v>25</v>
      </c>
      <c r="B5" s="4">
        <v>22.523</v>
      </c>
      <c r="C5" s="4">
        <v>16.899999999999999</v>
      </c>
      <c r="D5" s="4"/>
      <c r="E5" s="4"/>
      <c r="F5" s="4"/>
      <c r="G5" s="4">
        <v>39.423000000000002</v>
      </c>
    </row>
    <row r="6" spans="1:7" x14ac:dyDescent="0.3">
      <c r="A6" s="4" t="s">
        <v>5</v>
      </c>
      <c r="B6" s="4">
        <v>9.61</v>
      </c>
      <c r="C6" s="4">
        <v>16.600000000000001</v>
      </c>
      <c r="D6" s="4">
        <v>16.489999999999998</v>
      </c>
      <c r="E6" s="4"/>
      <c r="F6" s="4"/>
      <c r="G6" s="4">
        <v>42.7</v>
      </c>
    </row>
    <row r="7" spans="1:7" x14ac:dyDescent="0.3">
      <c r="A7" s="4" t="s">
        <v>16</v>
      </c>
      <c r="B7" s="4">
        <v>2.528</v>
      </c>
      <c r="C7" s="4">
        <v>2.23</v>
      </c>
      <c r="D7" s="4">
        <v>2.19</v>
      </c>
      <c r="E7" s="4"/>
      <c r="F7" s="4"/>
      <c r="G7" s="4">
        <v>6.9480000000000004</v>
      </c>
    </row>
    <row r="8" spans="1:7" x14ac:dyDescent="0.3">
      <c r="A8" s="4" t="s">
        <v>42</v>
      </c>
      <c r="B8" s="4">
        <v>5.0869999999999997</v>
      </c>
      <c r="C8" s="4">
        <v>10.7</v>
      </c>
      <c r="D8" s="4"/>
      <c r="E8" s="4"/>
      <c r="F8" s="4"/>
      <c r="G8" s="4">
        <v>15.787000000000001</v>
      </c>
    </row>
    <row r="9" spans="1:7" x14ac:dyDescent="0.3">
      <c r="A9" s="4" t="s">
        <v>28</v>
      </c>
      <c r="B9" s="4"/>
      <c r="C9" s="4">
        <v>10.9</v>
      </c>
      <c r="D9" s="4">
        <v>9.66</v>
      </c>
      <c r="E9" s="4"/>
      <c r="F9" s="4"/>
      <c r="G9" s="4">
        <v>20.56</v>
      </c>
    </row>
    <row r="10" spans="1:7" x14ac:dyDescent="0.3">
      <c r="A10" s="4" t="s">
        <v>30</v>
      </c>
      <c r="B10" s="4"/>
      <c r="C10" s="4">
        <v>26.7</v>
      </c>
      <c r="D10" s="4"/>
      <c r="E10" s="4"/>
      <c r="F10" s="4"/>
      <c r="G10" s="4">
        <v>26.7</v>
      </c>
    </row>
    <row r="11" spans="1:7" x14ac:dyDescent="0.3">
      <c r="A11" s="4" t="s">
        <v>22</v>
      </c>
      <c r="B11" s="4"/>
      <c r="C11" s="4">
        <v>20.9</v>
      </c>
      <c r="D11" s="4"/>
      <c r="E11" s="4"/>
      <c r="F11" s="4"/>
      <c r="G11" s="4">
        <v>20.9</v>
      </c>
    </row>
    <row r="12" spans="1:7" x14ac:dyDescent="0.3">
      <c r="A12" s="4" t="s">
        <v>44</v>
      </c>
      <c r="B12" s="4"/>
      <c r="C12" s="4">
        <v>20.399999999999999</v>
      </c>
      <c r="D12" s="4"/>
      <c r="E12" s="4"/>
      <c r="F12" s="4"/>
      <c r="G12" s="4">
        <v>20.399999999999999</v>
      </c>
    </row>
    <row r="13" spans="1:7" x14ac:dyDescent="0.3">
      <c r="A13" s="4" t="s">
        <v>34</v>
      </c>
      <c r="B13" s="4"/>
      <c r="C13" s="4">
        <v>23.6</v>
      </c>
      <c r="D13" s="4">
        <v>15.18</v>
      </c>
      <c r="E13" s="4">
        <v>7.5</v>
      </c>
      <c r="F13" s="4"/>
      <c r="G13" s="4">
        <v>46.28</v>
      </c>
    </row>
    <row r="14" spans="1:7" x14ac:dyDescent="0.3">
      <c r="A14" s="4" t="s">
        <v>57</v>
      </c>
      <c r="B14" s="4"/>
      <c r="C14" s="4"/>
      <c r="D14" s="4"/>
      <c r="E14" s="4"/>
      <c r="F14" s="4">
        <v>6.81</v>
      </c>
      <c r="G14" s="4">
        <v>6.81</v>
      </c>
    </row>
    <row r="15" spans="1:7" x14ac:dyDescent="0.3">
      <c r="A15" s="4" t="s">
        <v>59</v>
      </c>
      <c r="B15" s="4"/>
      <c r="C15" s="4"/>
      <c r="D15" s="4"/>
      <c r="E15" s="4"/>
      <c r="F15" s="4">
        <v>14.71</v>
      </c>
      <c r="G15" s="4">
        <v>14.71</v>
      </c>
    </row>
    <row r="16" spans="1:7" x14ac:dyDescent="0.3">
      <c r="A16" s="4" t="s">
        <v>19</v>
      </c>
      <c r="B16" s="4"/>
      <c r="C16" s="4">
        <v>2.23</v>
      </c>
      <c r="D16" s="4"/>
      <c r="E16" s="4"/>
      <c r="F16" s="4"/>
      <c r="G16" s="4">
        <v>2.23</v>
      </c>
    </row>
    <row r="17" spans="1:7" x14ac:dyDescent="0.3">
      <c r="A17" s="4" t="s">
        <v>32</v>
      </c>
      <c r="B17" s="4">
        <v>7.2469999999999999</v>
      </c>
      <c r="C17" s="4">
        <v>10.1</v>
      </c>
      <c r="D17" s="4">
        <v>4.1900000000000004</v>
      </c>
      <c r="E17" s="4"/>
      <c r="F17" s="4"/>
      <c r="G17" s="4">
        <v>21.536999999999999</v>
      </c>
    </row>
    <row r="18" spans="1:7" x14ac:dyDescent="0.3">
      <c r="A18" s="4" t="s">
        <v>46</v>
      </c>
      <c r="B18" s="4"/>
      <c r="C18" s="4"/>
      <c r="D18" s="4">
        <v>13.58</v>
      </c>
      <c r="E18" s="4"/>
      <c r="F18" s="4"/>
      <c r="G18" s="4">
        <v>13.58</v>
      </c>
    </row>
    <row r="19" spans="1:7" x14ac:dyDescent="0.3">
      <c r="A19" s="4" t="s">
        <v>38</v>
      </c>
      <c r="B19" s="4"/>
      <c r="C19" s="4"/>
      <c r="D19" s="4">
        <v>7.05</v>
      </c>
      <c r="E19" s="4"/>
      <c r="F19" s="4"/>
      <c r="G19" s="4">
        <v>7.05</v>
      </c>
    </row>
    <row r="20" spans="1:7" x14ac:dyDescent="0.3">
      <c r="A20" s="4" t="s">
        <v>40</v>
      </c>
      <c r="B20" s="4"/>
      <c r="C20" s="4">
        <v>12</v>
      </c>
      <c r="D20" s="4"/>
      <c r="E20" s="4"/>
      <c r="F20" s="4"/>
      <c r="G20" s="4">
        <v>12</v>
      </c>
    </row>
    <row r="21" spans="1:7" x14ac:dyDescent="0.3">
      <c r="A21" s="4" t="s">
        <v>53</v>
      </c>
      <c r="B21" s="4"/>
      <c r="C21" s="4"/>
      <c r="D21" s="4">
        <v>3.7</v>
      </c>
      <c r="E21" s="4"/>
      <c r="F21" s="4"/>
      <c r="G21" s="4">
        <v>3.7</v>
      </c>
    </row>
    <row r="22" spans="1:7" x14ac:dyDescent="0.3">
      <c r="A22" s="4" t="s">
        <v>55</v>
      </c>
      <c r="B22" s="4"/>
      <c r="C22" s="4"/>
      <c r="D22" s="4">
        <v>1.9</v>
      </c>
      <c r="E22" s="4"/>
      <c r="F22" s="4"/>
      <c r="G22" s="4">
        <v>1.9</v>
      </c>
    </row>
    <row r="23" spans="1:7" x14ac:dyDescent="0.3">
      <c r="A23" s="4" t="s">
        <v>51</v>
      </c>
      <c r="B23" s="4">
        <v>0.12</v>
      </c>
      <c r="C23" s="4"/>
      <c r="D23" s="4">
        <v>0.7</v>
      </c>
      <c r="E23" s="4"/>
      <c r="F23" s="4"/>
      <c r="G23" s="4">
        <v>0.82</v>
      </c>
    </row>
    <row r="24" spans="1:7" x14ac:dyDescent="0.3">
      <c r="A24" s="4" t="s">
        <v>36</v>
      </c>
      <c r="B24" s="4">
        <v>9.9700000000000006</v>
      </c>
      <c r="C24" s="4">
        <v>19.7</v>
      </c>
      <c r="D24" s="4">
        <v>4.6900000000000004</v>
      </c>
      <c r="E24" s="4"/>
      <c r="F24" s="4"/>
      <c r="G24" s="4">
        <v>34.36</v>
      </c>
    </row>
    <row r="25" spans="1:7" x14ac:dyDescent="0.3">
      <c r="A25" s="4" t="s">
        <v>63</v>
      </c>
      <c r="B25" s="4">
        <v>57.085000000000001</v>
      </c>
      <c r="C25" s="4">
        <v>192.96</v>
      </c>
      <c r="D25" s="4">
        <v>84.92</v>
      </c>
      <c r="E25" s="4">
        <v>7.5</v>
      </c>
      <c r="F25" s="4">
        <v>21.52</v>
      </c>
      <c r="G25" s="4">
        <v>363.98500000000001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4DA164E4CDE447931009150B521B50" ma:contentTypeVersion="18" ma:contentTypeDescription="Create a new document." ma:contentTypeScope="" ma:versionID="28895ea9c11a2934114e4d1dc68ad196">
  <xsd:schema xmlns:xsd="http://www.w3.org/2001/XMLSchema" xmlns:xs="http://www.w3.org/2001/XMLSchema" xmlns:p="http://schemas.microsoft.com/office/2006/metadata/properties" xmlns:ns2="6be7595b-c7a7-4c97-99c0-5201a05973ed" xmlns:ns3="10d047b6-f61f-4da8-9fea-68f0e3792f12" targetNamespace="http://schemas.microsoft.com/office/2006/metadata/properties" ma:root="true" ma:fieldsID="d33606f9768003eda72b506f9d6a7600" ns2:_="" ns3:_="">
    <xsd:import namespace="6be7595b-c7a7-4c97-99c0-5201a05973ed"/>
    <xsd:import namespace="10d047b6-f61f-4da8-9fea-68f0e3792f1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e7595b-c7a7-4c97-99c0-5201a05973e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fals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047b6-f61f-4da8-9fea-68f0e3792f1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be7595b-c7a7-4c97-99c0-5201a05973ed">EFAZVMN3UR3J-586252059-1672</_dlc_DocId>
    <_dlc_DocIdUrl xmlns="6be7595b-c7a7-4c97-99c0-5201a05973ed">
      <Url>https://spx.ens.dk/sites/gr/co/_layouts/15/DocIdRedir.aspx?ID=EFAZVMN3UR3J-586252059-1672</Url>
      <Description>EFAZVMN3UR3J-586252059-1672</Description>
    </_dlc_DocIdUrl>
    <_dlc_DocIdPersistId xmlns="6be7595b-c7a7-4c97-99c0-5201a05973e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9DD6357-885C-4932-BBA2-CB2E64B25A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e7595b-c7a7-4c97-99c0-5201a05973ed"/>
    <ds:schemaRef ds:uri="10d047b6-f61f-4da8-9fea-68f0e3792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628C60-4CAB-4598-8692-FDDEB66C5E4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344F773-6742-41C6-8315-E8BCFAED24ED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6be7595b-c7a7-4c97-99c0-5201a05973ed"/>
    <ds:schemaRef ds:uri="http://www.w3.org/XML/1998/namespace"/>
    <ds:schemaRef ds:uri="http://schemas.openxmlformats.org/package/2006/metadata/core-properties"/>
    <ds:schemaRef ds:uri="10d047b6-f61f-4da8-9fea-68f0e3792f12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D8B331AD-0F3E-4AD9-BE4F-7CADC11C2292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CD033EDE-14B3-443F-82F2-30A3D7F7972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Employment_Coefficients_Long_Fo</vt:lpstr>
      <vt:lpstr>Construction&amp;Manufacturing</vt:lpstr>
      <vt:lpstr>Cons&amp;Manu_old</vt:lpstr>
      <vt:lpstr>Cons&amp;Manu_data_old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Michele Lovat Arranz</dc:creator>
  <cp:lastModifiedBy>Francesco Michele Lovat Arranz</cp:lastModifiedBy>
  <dcterms:created xsi:type="dcterms:W3CDTF">2026-04-18T01:13:27Z</dcterms:created>
  <dcterms:modified xsi:type="dcterms:W3CDTF">2026-07-13T11:10:56Z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0x010100B94DA164E4CDE447931009150B521B50</vt:lpwstr>
  </property>
  <property fmtid="{D5CDD505-2E9C-101B-9397-08002B2CF9AE}" pid="3" name="_dlc_DocIdItemGuid">
    <vt:lpwstr>5bce9720-35db-48d3-9bcd-1a93af884402</vt:lpwstr>
  </property>
</Properties>
</file>