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30" codeName="{AE6600E7-7A62-396C-DE95-9942FA9DD81E}"/>
  <workbookPr codeName="ThisWorkbook"/>
  <mc:AlternateContent xmlns:mc="http://schemas.openxmlformats.org/markup-compatibility/2006">
    <mc:Choice Requires="x15">
      <x15ac:absPath xmlns:x15ac="http://schemas.microsoft.com/office/spreadsheetml/2010/11/ac" url="C:\Users\francesco\Downloads\"/>
    </mc:Choice>
  </mc:AlternateContent>
  <xr:revisionPtr revIDLastSave="0" documentId="13_ncr:1_{209845E7-012E-4B5F-B28A-65FD417792B0}" xr6:coauthVersionLast="47" xr6:coauthVersionMax="47" xr10:uidLastSave="{00000000-0000-0000-0000-000000000000}"/>
  <workbookProtection workbookAlgorithmName="SHA-512" workbookHashValue="rkGdv/pJmQuA/bDTaJ7rTIuy6WMsxufYIwW72J40fy7FAwmOvbiPd7qhXWSYL7Fuj8yofjqkAn3+Ygtax94Jtg==" workbookSaltValue="mZx2tpC9Mmyi9PI9CuFKEA==" workbookSpinCount="100000" lockStructure="1"/>
  <bookViews>
    <workbookView xWindow="-108" yWindow="-108" windowWidth="41496" windowHeight="16776" tabRatio="396" firstSheet="1" activeTab="4" xr2:uid="{00000000-000D-0000-FFFF-FFFF00000000}"/>
  </bookViews>
  <sheets>
    <sheet name="Revision Notes" sheetId="16" state="hidden" r:id="rId1"/>
    <sheet name="About JEDI" sheetId="15" r:id="rId2"/>
    <sheet name="FAQ" sheetId="14" r:id="rId3"/>
    <sheet name="Start" sheetId="1" r:id="rId4"/>
    <sheet name="ProjectData" sheetId="2" r:id="rId5"/>
    <sheet name="SummaryResults" sheetId="11" r:id="rId6"/>
    <sheet name="User Add-in Location" sheetId="13" r:id="rId7"/>
    <sheet name="DefaultData" sheetId="12" r:id="rId8"/>
    <sheet name="Calculations" sheetId="6" r:id="rId9"/>
    <sheet name="Deflators" sheetId="9" r:id="rId10"/>
    <sheet name="Household Exp" sheetId="10" state="hidden" r:id="rId11"/>
    <sheet name="Multipliers" sheetId="8" state="hidden" r:id="rId12"/>
  </sheets>
  <definedNames>
    <definedName name="_ftn1" localSheetId="2">FAQ!#REF!</definedName>
    <definedName name="_ftnref1" localSheetId="2">FAQ!#REF!</definedName>
    <definedName name="Detailed_Project_Data_Costs">Calculations!$AB$3:$AE$82</definedName>
    <definedName name="Detailed_Wind_Plant_Project_Data_Costs">SummaryResults!$A$55:$D$142</definedName>
    <definedName name="Location">ProjectData!$O$756:$O$817</definedName>
    <definedName name="Material">ProjectData!$P$749:$P$750</definedName>
    <definedName name="Other_Parameters">ProjectData!$A$64</definedName>
    <definedName name="_xlnm.Print_Area" localSheetId="8">Calculations!$AB$3:$AE$78</definedName>
    <definedName name="_xlnm.Print_Area" localSheetId="4">ProjectData!$B$14</definedName>
    <definedName name="_xlnm.Print_Area" localSheetId="5">SummaryResults!$BB$1:$BE$53</definedName>
    <definedName name="Print_Results">SummaryResults!$A$1:$D$53</definedName>
    <definedName name="Project_Cost_Data">ProjectData!$A$30</definedName>
    <definedName name="Project_Data">ProjectData!$A$1</definedName>
    <definedName name="ProjectConstCostData">ProjectData!$A$30:$C$50</definedName>
    <definedName name="ProjectData">ProjectData!$A$1</definedName>
    <definedName name="ProjectOandMData">ProjectData!$A$51:$C$76</definedName>
    <definedName name="Summary_Impacts">SummaryResults!$A$1:$D$53</definedName>
    <definedName name="Summary_Results">SummaryResults!$A$1</definedName>
    <definedName name="SysApp">ProjectData!$P$742:$P$746</definedName>
    <definedName name="Tracking">ProjectData!$X$753:$X$754</definedName>
    <definedName name="Wind_Plant_Annual_OandM_Costs">ProjectData!$A$51</definedName>
    <definedName name="Wind_Plant_Annual_Operating_and_Maintenance_Costs">ProjectData!$B$54</definedName>
    <definedName name="Year">ProjectData!$B$14</definedName>
    <definedName name="Years">ProjectData!$N$756:$N$776</definedName>
    <definedName name="YN">ProjectData!$Q$22:$Q$23</definedName>
  </definedNames>
  <calcPr calcId="191028"/>
  <customWorkbookViews>
    <customWorkbookView name="start" guid="{55B80D82-F000-11D6-8735-C8E5A357943D}" maximized="1" windowWidth="796" windowHeight="464"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E5" i="10" l="1"/>
  <c r="AF5" i="10"/>
  <c r="AE6" i="10"/>
  <c r="AF6" i="10"/>
  <c r="AE7" i="10"/>
  <c r="AF7" i="10"/>
  <c r="AE8" i="10"/>
  <c r="AF8" i="10"/>
  <c r="AE9" i="10"/>
  <c r="AF9" i="10"/>
  <c r="AE10" i="10"/>
  <c r="AF10" i="10"/>
  <c r="AE11" i="10"/>
  <c r="AF11" i="10"/>
  <c r="AE12" i="10"/>
  <c r="AF12" i="10"/>
  <c r="AE13" i="10"/>
  <c r="AF13" i="10"/>
  <c r="AE14" i="10"/>
  <c r="AF14" i="10"/>
  <c r="AE15" i="10"/>
  <c r="AF15" i="10"/>
  <c r="AE16" i="10"/>
  <c r="AF16" i="10"/>
  <c r="AE17" i="10"/>
  <c r="AF17" i="10"/>
  <c r="AE18" i="10"/>
  <c r="AF18" i="10"/>
  <c r="AE19" i="10"/>
  <c r="AF19" i="10"/>
  <c r="AE20" i="10"/>
  <c r="AF20" i="10"/>
  <c r="AE21" i="10"/>
  <c r="AF21" i="10"/>
  <c r="AE22" i="10"/>
  <c r="AF22" i="10"/>
  <c r="AE23" i="10"/>
  <c r="AF23" i="10"/>
  <c r="AE24" i="10"/>
  <c r="AF24" i="10"/>
  <c r="AE25" i="10"/>
  <c r="AF25" i="10"/>
  <c r="AF4" i="10"/>
  <c r="AE4" i="10"/>
  <c r="AE6" i="8"/>
  <c r="AF6" i="8"/>
  <c r="AE7" i="8"/>
  <c r="AF7" i="8"/>
  <c r="AE8" i="8"/>
  <c r="AF8" i="8"/>
  <c r="AE9" i="8"/>
  <c r="AF9" i="8"/>
  <c r="AE10" i="8"/>
  <c r="AF10" i="8"/>
  <c r="AE11" i="8"/>
  <c r="AF11" i="8"/>
  <c r="AE12" i="8"/>
  <c r="AF12" i="8"/>
  <c r="AE13" i="8"/>
  <c r="AF13" i="8"/>
  <c r="AE14" i="8"/>
  <c r="AF14" i="8"/>
  <c r="AE15" i="8"/>
  <c r="AF15" i="8"/>
  <c r="AE16" i="8"/>
  <c r="AF16" i="8"/>
  <c r="AE17" i="8"/>
  <c r="AF17" i="8"/>
  <c r="AE18" i="8"/>
  <c r="AF18" i="8"/>
  <c r="AE19" i="8"/>
  <c r="AF19" i="8"/>
  <c r="AE20" i="8"/>
  <c r="AF20" i="8"/>
  <c r="AE21" i="8"/>
  <c r="AF21" i="8"/>
  <c r="AE22" i="8"/>
  <c r="AF22" i="8"/>
  <c r="AE23" i="8"/>
  <c r="AF23" i="8"/>
  <c r="AE24" i="8"/>
  <c r="AF24" i="8"/>
  <c r="AE25" i="8"/>
  <c r="AF25" i="8"/>
  <c r="AE26" i="8"/>
  <c r="AF26" i="8"/>
  <c r="AE30" i="8"/>
  <c r="AF30" i="8"/>
  <c r="AE31" i="8"/>
  <c r="AF31" i="8"/>
  <c r="AE32" i="8"/>
  <c r="AF32" i="8"/>
  <c r="AE33" i="8"/>
  <c r="AF33" i="8"/>
  <c r="AE34" i="8"/>
  <c r="AF34" i="8"/>
  <c r="AE35" i="8"/>
  <c r="AF35" i="8"/>
  <c r="AE36" i="8"/>
  <c r="AF36" i="8"/>
  <c r="AE37" i="8"/>
  <c r="AF37" i="8"/>
  <c r="AE38" i="8"/>
  <c r="AF38" i="8"/>
  <c r="AE39" i="8"/>
  <c r="AF39" i="8"/>
  <c r="AE40" i="8"/>
  <c r="AF40" i="8"/>
  <c r="AE41" i="8"/>
  <c r="AF41" i="8"/>
  <c r="AE42" i="8"/>
  <c r="AF42" i="8"/>
  <c r="AE43" i="8"/>
  <c r="AF43" i="8"/>
  <c r="AE44" i="8"/>
  <c r="AF44" i="8"/>
  <c r="AE45" i="8"/>
  <c r="AF45" i="8"/>
  <c r="AE46" i="8"/>
  <c r="AF46" i="8"/>
  <c r="AE47" i="8"/>
  <c r="AF47" i="8"/>
  <c r="AE48" i="8"/>
  <c r="AF48" i="8"/>
  <c r="AE49" i="8"/>
  <c r="AF49" i="8"/>
  <c r="AE50" i="8"/>
  <c r="AF50" i="8"/>
  <c r="AE51" i="8"/>
  <c r="AF51" i="8"/>
  <c r="AE55" i="8"/>
  <c r="AF55" i="8"/>
  <c r="AE56" i="8"/>
  <c r="AF56" i="8"/>
  <c r="AE57" i="8"/>
  <c r="AF57" i="8"/>
  <c r="AE58" i="8"/>
  <c r="AF58" i="8"/>
  <c r="AE59" i="8"/>
  <c r="AF59" i="8"/>
  <c r="AE60" i="8"/>
  <c r="AF60" i="8"/>
  <c r="AE61" i="8"/>
  <c r="AF61" i="8"/>
  <c r="AE62" i="8"/>
  <c r="AF62" i="8"/>
  <c r="AE63" i="8"/>
  <c r="AF63" i="8"/>
  <c r="AE64" i="8"/>
  <c r="AF64" i="8"/>
  <c r="AE65" i="8"/>
  <c r="AF65" i="8"/>
  <c r="AE66" i="8"/>
  <c r="AF66" i="8"/>
  <c r="AE67" i="8"/>
  <c r="AF67" i="8"/>
  <c r="AE68" i="8"/>
  <c r="AF68" i="8"/>
  <c r="AE69" i="8"/>
  <c r="AF69" i="8"/>
  <c r="AE70" i="8"/>
  <c r="AF70" i="8"/>
  <c r="AE71" i="8"/>
  <c r="AF71" i="8"/>
  <c r="AE72" i="8"/>
  <c r="AF72" i="8"/>
  <c r="AE73" i="8"/>
  <c r="AF73" i="8"/>
  <c r="AE74" i="8"/>
  <c r="AF74" i="8"/>
  <c r="AE75" i="8"/>
  <c r="AF75" i="8"/>
  <c r="AE76" i="8"/>
  <c r="AF76" i="8"/>
  <c r="AE80" i="8"/>
  <c r="AF80" i="8"/>
  <c r="AE81" i="8"/>
  <c r="AF81" i="8"/>
  <c r="AE82" i="8"/>
  <c r="AF82" i="8"/>
  <c r="AE83" i="8"/>
  <c r="AF83" i="8"/>
  <c r="AE84" i="8"/>
  <c r="AF84" i="8"/>
  <c r="AE85" i="8"/>
  <c r="AF85" i="8"/>
  <c r="AE86" i="8"/>
  <c r="AF86" i="8"/>
  <c r="AE87" i="8"/>
  <c r="AF87" i="8"/>
  <c r="AE88" i="8"/>
  <c r="AF88" i="8"/>
  <c r="AE89" i="8"/>
  <c r="AF89" i="8"/>
  <c r="AE90" i="8"/>
  <c r="AF90" i="8"/>
  <c r="AE91" i="8"/>
  <c r="AF91" i="8"/>
  <c r="AE92" i="8"/>
  <c r="AF92" i="8"/>
  <c r="AE93" i="8"/>
  <c r="AF93" i="8"/>
  <c r="AE94" i="8"/>
  <c r="AF94" i="8"/>
  <c r="AE95" i="8"/>
  <c r="AF95" i="8"/>
  <c r="AE96" i="8"/>
  <c r="AF96" i="8"/>
  <c r="AE97" i="8"/>
  <c r="AF97" i="8"/>
  <c r="AE98" i="8"/>
  <c r="AF98" i="8"/>
  <c r="AE99" i="8"/>
  <c r="AF99" i="8"/>
  <c r="AE100" i="8"/>
  <c r="AF100" i="8"/>
  <c r="AE101" i="8"/>
  <c r="AF101" i="8"/>
  <c r="AE105" i="8"/>
  <c r="AF105" i="8"/>
  <c r="AE106" i="8"/>
  <c r="AF106" i="8"/>
  <c r="AE107" i="8"/>
  <c r="AF107" i="8"/>
  <c r="AE108" i="8"/>
  <c r="AF108" i="8"/>
  <c r="AE109" i="8"/>
  <c r="AF109" i="8"/>
  <c r="AE110" i="8"/>
  <c r="AF110" i="8"/>
  <c r="AE111" i="8"/>
  <c r="AF111" i="8"/>
  <c r="AE112" i="8"/>
  <c r="AF112" i="8"/>
  <c r="AE113" i="8"/>
  <c r="AF113" i="8"/>
  <c r="AE114" i="8"/>
  <c r="AF114" i="8"/>
  <c r="AE115" i="8"/>
  <c r="AF115" i="8"/>
  <c r="AE116" i="8"/>
  <c r="AF116" i="8"/>
  <c r="AE117" i="8"/>
  <c r="AF117" i="8"/>
  <c r="AE118" i="8"/>
  <c r="AF118" i="8"/>
  <c r="AE119" i="8"/>
  <c r="AF119" i="8"/>
  <c r="AE120" i="8"/>
  <c r="AF120" i="8"/>
  <c r="AE121" i="8"/>
  <c r="AF121" i="8"/>
  <c r="AE122" i="8"/>
  <c r="AF122" i="8"/>
  <c r="AE123" i="8"/>
  <c r="AF123" i="8"/>
  <c r="AE124" i="8"/>
  <c r="AF124" i="8"/>
  <c r="AE125" i="8"/>
  <c r="AF125" i="8"/>
  <c r="AE126" i="8"/>
  <c r="AF126" i="8"/>
  <c r="AE130" i="8"/>
  <c r="AF130" i="8"/>
  <c r="AE131" i="8"/>
  <c r="AF131" i="8"/>
  <c r="AE132" i="8"/>
  <c r="AF132" i="8"/>
  <c r="AE133" i="8"/>
  <c r="AF133" i="8"/>
  <c r="AE134" i="8"/>
  <c r="AF134" i="8"/>
  <c r="AE135" i="8"/>
  <c r="AF135" i="8"/>
  <c r="AE136" i="8"/>
  <c r="AF136" i="8"/>
  <c r="AE137" i="8"/>
  <c r="AF137" i="8"/>
  <c r="AE138" i="8"/>
  <c r="AF138" i="8"/>
  <c r="AE139" i="8"/>
  <c r="AF139" i="8"/>
  <c r="AE140" i="8"/>
  <c r="AF140" i="8"/>
  <c r="AE141" i="8"/>
  <c r="AF141" i="8"/>
  <c r="AE142" i="8"/>
  <c r="AF142" i="8"/>
  <c r="AE143" i="8"/>
  <c r="AF143" i="8"/>
  <c r="AE144" i="8"/>
  <c r="AF144" i="8"/>
  <c r="AE145" i="8"/>
  <c r="AF145" i="8"/>
  <c r="AE146" i="8"/>
  <c r="AF146" i="8"/>
  <c r="AE147" i="8"/>
  <c r="AF147" i="8"/>
  <c r="AE148" i="8"/>
  <c r="AF148" i="8"/>
  <c r="AE149" i="8"/>
  <c r="AF149" i="8"/>
  <c r="AE150" i="8"/>
  <c r="AF150" i="8"/>
  <c r="AE151" i="8"/>
  <c r="AF151" i="8"/>
  <c r="AE155" i="8"/>
  <c r="AF155" i="8"/>
  <c r="AE156" i="8"/>
  <c r="AF156" i="8"/>
  <c r="AE157" i="8"/>
  <c r="AF157" i="8"/>
  <c r="AE158" i="8"/>
  <c r="AF158" i="8"/>
  <c r="AE159" i="8"/>
  <c r="AF159" i="8"/>
  <c r="AE160" i="8"/>
  <c r="AF160" i="8"/>
  <c r="AE161" i="8"/>
  <c r="AF161" i="8"/>
  <c r="AE162" i="8"/>
  <c r="AF162" i="8"/>
  <c r="AE163" i="8"/>
  <c r="AF163" i="8"/>
  <c r="AE164" i="8"/>
  <c r="AF164" i="8"/>
  <c r="AE165" i="8"/>
  <c r="AF165" i="8"/>
  <c r="AE166" i="8"/>
  <c r="AF166" i="8"/>
  <c r="AE167" i="8"/>
  <c r="AF167" i="8"/>
  <c r="AE168" i="8"/>
  <c r="AF168" i="8"/>
  <c r="AE169" i="8"/>
  <c r="AF169" i="8"/>
  <c r="AE170" i="8"/>
  <c r="AF170" i="8"/>
  <c r="AE171" i="8"/>
  <c r="AF171" i="8"/>
  <c r="AE172" i="8"/>
  <c r="AF172" i="8"/>
  <c r="AE173" i="8"/>
  <c r="AF173" i="8"/>
  <c r="AE174" i="8"/>
  <c r="AF174" i="8"/>
  <c r="AE175" i="8"/>
  <c r="AF175" i="8"/>
  <c r="AE176" i="8"/>
  <c r="AF176" i="8"/>
  <c r="AE180" i="8"/>
  <c r="AF180" i="8"/>
  <c r="AE181" i="8"/>
  <c r="AF181" i="8"/>
  <c r="AE182" i="8"/>
  <c r="AF182" i="8"/>
  <c r="AE183" i="8"/>
  <c r="AF183" i="8"/>
  <c r="AE184" i="8"/>
  <c r="AF184" i="8"/>
  <c r="AE185" i="8"/>
  <c r="AF185" i="8"/>
  <c r="AE186" i="8"/>
  <c r="AF186" i="8"/>
  <c r="AE187" i="8"/>
  <c r="AF187" i="8"/>
  <c r="AE188" i="8"/>
  <c r="AF188" i="8"/>
  <c r="AE189" i="8"/>
  <c r="AF189" i="8"/>
  <c r="AE190" i="8"/>
  <c r="AF190" i="8"/>
  <c r="AE191" i="8"/>
  <c r="AF191" i="8"/>
  <c r="AE192" i="8"/>
  <c r="AF192" i="8"/>
  <c r="AE193" i="8"/>
  <c r="AF193" i="8"/>
  <c r="AE194" i="8"/>
  <c r="AF194" i="8"/>
  <c r="AE195" i="8"/>
  <c r="AF195" i="8"/>
  <c r="AE196" i="8"/>
  <c r="AF196" i="8"/>
  <c r="AE197" i="8"/>
  <c r="AF197" i="8"/>
  <c r="AE198" i="8"/>
  <c r="AF198" i="8"/>
  <c r="AE199" i="8"/>
  <c r="AF199" i="8"/>
  <c r="AE200" i="8"/>
  <c r="AF200" i="8"/>
  <c r="AE201" i="8"/>
  <c r="AF201" i="8"/>
  <c r="AE205" i="8"/>
  <c r="AF205" i="8"/>
  <c r="AE206" i="8"/>
  <c r="AF206" i="8"/>
  <c r="AE207" i="8"/>
  <c r="AF207" i="8"/>
  <c r="AE208" i="8"/>
  <c r="AF208" i="8"/>
  <c r="AE209" i="8"/>
  <c r="AF209" i="8"/>
  <c r="AE210" i="8"/>
  <c r="AF210" i="8"/>
  <c r="AE211" i="8"/>
  <c r="AF211" i="8"/>
  <c r="AE212" i="8"/>
  <c r="AF212" i="8"/>
  <c r="AE213" i="8"/>
  <c r="AF213" i="8"/>
  <c r="AE214" i="8"/>
  <c r="AF214" i="8"/>
  <c r="AE215" i="8"/>
  <c r="AF215" i="8"/>
  <c r="AE216" i="8"/>
  <c r="AF216" i="8"/>
  <c r="AE217" i="8"/>
  <c r="AF217" i="8"/>
  <c r="AE218" i="8"/>
  <c r="AF218" i="8"/>
  <c r="AE219" i="8"/>
  <c r="AF219" i="8"/>
  <c r="AE220" i="8"/>
  <c r="AF220" i="8"/>
  <c r="AE221" i="8"/>
  <c r="AF221" i="8"/>
  <c r="AE222" i="8"/>
  <c r="AF222" i="8"/>
  <c r="AE223" i="8"/>
  <c r="AF223" i="8"/>
  <c r="AE224" i="8"/>
  <c r="AF224" i="8"/>
  <c r="AE225" i="8"/>
  <c r="AF225" i="8"/>
  <c r="AE226" i="8"/>
  <c r="AF226" i="8"/>
  <c r="AE230" i="8"/>
  <c r="AF230" i="8"/>
  <c r="AE231" i="8"/>
  <c r="AF231" i="8"/>
  <c r="AE232" i="8"/>
  <c r="AF232" i="8"/>
  <c r="AE233" i="8"/>
  <c r="AF233" i="8"/>
  <c r="AE234" i="8"/>
  <c r="AF234" i="8"/>
  <c r="AE235" i="8"/>
  <c r="AF235" i="8"/>
  <c r="AE236" i="8"/>
  <c r="AF236" i="8"/>
  <c r="AE237" i="8"/>
  <c r="AF237" i="8"/>
  <c r="AE238" i="8"/>
  <c r="AF238" i="8"/>
  <c r="AE239" i="8"/>
  <c r="AF239" i="8"/>
  <c r="AE240" i="8"/>
  <c r="AF240" i="8"/>
  <c r="AE241" i="8"/>
  <c r="AF241" i="8"/>
  <c r="AE242" i="8"/>
  <c r="AF242" i="8"/>
  <c r="AE243" i="8"/>
  <c r="AF243" i="8"/>
  <c r="AE244" i="8"/>
  <c r="AF244" i="8"/>
  <c r="AE245" i="8"/>
  <c r="AF245" i="8"/>
  <c r="AE246" i="8"/>
  <c r="AF246" i="8"/>
  <c r="AE247" i="8"/>
  <c r="AF247" i="8"/>
  <c r="AE248" i="8"/>
  <c r="AF248" i="8"/>
  <c r="AE249" i="8"/>
  <c r="AF249" i="8"/>
  <c r="AE250" i="8"/>
  <c r="AF250" i="8"/>
  <c r="AE251" i="8"/>
  <c r="AF251" i="8"/>
  <c r="AE255" i="8"/>
  <c r="AF255" i="8"/>
  <c r="AE256" i="8"/>
  <c r="AF256" i="8"/>
  <c r="AE257" i="8"/>
  <c r="AF257" i="8"/>
  <c r="AE258" i="8"/>
  <c r="AF258" i="8"/>
  <c r="AE259" i="8"/>
  <c r="AF259" i="8"/>
  <c r="AE260" i="8"/>
  <c r="AF260" i="8"/>
  <c r="AE261" i="8"/>
  <c r="AF261" i="8"/>
  <c r="AE262" i="8"/>
  <c r="AF262" i="8"/>
  <c r="AE263" i="8"/>
  <c r="AF263" i="8"/>
  <c r="AE264" i="8"/>
  <c r="AF264" i="8"/>
  <c r="AE265" i="8"/>
  <c r="AF265" i="8"/>
  <c r="AE266" i="8"/>
  <c r="AF266" i="8"/>
  <c r="AE267" i="8"/>
  <c r="AF267" i="8"/>
  <c r="AE268" i="8"/>
  <c r="AF268" i="8"/>
  <c r="AE269" i="8"/>
  <c r="AF269" i="8"/>
  <c r="AE270" i="8"/>
  <c r="AF270" i="8"/>
  <c r="AE271" i="8"/>
  <c r="AF271" i="8"/>
  <c r="AE272" i="8"/>
  <c r="AF272" i="8"/>
  <c r="AE273" i="8"/>
  <c r="AF273" i="8"/>
  <c r="AE274" i="8"/>
  <c r="AF274" i="8"/>
  <c r="AE275" i="8"/>
  <c r="AF275" i="8"/>
  <c r="AE276" i="8"/>
  <c r="AF276" i="8"/>
  <c r="AE280" i="8"/>
  <c r="AF280" i="8"/>
  <c r="AE281" i="8"/>
  <c r="AF281" i="8"/>
  <c r="AE282" i="8"/>
  <c r="AF282" i="8"/>
  <c r="AE283" i="8"/>
  <c r="AF283" i="8"/>
  <c r="AE284" i="8"/>
  <c r="AF284" i="8"/>
  <c r="AE285" i="8"/>
  <c r="AF285" i="8"/>
  <c r="AE286" i="8"/>
  <c r="AF286" i="8"/>
  <c r="AE287" i="8"/>
  <c r="AF287" i="8"/>
  <c r="AE288" i="8"/>
  <c r="AF288" i="8"/>
  <c r="AE289" i="8"/>
  <c r="AF289" i="8"/>
  <c r="AE290" i="8"/>
  <c r="AF290" i="8"/>
  <c r="AE291" i="8"/>
  <c r="AF291" i="8"/>
  <c r="AE292" i="8"/>
  <c r="AF292" i="8"/>
  <c r="AE293" i="8"/>
  <c r="AF293" i="8"/>
  <c r="AE294" i="8"/>
  <c r="AF294" i="8"/>
  <c r="AE295" i="8"/>
  <c r="AF295" i="8"/>
  <c r="AE296" i="8"/>
  <c r="AF296" i="8"/>
  <c r="AE297" i="8"/>
  <c r="AF297" i="8"/>
  <c r="AE298" i="8"/>
  <c r="AF298" i="8"/>
  <c r="AE299" i="8"/>
  <c r="AF299" i="8"/>
  <c r="AE300" i="8"/>
  <c r="AF300" i="8"/>
  <c r="AE301" i="8"/>
  <c r="AF301" i="8"/>
  <c r="AF5" i="8"/>
  <c r="AE5" i="8"/>
  <c r="D77" i="2"/>
  <c r="D76" i="2"/>
  <c r="B73" i="2"/>
  <c r="B72" i="2"/>
  <c r="B71" i="2"/>
  <c r="D67" i="2"/>
  <c r="B69" i="2"/>
  <c r="B68" i="2"/>
  <c r="B67" i="2"/>
  <c r="F58" i="2"/>
  <c r="F36" i="2"/>
  <c r="F35" i="2"/>
  <c r="F34" i="2"/>
  <c r="F33" i="2"/>
  <c r="BG18" i="12" l="1"/>
  <c r="BG19" i="12"/>
  <c r="BG20" i="12"/>
  <c r="BG23" i="12"/>
  <c r="BG27" i="12"/>
  <c r="BG28" i="12"/>
  <c r="BG29" i="12"/>
  <c r="BG17" i="12"/>
  <c r="BE30" i="12"/>
  <c r="BE24" i="12"/>
  <c r="BE25" i="12" s="1"/>
  <c r="BG25" i="12" s="1"/>
  <c r="BE21" i="12"/>
  <c r="BG21" i="12" s="1"/>
  <c r="BF30" i="12"/>
  <c r="BF24" i="12"/>
  <c r="BF25" i="12" s="1"/>
  <c r="BF31" i="12" s="1"/>
  <c r="BF21" i="12"/>
  <c r="AY18" i="12"/>
  <c r="AZ18" i="12"/>
  <c r="BA18" i="12"/>
  <c r="AY19" i="12"/>
  <c r="AZ19" i="12"/>
  <c r="BA19" i="12"/>
  <c r="AY20" i="12"/>
  <c r="AZ20" i="12"/>
  <c r="BA20" i="12"/>
  <c r="AZ21" i="12"/>
  <c r="AY23" i="12"/>
  <c r="AZ23" i="12"/>
  <c r="BA23" i="12"/>
  <c r="AY27" i="12"/>
  <c r="AZ27" i="12"/>
  <c r="BA27" i="12"/>
  <c r="AY28" i="12"/>
  <c r="AZ28" i="12"/>
  <c r="BA28" i="12"/>
  <c r="AY29" i="12"/>
  <c r="AZ29" i="12"/>
  <c r="BA29" i="12"/>
  <c r="BA17" i="12"/>
  <c r="AZ17" i="12"/>
  <c r="AY17" i="12"/>
  <c r="AL18" i="12"/>
  <c r="AM18" i="12"/>
  <c r="AL19" i="12"/>
  <c r="AM19" i="12"/>
  <c r="AL20" i="12"/>
  <c r="AM20" i="12"/>
  <c r="AL23" i="12"/>
  <c r="AM23" i="12"/>
  <c r="AL27" i="12"/>
  <c r="AM27" i="12"/>
  <c r="AL28" i="12"/>
  <c r="AM28" i="12"/>
  <c r="AL29" i="12"/>
  <c r="AM29" i="12"/>
  <c r="AL17" i="12"/>
  <c r="AM17" i="12"/>
  <c r="AK30" i="12"/>
  <c r="AZ30" i="12" s="1"/>
  <c r="AK24" i="12"/>
  <c r="AY24" i="12" s="1"/>
  <c r="AK21" i="12"/>
  <c r="BA21" i="12" s="1"/>
  <c r="AR18" i="12"/>
  <c r="AS18" i="12"/>
  <c r="AU18" i="12"/>
  <c r="AV18" i="12"/>
  <c r="AW18" i="12"/>
  <c r="AR19" i="12"/>
  <c r="AS19" i="12"/>
  <c r="AU19" i="12"/>
  <c r="AV19" i="12"/>
  <c r="AW19" i="12"/>
  <c r="AR20" i="12"/>
  <c r="AS20" i="12"/>
  <c r="AU20" i="12"/>
  <c r="AV20" i="12"/>
  <c r="AW20" i="12"/>
  <c r="AR23" i="12"/>
  <c r="AS23" i="12"/>
  <c r="AU23" i="12"/>
  <c r="AV23" i="12"/>
  <c r="AW23" i="12"/>
  <c r="AR27" i="12"/>
  <c r="AS27" i="12"/>
  <c r="AU27" i="12"/>
  <c r="AV27" i="12"/>
  <c r="AW27" i="12"/>
  <c r="AR28" i="12"/>
  <c r="AS28" i="12"/>
  <c r="AU28" i="12"/>
  <c r="AV28" i="12"/>
  <c r="AW28" i="12"/>
  <c r="AR29" i="12"/>
  <c r="AS29" i="12"/>
  <c r="AU29" i="12"/>
  <c r="AV29" i="12"/>
  <c r="AW29" i="12"/>
  <c r="AW17" i="12"/>
  <c r="AV17" i="12"/>
  <c r="AU17" i="12"/>
  <c r="AS17" i="12"/>
  <c r="AR17" i="12"/>
  <c r="AQ21" i="12"/>
  <c r="AV21" i="12" s="1"/>
  <c r="AQ30" i="12"/>
  <c r="AV30" i="12" s="1"/>
  <c r="AQ24" i="12"/>
  <c r="AR24" i="12" s="1"/>
  <c r="X743" i="2"/>
  <c r="AW21" i="12" l="1"/>
  <c r="AU30" i="12"/>
  <c r="AS21" i="12"/>
  <c r="AM21" i="12"/>
  <c r="BA24" i="12"/>
  <c r="AM24" i="12"/>
  <c r="AL24" i="12"/>
  <c r="BG24" i="12"/>
  <c r="BE31" i="12"/>
  <c r="AS30" i="12"/>
  <c r="AV24" i="12"/>
  <c r="AR21" i="12"/>
  <c r="BG30" i="12"/>
  <c r="AY21" i="12"/>
  <c r="AW30" i="12"/>
  <c r="AR30" i="12"/>
  <c r="AS24" i="12"/>
  <c r="AM30" i="12"/>
  <c r="BA30" i="12"/>
  <c r="AZ24" i="12"/>
  <c r="AY30" i="12"/>
  <c r="AU24" i="12"/>
  <c r="AL21" i="12"/>
  <c r="AQ25" i="12"/>
  <c r="AW24" i="12"/>
  <c r="AU21" i="12"/>
  <c r="AK25" i="12"/>
  <c r="AL30" i="12"/>
  <c r="AJ57" i="12"/>
  <c r="T11" i="2"/>
  <c r="T58" i="2" s="1"/>
  <c r="E58" i="2" s="1"/>
  <c r="E4" i="9"/>
  <c r="D52" i="9" s="1"/>
  <c r="E5" i="9"/>
  <c r="A100" i="16"/>
  <c r="A101" i="16" s="1"/>
  <c r="A102" i="16" s="1"/>
  <c r="E1" i="6"/>
  <c r="U309" i="8" s="1"/>
  <c r="H114" i="6"/>
  <c r="BF43" i="11"/>
  <c r="BF42" i="11"/>
  <c r="F71" i="6"/>
  <c r="D5" i="12"/>
  <c r="D226" i="6"/>
  <c r="D227" i="6"/>
  <c r="D228" i="6"/>
  <c r="D229" i="6"/>
  <c r="D230" i="6"/>
  <c r="D231" i="6"/>
  <c r="D232" i="6"/>
  <c r="D233" i="6"/>
  <c r="D234" i="6"/>
  <c r="D235" i="6"/>
  <c r="D236" i="6"/>
  <c r="D237" i="6"/>
  <c r="D238" i="6"/>
  <c r="D239" i="6"/>
  <c r="D240" i="6"/>
  <c r="D241" i="6"/>
  <c r="D242" i="6"/>
  <c r="D243" i="6"/>
  <c r="D244" i="6"/>
  <c r="D245" i="6"/>
  <c r="E75" i="6"/>
  <c r="E76" i="6"/>
  <c r="AD36" i="6" s="1"/>
  <c r="C88" i="11" s="1"/>
  <c r="BD87" i="11" s="1"/>
  <c r="E74" i="6"/>
  <c r="Q317" i="8"/>
  <c r="R327" i="8"/>
  <c r="D2" i="12"/>
  <c r="F2" i="12" s="1"/>
  <c r="F7" i="6"/>
  <c r="J7" i="6" s="1"/>
  <c r="E153" i="6" s="1"/>
  <c r="F10" i="6"/>
  <c r="F9" i="6"/>
  <c r="J9" i="6" s="1"/>
  <c r="E157" i="6" s="1"/>
  <c r="F8" i="6"/>
  <c r="E22" i="6"/>
  <c r="AD22" i="6" s="1"/>
  <c r="C74" i="11" s="1"/>
  <c r="BD74" i="11" s="1"/>
  <c r="BL33" i="11" s="1"/>
  <c r="J8" i="6"/>
  <c r="E168" i="6" s="1"/>
  <c r="L329" i="8"/>
  <c r="X163" i="6"/>
  <c r="X164" i="6"/>
  <c r="X165" i="6"/>
  <c r="X166" i="6"/>
  <c r="X167" i="6"/>
  <c r="X168" i="6"/>
  <c r="X169" i="6"/>
  <c r="X170" i="6"/>
  <c r="X171" i="6"/>
  <c r="F33" i="13"/>
  <c r="E33" i="13"/>
  <c r="N757" i="2"/>
  <c r="N758" i="2" s="1"/>
  <c r="N759" i="2" s="1"/>
  <c r="N760" i="2" s="1"/>
  <c r="N761" i="2" s="1"/>
  <c r="N762" i="2" s="1"/>
  <c r="N763" i="2" s="1"/>
  <c r="N764" i="2" s="1"/>
  <c r="N765" i="2" s="1"/>
  <c r="N766" i="2" s="1"/>
  <c r="N767" i="2" s="1"/>
  <c r="N768" i="2" s="1"/>
  <c r="N769" i="2" s="1"/>
  <c r="N770" i="2" s="1"/>
  <c r="N771" i="2" s="1"/>
  <c r="N772" i="2" s="1"/>
  <c r="N773" i="2" s="1"/>
  <c r="N774" i="2" s="1"/>
  <c r="N775" i="2" s="1"/>
  <c r="N776" i="2" s="1"/>
  <c r="A43" i="2"/>
  <c r="BH28" i="11" s="1"/>
  <c r="C23" i="2"/>
  <c r="C22" i="2"/>
  <c r="A87" i="16"/>
  <c r="A88" i="16" s="1"/>
  <c r="A89" i="16" s="1"/>
  <c r="A90" i="16" s="1"/>
  <c r="A91" i="16" s="1"/>
  <c r="A92" i="16" s="1"/>
  <c r="A93" i="16" s="1"/>
  <c r="BH3" i="11"/>
  <c r="BI3" i="11"/>
  <c r="K23" i="6"/>
  <c r="C26" i="2"/>
  <c r="A77" i="16"/>
  <c r="A78" i="16" s="1"/>
  <c r="A79" i="16" s="1"/>
  <c r="A80" i="16" s="1"/>
  <c r="A81" i="16" s="1"/>
  <c r="A82" i="16" s="1"/>
  <c r="A83" i="16" s="1"/>
  <c r="E4" i="13"/>
  <c r="E3" i="13"/>
  <c r="A71" i="16"/>
  <c r="A72" i="16" s="1"/>
  <c r="A73" i="16" s="1"/>
  <c r="A74" i="16" s="1"/>
  <c r="H10" i="6"/>
  <c r="H9" i="6"/>
  <c r="H8" i="6"/>
  <c r="H7" i="6"/>
  <c r="A60" i="16"/>
  <c r="A61" i="16" s="1"/>
  <c r="A62" i="16" s="1"/>
  <c r="A63" i="16" s="1"/>
  <c r="A64" i="16" s="1"/>
  <c r="A65" i="16" s="1"/>
  <c r="A66" i="16" s="1"/>
  <c r="A67" i="16" s="1"/>
  <c r="A68" i="16" s="1"/>
  <c r="AE48" i="11"/>
  <c r="A41" i="16"/>
  <c r="A42" i="16" s="1"/>
  <c r="A43" i="16" s="1"/>
  <c r="A44" i="16" s="1"/>
  <c r="A45" i="16" s="1"/>
  <c r="A46" i="16" s="1"/>
  <c r="A47" i="16" s="1"/>
  <c r="A48" i="16" s="1"/>
  <c r="A49" i="16" s="1"/>
  <c r="A50" i="16" s="1"/>
  <c r="A51" i="16" s="1"/>
  <c r="T61" i="2"/>
  <c r="T48" i="2"/>
  <c r="E48" i="2" s="1"/>
  <c r="A31" i="16"/>
  <c r="A32" i="16" s="1"/>
  <c r="A33" i="16" s="1"/>
  <c r="A34" i="16" s="1"/>
  <c r="A35" i="16" s="1"/>
  <c r="A36" i="16" s="1"/>
  <c r="A37" i="16" s="1"/>
  <c r="C7" i="13"/>
  <c r="C6" i="13"/>
  <c r="F1" i="6"/>
  <c r="AC3" i="6"/>
  <c r="B55" i="11" s="1"/>
  <c r="AD3" i="6"/>
  <c r="C5" i="6"/>
  <c r="C6" i="6"/>
  <c r="AB6" i="6" s="1"/>
  <c r="C7" i="6"/>
  <c r="AB7" i="6" s="1"/>
  <c r="C8" i="6"/>
  <c r="AB8" i="6" s="1"/>
  <c r="C9" i="6"/>
  <c r="AB9" i="6" s="1"/>
  <c r="C10" i="6"/>
  <c r="AB10" i="6" s="1"/>
  <c r="C11" i="6"/>
  <c r="AB11" i="6" s="1"/>
  <c r="C12" i="6"/>
  <c r="AB12" i="6" s="1"/>
  <c r="C13" i="6"/>
  <c r="AB13" i="6" s="1"/>
  <c r="C14" i="6"/>
  <c r="AB14" i="6" s="1"/>
  <c r="AD14" i="6"/>
  <c r="C15" i="6"/>
  <c r="AB15" i="6"/>
  <c r="AD15" i="6"/>
  <c r="C16" i="6"/>
  <c r="AB16" i="6" s="1"/>
  <c r="C17" i="6"/>
  <c r="AB17" i="6" s="1"/>
  <c r="C18" i="6"/>
  <c r="AB18" i="6" s="1"/>
  <c r="C19" i="6"/>
  <c r="AB19" i="6" s="1"/>
  <c r="C20" i="6"/>
  <c r="AB20" i="6" s="1"/>
  <c r="AB21" i="6"/>
  <c r="AB22" i="6"/>
  <c r="AB23" i="6"/>
  <c r="AE25" i="6"/>
  <c r="AE26" i="6"/>
  <c r="D35" i="6"/>
  <c r="P113" i="6" s="1"/>
  <c r="P144" i="6" s="1"/>
  <c r="K174" i="6" s="1"/>
  <c r="AB35" i="6"/>
  <c r="AB36" i="6"/>
  <c r="AB37" i="6"/>
  <c r="AB42" i="6"/>
  <c r="AB43" i="6"/>
  <c r="AB44" i="6"/>
  <c r="AB45" i="6"/>
  <c r="AB46" i="6"/>
  <c r="AB47" i="6"/>
  <c r="AB48" i="6"/>
  <c r="AB49" i="6"/>
  <c r="AB50" i="6"/>
  <c r="AB51" i="6"/>
  <c r="AB52" i="6"/>
  <c r="AB53" i="6"/>
  <c r="G63" i="6"/>
  <c r="C66" i="6"/>
  <c r="AB25" i="6" s="1"/>
  <c r="C67" i="6"/>
  <c r="AB27" i="6" s="1"/>
  <c r="C68" i="6"/>
  <c r="AB28" i="6" s="1"/>
  <c r="C69" i="6"/>
  <c r="AB29" i="6" s="1"/>
  <c r="C70" i="6"/>
  <c r="AB30" i="6" s="1"/>
  <c r="C71" i="6"/>
  <c r="AB31" i="6" s="1"/>
  <c r="C72" i="6"/>
  <c r="AB32" i="6" s="1"/>
  <c r="C73" i="6"/>
  <c r="AB33" i="6" s="1"/>
  <c r="C74" i="6"/>
  <c r="AB34" i="6" s="1"/>
  <c r="P85" i="6"/>
  <c r="L163" i="6"/>
  <c r="P163" i="6"/>
  <c r="L164" i="6"/>
  <c r="P164" i="6"/>
  <c r="L165" i="6"/>
  <c r="P165" i="6"/>
  <c r="L166" i="6"/>
  <c r="P166" i="6"/>
  <c r="L167" i="6"/>
  <c r="P167" i="6"/>
  <c r="L168" i="6"/>
  <c r="P168" i="6"/>
  <c r="L169" i="6"/>
  <c r="P169" i="6"/>
  <c r="L170" i="6"/>
  <c r="P170" i="6"/>
  <c r="L171" i="6"/>
  <c r="P171" i="6"/>
  <c r="W172" i="6"/>
  <c r="D190" i="6"/>
  <c r="E190" i="6"/>
  <c r="D191" i="6"/>
  <c r="E191" i="6"/>
  <c r="D192" i="6"/>
  <c r="E192" i="6"/>
  <c r="D193" i="6"/>
  <c r="E193" i="6"/>
  <c r="D194" i="6"/>
  <c r="E194" i="6"/>
  <c r="D195" i="6"/>
  <c r="E195" i="6"/>
  <c r="D196" i="6"/>
  <c r="E196" i="6"/>
  <c r="D197" i="6"/>
  <c r="E197" i="6"/>
  <c r="D198" i="6"/>
  <c r="E198" i="6"/>
  <c r="D199" i="6"/>
  <c r="E199" i="6"/>
  <c r="D200" i="6"/>
  <c r="E200" i="6"/>
  <c r="D201" i="6"/>
  <c r="E201" i="6"/>
  <c r="D202" i="6"/>
  <c r="E202" i="6"/>
  <c r="D203" i="6"/>
  <c r="E203" i="6"/>
  <c r="D204" i="6"/>
  <c r="E204" i="6"/>
  <c r="D205" i="6"/>
  <c r="E205" i="6"/>
  <c r="D206" i="6"/>
  <c r="E206" i="6"/>
  <c r="D207" i="6"/>
  <c r="E207" i="6"/>
  <c r="D208" i="6"/>
  <c r="E208" i="6"/>
  <c r="D209" i="6"/>
  <c r="E209" i="6"/>
  <c r="AJ11" i="12"/>
  <c r="AJ12" i="12" s="1"/>
  <c r="AJ13" i="12" s="1"/>
  <c r="AJ14" i="12" s="1"/>
  <c r="AJ15" i="12" s="1"/>
  <c r="AJ16" i="12" s="1"/>
  <c r="AJ17" i="12" s="1"/>
  <c r="AJ18" i="12" s="1"/>
  <c r="AJ19" i="12" s="1"/>
  <c r="AJ20" i="12" s="1"/>
  <c r="AJ21" i="12" s="1"/>
  <c r="AJ22" i="12" s="1"/>
  <c r="AJ23" i="12" s="1"/>
  <c r="AJ24" i="12" s="1"/>
  <c r="AJ25" i="12" s="1"/>
  <c r="AJ26" i="12" s="1"/>
  <c r="AJ27" i="12" s="1"/>
  <c r="AJ28" i="12" s="1"/>
  <c r="AJ29" i="12" s="1"/>
  <c r="AJ30" i="12" s="1"/>
  <c r="AJ31" i="12" s="1"/>
  <c r="AJ32" i="12" s="1"/>
  <c r="AJ33" i="12" s="1"/>
  <c r="AJ34" i="12" s="1"/>
  <c r="AJ35" i="12" s="1"/>
  <c r="AJ36" i="12" s="1"/>
  <c r="AJ37" i="12" s="1"/>
  <c r="AJ38" i="12" s="1"/>
  <c r="AJ39" i="12" s="1"/>
  <c r="AJ40" i="12" s="1"/>
  <c r="AJ41" i="12" s="1"/>
  <c r="AJ42" i="12" s="1"/>
  <c r="AJ43" i="12" s="1"/>
  <c r="M13" i="12"/>
  <c r="P17" i="12" s="1"/>
  <c r="K16" i="12"/>
  <c r="N16" i="12"/>
  <c r="Q16" i="12"/>
  <c r="T16" i="12"/>
  <c r="K17" i="12"/>
  <c r="T17" i="12" s="1"/>
  <c r="N17" i="12"/>
  <c r="Q17" i="12"/>
  <c r="N18" i="12"/>
  <c r="Q18" i="12"/>
  <c r="T18" i="12"/>
  <c r="N19" i="12"/>
  <c r="P19" i="12"/>
  <c r="R19" i="12" s="1"/>
  <c r="Q19" i="12"/>
  <c r="T19" i="12"/>
  <c r="N22" i="12"/>
  <c r="Q22" i="12"/>
  <c r="T22" i="12"/>
  <c r="N26" i="12"/>
  <c r="P26" i="12"/>
  <c r="R26" i="12" s="1"/>
  <c r="Q26" i="12"/>
  <c r="T26" i="12"/>
  <c r="M27" i="12"/>
  <c r="N27" i="12"/>
  <c r="Q27" i="12"/>
  <c r="T27" i="12"/>
  <c r="N28" i="12"/>
  <c r="P28" i="12"/>
  <c r="R28" i="12" s="1"/>
  <c r="Q28" i="12"/>
  <c r="T28" i="12"/>
  <c r="AH36" i="12"/>
  <c r="AH37" i="12"/>
  <c r="F39" i="12"/>
  <c r="I45" i="12"/>
  <c r="AH52" i="12"/>
  <c r="AH53" i="12" s="1"/>
  <c r="AH54" i="12" s="1"/>
  <c r="AH55" i="12" s="1"/>
  <c r="AH56" i="12" s="1"/>
  <c r="AH57" i="12" s="1"/>
  <c r="AH58" i="12" s="1"/>
  <c r="AH59" i="12" s="1"/>
  <c r="AH60" i="12" s="1"/>
  <c r="AH61" i="12" s="1"/>
  <c r="AH62" i="12" s="1"/>
  <c r="AH63" i="12" s="1"/>
  <c r="AH64" i="12" s="1"/>
  <c r="AH65" i="12" s="1"/>
  <c r="AH66" i="12" s="1"/>
  <c r="AH67" i="12" s="1"/>
  <c r="AH68" i="12" s="1"/>
  <c r="AH69" i="12" s="1"/>
  <c r="AH70" i="12" s="1"/>
  <c r="AH71" i="12" s="1"/>
  <c r="AH72" i="12" s="1"/>
  <c r="AH73" i="12" s="1"/>
  <c r="AH74" i="12" s="1"/>
  <c r="AH75" i="12" s="1"/>
  <c r="AH76" i="12" s="1"/>
  <c r="BK64" i="12"/>
  <c r="BL64" i="12"/>
  <c r="BK65" i="12"/>
  <c r="BL65" i="12"/>
  <c r="BK66" i="12"/>
  <c r="BL66" i="12"/>
  <c r="BK67" i="12"/>
  <c r="BL67" i="12"/>
  <c r="BK68" i="12"/>
  <c r="BL68" i="12"/>
  <c r="BK74" i="12"/>
  <c r="BL74" i="12"/>
  <c r="BK75" i="12"/>
  <c r="BL75" i="12"/>
  <c r="BK76" i="12"/>
  <c r="BL76" i="12"/>
  <c r="I4" i="9"/>
  <c r="C55" i="9"/>
  <c r="D26" i="10"/>
  <c r="E26" i="10"/>
  <c r="F26" i="10"/>
  <c r="G26" i="10"/>
  <c r="H26" i="10"/>
  <c r="I26" i="10"/>
  <c r="J26" i="10"/>
  <c r="K26" i="10"/>
  <c r="L26" i="10"/>
  <c r="M26" i="10"/>
  <c r="N26" i="10"/>
  <c r="O26" i="10"/>
  <c r="P26" i="10"/>
  <c r="Q26" i="10"/>
  <c r="R26" i="10"/>
  <c r="S26" i="10"/>
  <c r="T26" i="10"/>
  <c r="U26" i="10"/>
  <c r="V26" i="10"/>
  <c r="W26" i="10"/>
  <c r="X26" i="10"/>
  <c r="Y26" i="10"/>
  <c r="Z26" i="10"/>
  <c r="AA26" i="10"/>
  <c r="AB26" i="10"/>
  <c r="AC26" i="10"/>
  <c r="AD26" i="10"/>
  <c r="AG26" i="10"/>
  <c r="AH26" i="10"/>
  <c r="AI26" i="10"/>
  <c r="AJ26" i="10"/>
  <c r="AK26" i="10"/>
  <c r="AL26" i="10"/>
  <c r="AM26" i="10"/>
  <c r="AN26" i="10"/>
  <c r="AO26" i="10"/>
  <c r="AP26" i="10"/>
  <c r="AQ26" i="10"/>
  <c r="AR26" i="10"/>
  <c r="AS26" i="10"/>
  <c r="AT26" i="10"/>
  <c r="AU26" i="10"/>
  <c r="AV26" i="10"/>
  <c r="AW26" i="10"/>
  <c r="AX26" i="10"/>
  <c r="AY26" i="10"/>
  <c r="AZ26" i="10"/>
  <c r="BA26" i="10"/>
  <c r="BB26" i="10"/>
  <c r="BC26" i="10"/>
  <c r="BD26" i="10"/>
  <c r="BE26" i="10"/>
  <c r="BG26" i="10"/>
  <c r="BH26" i="10"/>
  <c r="BI26" i="10"/>
  <c r="BJ26" i="10"/>
  <c r="BK26" i="10"/>
  <c r="BL26" i="10"/>
  <c r="BM26" i="10"/>
  <c r="C28" i="10"/>
  <c r="C302" i="8"/>
  <c r="E309" i="8"/>
  <c r="I312" i="8"/>
  <c r="N314" i="8"/>
  <c r="E317" i="8"/>
  <c r="F318" i="8"/>
  <c r="H319" i="8"/>
  <c r="I320" i="8"/>
  <c r="J321" i="8"/>
  <c r="J322" i="8"/>
  <c r="D325" i="8"/>
  <c r="E326" i="8"/>
  <c r="F327" i="8"/>
  <c r="D12" i="2"/>
  <c r="D4" i="11" s="1"/>
  <c r="D13" i="2"/>
  <c r="C14" i="2" s="1"/>
  <c r="D2" i="11" s="1"/>
  <c r="A31" i="2"/>
  <c r="BH16" i="11" s="1"/>
  <c r="A32" i="2"/>
  <c r="BH17" i="11" s="1"/>
  <c r="A33" i="2"/>
  <c r="AC33" i="2"/>
  <c r="A34" i="2"/>
  <c r="AC34" i="2"/>
  <c r="A35" i="2"/>
  <c r="BH20" i="11" s="1"/>
  <c r="AC35" i="2"/>
  <c r="A36" i="2"/>
  <c r="AC36" i="2"/>
  <c r="A37" i="2"/>
  <c r="A38" i="2"/>
  <c r="BH23" i="11" s="1"/>
  <c r="A39" i="2"/>
  <c r="A40" i="2"/>
  <c r="A41" i="2"/>
  <c r="BH26" i="11" s="1"/>
  <c r="A42" i="2"/>
  <c r="BH27" i="11" s="1"/>
  <c r="A44" i="2"/>
  <c r="A45" i="2"/>
  <c r="BH30" i="11" s="1"/>
  <c r="A46" i="2"/>
  <c r="BH31" i="11" s="1"/>
  <c r="A51" i="2"/>
  <c r="BH36" i="11" s="1"/>
  <c r="A53" i="2"/>
  <c r="BH38" i="11" s="1"/>
  <c r="A54" i="2"/>
  <c r="A55" i="2"/>
  <c r="BH40" i="11" s="1"/>
  <c r="A57" i="2"/>
  <c r="A58" i="2"/>
  <c r="BH42" i="11" s="1"/>
  <c r="AC58" i="2"/>
  <c r="A59" i="2"/>
  <c r="BH43" i="11" s="1"/>
  <c r="A60" i="2"/>
  <c r="BH44" i="11" s="1"/>
  <c r="A64" i="2"/>
  <c r="A65" i="2"/>
  <c r="A66" i="2"/>
  <c r="BH50" i="11" s="1"/>
  <c r="A67" i="2"/>
  <c r="BH51" i="11" s="1"/>
  <c r="AC43" i="6"/>
  <c r="B94" i="11" s="1"/>
  <c r="BC93" i="11" s="1"/>
  <c r="BI51" i="11" s="1"/>
  <c r="AD43" i="6"/>
  <c r="C94" i="11" s="1"/>
  <c r="BD93" i="11" s="1"/>
  <c r="BK51" i="11" s="1"/>
  <c r="Y67" i="2"/>
  <c r="AA67" i="2"/>
  <c r="A68" i="2"/>
  <c r="AC44" i="6"/>
  <c r="B95" i="11" s="1"/>
  <c r="BC94" i="11" s="1"/>
  <c r="BI52" i="11" s="1"/>
  <c r="Y68" i="2"/>
  <c r="A69" i="2"/>
  <c r="AC45" i="6"/>
  <c r="B96" i="11" s="1"/>
  <c r="BC95" i="11" s="1"/>
  <c r="BI53" i="11" s="1"/>
  <c r="Y69" i="2"/>
  <c r="A70" i="2"/>
  <c r="BH54" i="11" s="1"/>
  <c r="A71" i="2"/>
  <c r="AC47" i="6"/>
  <c r="B98" i="11" s="1"/>
  <c r="BC97" i="11" s="1"/>
  <c r="BI55" i="11" s="1"/>
  <c r="Y71" i="2"/>
  <c r="A72" i="2"/>
  <c r="BH56" i="11" s="1"/>
  <c r="AC48" i="6"/>
  <c r="B99" i="11" s="1"/>
  <c r="BC98" i="11" s="1"/>
  <c r="BI56" i="11" s="1"/>
  <c r="Y72" i="2"/>
  <c r="A73" i="2"/>
  <c r="AC49" i="6"/>
  <c r="B100" i="11" s="1"/>
  <c r="BC99" i="11" s="1"/>
  <c r="BI57" i="11" s="1"/>
  <c r="Y73" i="2"/>
  <c r="A74" i="2"/>
  <c r="BH58" i="11" s="1"/>
  <c r="AD52" i="6"/>
  <c r="C103" i="11" s="1"/>
  <c r="BD102" i="11" s="1"/>
  <c r="BK60" i="11" s="1"/>
  <c r="AA76" i="2"/>
  <c r="AA77" i="2"/>
  <c r="X749" i="2"/>
  <c r="X750" i="2"/>
  <c r="X757" i="2" s="1"/>
  <c r="W752" i="2"/>
  <c r="W753" i="2"/>
  <c r="W754" i="2"/>
  <c r="W755" i="2"/>
  <c r="X755" i="2" s="1"/>
  <c r="O756" i="2"/>
  <c r="O757" i="2"/>
  <c r="Q805" i="2"/>
  <c r="Q806" i="2" s="1"/>
  <c r="Q807" i="2" s="1"/>
  <c r="Q808" i="2" s="1"/>
  <c r="Q809" i="2" s="1"/>
  <c r="Q810" i="2" s="1"/>
  <c r="Q811" i="2" s="1"/>
  <c r="A4" i="16"/>
  <c r="A5" i="16" s="1"/>
  <c r="A6" i="16" s="1"/>
  <c r="A7" i="16" s="1"/>
  <c r="A8" i="16" s="1"/>
  <c r="A9" i="16" s="1"/>
  <c r="A10" i="16" s="1"/>
  <c r="A11" i="16" s="1"/>
  <c r="A12" i="16" s="1"/>
  <c r="A13" i="16" s="1"/>
  <c r="A17" i="16"/>
  <c r="A18" i="16" s="1"/>
  <c r="A19" i="16" s="1"/>
  <c r="A20" i="16" s="1"/>
  <c r="A21" i="16" s="1"/>
  <c r="A22" i="16" s="1"/>
  <c r="A23" i="16" s="1"/>
  <c r="A24" i="16" s="1"/>
  <c r="A25" i="16" s="1"/>
  <c r="A26" i="16" s="1"/>
  <c r="A27" i="16" s="1"/>
  <c r="C2" i="11"/>
  <c r="BD2" i="11"/>
  <c r="BI2" i="11"/>
  <c r="BK2" i="11" s="1"/>
  <c r="C3" i="11"/>
  <c r="BD3" i="11" s="1"/>
  <c r="BI4" i="11"/>
  <c r="BJ4" i="11"/>
  <c r="C5" i="11"/>
  <c r="BD5" i="11" s="1"/>
  <c r="BI5" i="11"/>
  <c r="BI6" i="11"/>
  <c r="C7" i="11"/>
  <c r="BD7" i="11" s="1"/>
  <c r="BI7" i="11"/>
  <c r="C8" i="11"/>
  <c r="BD8" i="11" s="1"/>
  <c r="C9" i="11"/>
  <c r="BD9" i="11" s="1"/>
  <c r="BI9" i="11"/>
  <c r="C12" i="11"/>
  <c r="E26" i="11" s="1"/>
  <c r="BF26" i="11" s="1"/>
  <c r="BI13" i="11"/>
  <c r="BI16" i="11"/>
  <c r="BJ16" i="11"/>
  <c r="BK16" i="11"/>
  <c r="BL16" i="11"/>
  <c r="BM16" i="11"/>
  <c r="BJ17" i="11"/>
  <c r="BK17" i="11"/>
  <c r="BL17" i="11"/>
  <c r="BM17" i="11"/>
  <c r="BH18" i="11"/>
  <c r="BH19" i="11"/>
  <c r="BH21" i="11"/>
  <c r="BH22" i="11"/>
  <c r="BH24" i="11"/>
  <c r="BH25" i="11"/>
  <c r="BH29" i="11"/>
  <c r="BH32" i="11"/>
  <c r="BH33" i="11"/>
  <c r="BH34" i="11"/>
  <c r="BD42" i="11"/>
  <c r="BE42" i="11"/>
  <c r="BC43" i="11"/>
  <c r="BD43" i="11"/>
  <c r="BE43" i="11"/>
  <c r="BI37" i="11"/>
  <c r="BJ37" i="11"/>
  <c r="BK37" i="11"/>
  <c r="BL37" i="11"/>
  <c r="BM37" i="11"/>
  <c r="D44" i="11"/>
  <c r="BE44" i="11" s="1"/>
  <c r="BC44" i="11"/>
  <c r="BJ38" i="11"/>
  <c r="BK38" i="11"/>
  <c r="BL38" i="11"/>
  <c r="BM38" i="11"/>
  <c r="BH39" i="11"/>
  <c r="BL39" i="11"/>
  <c r="BH41" i="11"/>
  <c r="BM42" i="11"/>
  <c r="BL43" i="11"/>
  <c r="BH45" i="11"/>
  <c r="BH46" i="11"/>
  <c r="BH48" i="11"/>
  <c r="BH49" i="11"/>
  <c r="BK49" i="11"/>
  <c r="B57" i="11"/>
  <c r="BH52" i="11"/>
  <c r="BH53" i="11"/>
  <c r="BH55" i="11"/>
  <c r="BH57" i="11"/>
  <c r="BH60" i="11"/>
  <c r="BH61" i="11"/>
  <c r="BH63" i="11"/>
  <c r="BH64" i="11"/>
  <c r="BI64" i="11"/>
  <c r="BK64" i="11"/>
  <c r="BH65" i="11"/>
  <c r="BH66" i="11"/>
  <c r="BH67" i="11"/>
  <c r="D77" i="11"/>
  <c r="B78" i="11"/>
  <c r="C78" i="11"/>
  <c r="D78" i="11"/>
  <c r="C5" i="13"/>
  <c r="E10" i="13"/>
  <c r="AE3" i="10" s="1"/>
  <c r="F10" i="13"/>
  <c r="AF3" i="10" s="1"/>
  <c r="B35" i="13"/>
  <c r="B60" i="13" s="1"/>
  <c r="B85" i="13" s="1"/>
  <c r="C35" i="13"/>
  <c r="C60" i="13" s="1"/>
  <c r="C85" i="13"/>
  <c r="C110" i="13" s="1"/>
  <c r="C135" i="13" s="1"/>
  <c r="C160" i="13" s="1"/>
  <c r="C185" i="13" s="1"/>
  <c r="C210" i="13" s="1"/>
  <c r="C235" i="13" s="1"/>
  <c r="C260" i="13" s="1"/>
  <c r="C285" i="13" s="1"/>
  <c r="B110" i="13"/>
  <c r="B135" i="13" s="1"/>
  <c r="B160" i="13" s="1"/>
  <c r="B185" i="13" s="1"/>
  <c r="B210" i="13" s="1"/>
  <c r="B235" i="13" s="1"/>
  <c r="B260" i="13" s="1"/>
  <c r="B285" i="13" s="1"/>
  <c r="E226" i="6"/>
  <c r="E227" i="6"/>
  <c r="E228" i="6"/>
  <c r="E229" i="6"/>
  <c r="E230" i="6"/>
  <c r="E231" i="6"/>
  <c r="E232" i="6"/>
  <c r="E233" i="6"/>
  <c r="E234" i="6"/>
  <c r="E235" i="6"/>
  <c r="E236" i="6"/>
  <c r="E237" i="6"/>
  <c r="E238" i="6"/>
  <c r="E239" i="6"/>
  <c r="E240" i="6"/>
  <c r="E241" i="6"/>
  <c r="E242" i="6"/>
  <c r="E243" i="6"/>
  <c r="E244" i="6"/>
  <c r="E245" i="6"/>
  <c r="E61" i="2"/>
  <c r="AB48" i="2"/>
  <c r="AE10" i="6"/>
  <c r="D62" i="11" s="1"/>
  <c r="BE62" i="11" s="1"/>
  <c r="BM21" i="11" s="1"/>
  <c r="AE9" i="6"/>
  <c r="D61" i="11" s="1"/>
  <c r="BE61" i="11" s="1"/>
  <c r="BM20" i="11" s="1"/>
  <c r="AE8" i="6"/>
  <c r="D60" i="11" s="1"/>
  <c r="BE60" i="11" s="1"/>
  <c r="BM19" i="11" s="1"/>
  <c r="AD34" i="6"/>
  <c r="C86" i="11" s="1"/>
  <c r="BD85" i="11" s="1"/>
  <c r="AD35" i="6"/>
  <c r="C87" i="11" s="1"/>
  <c r="BD86" i="11" s="1"/>
  <c r="AD53" i="6"/>
  <c r="C104" i="11" s="1"/>
  <c r="BD103" i="11" s="1"/>
  <c r="BK61" i="11" s="1"/>
  <c r="A1" i="11"/>
  <c r="BH1" i="11" s="1"/>
  <c r="BB1" i="11"/>
  <c r="D316" i="8" l="1"/>
  <c r="M323" i="8"/>
  <c r="J313" i="8"/>
  <c r="L313" i="8"/>
  <c r="I329" i="8"/>
  <c r="H311" i="8"/>
  <c r="H328" i="8"/>
  <c r="F310" i="8"/>
  <c r="D308" i="8"/>
  <c r="N323" i="8"/>
  <c r="F4" i="9"/>
  <c r="M36" i="6"/>
  <c r="O85" i="6" s="1"/>
  <c r="F35" i="6"/>
  <c r="C2" i="9"/>
  <c r="F329" i="8"/>
  <c r="E328" i="8"/>
  <c r="D327" i="8"/>
  <c r="N325" i="8"/>
  <c r="J324" i="8"/>
  <c r="I323" i="8"/>
  <c r="H322" i="8"/>
  <c r="H321" i="8"/>
  <c r="F320" i="8"/>
  <c r="E319" i="8"/>
  <c r="D318" i="8"/>
  <c r="N316" i="8"/>
  <c r="J315" i="8"/>
  <c r="I314" i="8"/>
  <c r="H313" i="8"/>
  <c r="F312" i="8"/>
  <c r="E311" i="8"/>
  <c r="D310" i="8"/>
  <c r="N308" i="8"/>
  <c r="M319" i="8"/>
  <c r="L325" i="8"/>
  <c r="L309" i="8"/>
  <c r="R319" i="8"/>
  <c r="Q309" i="8"/>
  <c r="T34" i="2"/>
  <c r="AB34" i="2" s="1"/>
  <c r="E329" i="8"/>
  <c r="D328" i="8"/>
  <c r="N326" i="8"/>
  <c r="J325" i="8"/>
  <c r="I324" i="8"/>
  <c r="H323" i="8"/>
  <c r="F321" i="8"/>
  <c r="E320" i="8"/>
  <c r="D319" i="8"/>
  <c r="N317" i="8"/>
  <c r="J316" i="8"/>
  <c r="I315" i="8"/>
  <c r="H314" i="8"/>
  <c r="F313" i="8"/>
  <c r="E312" i="8"/>
  <c r="D311" i="8"/>
  <c r="N309" i="8"/>
  <c r="J308" i="8"/>
  <c r="P22" i="12"/>
  <c r="M316" i="8"/>
  <c r="L322" i="8"/>
  <c r="P326" i="8"/>
  <c r="R315" i="8"/>
  <c r="P318" i="8"/>
  <c r="U326" i="8"/>
  <c r="T44" i="2"/>
  <c r="D329" i="8"/>
  <c r="N327" i="8"/>
  <c r="J326" i="8"/>
  <c r="I325" i="8"/>
  <c r="H324" i="8"/>
  <c r="F323" i="8"/>
  <c r="F322" i="8"/>
  <c r="E321" i="8"/>
  <c r="D320" i="8"/>
  <c r="N318" i="8"/>
  <c r="J317" i="8"/>
  <c r="I316" i="8"/>
  <c r="H315" i="8"/>
  <c r="F314" i="8"/>
  <c r="E313" i="8"/>
  <c r="D312" i="8"/>
  <c r="N310" i="8"/>
  <c r="J309" i="8"/>
  <c r="I308" i="8"/>
  <c r="R17" i="12"/>
  <c r="M315" i="8"/>
  <c r="L321" i="8"/>
  <c r="P325" i="8"/>
  <c r="R311" i="8"/>
  <c r="P314" i="8"/>
  <c r="N328" i="8"/>
  <c r="J327" i="8"/>
  <c r="I326" i="8"/>
  <c r="H325" i="8"/>
  <c r="F324" i="8"/>
  <c r="E323" i="8"/>
  <c r="E322" i="8"/>
  <c r="D321" i="8"/>
  <c r="N319" i="8"/>
  <c r="J318" i="8"/>
  <c r="I317" i="8"/>
  <c r="H316" i="8"/>
  <c r="F315" i="8"/>
  <c r="E314" i="8"/>
  <c r="D313" i="8"/>
  <c r="N311" i="8"/>
  <c r="J310" i="8"/>
  <c r="I309" i="8"/>
  <c r="H308" i="8"/>
  <c r="M328" i="8"/>
  <c r="M312" i="8"/>
  <c r="L318" i="8"/>
  <c r="P327" i="8"/>
  <c r="Q329" i="8"/>
  <c r="P310" i="8"/>
  <c r="U319" i="8"/>
  <c r="N329" i="8"/>
  <c r="J328" i="8"/>
  <c r="I327" i="8"/>
  <c r="H326" i="8"/>
  <c r="F325" i="8"/>
  <c r="E324" i="8"/>
  <c r="D323" i="8"/>
  <c r="D322" i="8"/>
  <c r="N320" i="8"/>
  <c r="J319" i="8"/>
  <c r="I318" i="8"/>
  <c r="H317" i="8"/>
  <c r="K317" i="8" s="1"/>
  <c r="F316" i="8"/>
  <c r="E315" i="8"/>
  <c r="D314" i="8"/>
  <c r="N312" i="8"/>
  <c r="J311" i="8"/>
  <c r="I310" i="8"/>
  <c r="H309" i="8"/>
  <c r="F308" i="8"/>
  <c r="M327" i="8"/>
  <c r="M311" i="8"/>
  <c r="L317" i="8"/>
  <c r="P323" i="8"/>
  <c r="Q325" i="8"/>
  <c r="U315" i="8"/>
  <c r="J329" i="8"/>
  <c r="I328" i="8"/>
  <c r="H327" i="8"/>
  <c r="F326" i="8"/>
  <c r="E325" i="8"/>
  <c r="D324" i="8"/>
  <c r="N322" i="8"/>
  <c r="N321" i="8"/>
  <c r="J320" i="8"/>
  <c r="I319" i="8"/>
  <c r="H318" i="8"/>
  <c r="F317" i="8"/>
  <c r="G317" i="8" s="1"/>
  <c r="E316" i="8"/>
  <c r="D315" i="8"/>
  <c r="N313" i="8"/>
  <c r="J312" i="8"/>
  <c r="I311" i="8"/>
  <c r="K311" i="8" s="1"/>
  <c r="H310" i="8"/>
  <c r="F309" i="8"/>
  <c r="E308" i="8"/>
  <c r="M324" i="8"/>
  <c r="M308" i="8"/>
  <c r="L314" i="8"/>
  <c r="Q321" i="8"/>
  <c r="U311" i="8"/>
  <c r="D51" i="9"/>
  <c r="H329" i="8"/>
  <c r="F328" i="8"/>
  <c r="E327" i="8"/>
  <c r="D326" i="8"/>
  <c r="N324" i="8"/>
  <c r="J323" i="8"/>
  <c r="I322" i="8"/>
  <c r="I321" i="8"/>
  <c r="H320" i="8"/>
  <c r="F319" i="8"/>
  <c r="E318" i="8"/>
  <c r="D317" i="8"/>
  <c r="N315" i="8"/>
  <c r="J314" i="8"/>
  <c r="I313" i="8"/>
  <c r="H312" i="8"/>
  <c r="F311" i="8"/>
  <c r="E310" i="8"/>
  <c r="D309" i="8"/>
  <c r="P16" i="12"/>
  <c r="R16" i="12" s="1"/>
  <c r="M320" i="8"/>
  <c r="L326" i="8"/>
  <c r="L310" i="8"/>
  <c r="R323" i="8"/>
  <c r="Q313" i="8"/>
  <c r="T59" i="2"/>
  <c r="T33" i="2"/>
  <c r="F239" i="6"/>
  <c r="F231" i="6"/>
  <c r="F227" i="6"/>
  <c r="F243" i="6"/>
  <c r="F235" i="6"/>
  <c r="O27" i="12"/>
  <c r="R328" i="8"/>
  <c r="R324" i="8"/>
  <c r="R320" i="8"/>
  <c r="R316" i="8"/>
  <c r="R312" i="8"/>
  <c r="R308" i="8"/>
  <c r="Q326" i="8"/>
  <c r="Q322" i="8"/>
  <c r="Q318" i="8"/>
  <c r="Q314" i="8"/>
  <c r="Q310" i="8"/>
  <c r="P319" i="8"/>
  <c r="P315" i="8"/>
  <c r="P311" i="8"/>
  <c r="U327" i="8"/>
  <c r="U323" i="8"/>
  <c r="U320" i="8"/>
  <c r="U316" i="8"/>
  <c r="U312" i="8"/>
  <c r="U308" i="8"/>
  <c r="F7" i="9"/>
  <c r="G35" i="6" s="1"/>
  <c r="AV25" i="12"/>
  <c r="AR25" i="12"/>
  <c r="AW25" i="12"/>
  <c r="AS25" i="12"/>
  <c r="AU25" i="12"/>
  <c r="AZ25" i="12"/>
  <c r="AL25" i="12"/>
  <c r="BA25" i="12"/>
  <c r="AM25" i="12"/>
  <c r="AY25" i="12"/>
  <c r="M326" i="8"/>
  <c r="M322" i="8"/>
  <c r="M318" i="8"/>
  <c r="M314" i="8"/>
  <c r="M310" i="8"/>
  <c r="L328" i="8"/>
  <c r="L324" i="8"/>
  <c r="L320" i="8"/>
  <c r="L316" i="8"/>
  <c r="L312" i="8"/>
  <c r="L308" i="8"/>
  <c r="P324" i="8"/>
  <c r="P322" i="8"/>
  <c r="R326" i="8"/>
  <c r="R322" i="8"/>
  <c r="R318" i="8"/>
  <c r="R314" i="8"/>
  <c r="R310" i="8"/>
  <c r="Q328" i="8"/>
  <c r="Q324" i="8"/>
  <c r="Q320" i="8"/>
  <c r="Q316" i="8"/>
  <c r="Q312" i="8"/>
  <c r="Q308" i="8"/>
  <c r="P317" i="8"/>
  <c r="P313" i="8"/>
  <c r="P309" i="8"/>
  <c r="P308" i="8"/>
  <c r="U329" i="8"/>
  <c r="U325" i="8"/>
  <c r="U322" i="8"/>
  <c r="U318" i="8"/>
  <c r="U314" i="8"/>
  <c r="U310" i="8"/>
  <c r="T36" i="2"/>
  <c r="X754" i="2"/>
  <c r="H87" i="6"/>
  <c r="H120" i="6" s="1"/>
  <c r="AF26" i="10"/>
  <c r="M329" i="8"/>
  <c r="O329" i="8" s="1"/>
  <c r="M325" i="8"/>
  <c r="M321" i="8"/>
  <c r="M317" i="8"/>
  <c r="M313" i="8"/>
  <c r="M309" i="8"/>
  <c r="L327" i="8"/>
  <c r="L323" i="8"/>
  <c r="O323" i="8" s="1"/>
  <c r="L319" i="8"/>
  <c r="L315" i="8"/>
  <c r="O315" i="8" s="1"/>
  <c r="L311" i="8"/>
  <c r="O311" i="8" s="1"/>
  <c r="P328" i="8"/>
  <c r="P321" i="8"/>
  <c r="P329" i="8"/>
  <c r="R329" i="8"/>
  <c r="R325" i="8"/>
  <c r="R321" i="8"/>
  <c r="R317" i="8"/>
  <c r="R313" i="8"/>
  <c r="R309" i="8"/>
  <c r="Q327" i="8"/>
  <c r="Q323" i="8"/>
  <c r="Q319" i="8"/>
  <c r="Q315" i="8"/>
  <c r="Q311" i="8"/>
  <c r="P320" i="8"/>
  <c r="P316" i="8"/>
  <c r="P312" i="8"/>
  <c r="U328" i="8"/>
  <c r="U324" i="8"/>
  <c r="U321" i="8"/>
  <c r="U317" i="8"/>
  <c r="U313" i="8"/>
  <c r="F8" i="9"/>
  <c r="G64" i="6" s="1"/>
  <c r="T39" i="2"/>
  <c r="AQ31" i="12"/>
  <c r="AK31" i="12"/>
  <c r="F245" i="6"/>
  <c r="F241" i="6"/>
  <c r="F233" i="6"/>
  <c r="F229" i="6"/>
  <c r="F237" i="6"/>
  <c r="AE7" i="6"/>
  <c r="D59" i="11" s="1"/>
  <c r="BE59" i="11" s="1"/>
  <c r="BM18" i="11" s="1"/>
  <c r="F206" i="6"/>
  <c r="F204" i="6"/>
  <c r="F202" i="6"/>
  <c r="X753" i="2"/>
  <c r="F194" i="6"/>
  <c r="F190" i="6"/>
  <c r="F230" i="6"/>
  <c r="F242" i="6"/>
  <c r="F238" i="6"/>
  <c r="F234" i="6"/>
  <c r="F226" i="6"/>
  <c r="F207" i="6"/>
  <c r="F201" i="6"/>
  <c r="F199" i="6"/>
  <c r="F195" i="6"/>
  <c r="F191" i="6"/>
  <c r="F203" i="6"/>
  <c r="F209" i="6"/>
  <c r="F244" i="6"/>
  <c r="F240" i="6"/>
  <c r="F232" i="6"/>
  <c r="F236" i="6"/>
  <c r="F228" i="6"/>
  <c r="F198" i="6"/>
  <c r="E71" i="6"/>
  <c r="AD31" i="6" s="1"/>
  <c r="C83" i="11" s="1"/>
  <c r="BD82" i="11" s="1"/>
  <c r="AB58" i="2"/>
  <c r="J71" i="6"/>
  <c r="D155" i="6" s="1"/>
  <c r="AE31" i="6"/>
  <c r="D83" i="11" s="1"/>
  <c r="E44" i="11"/>
  <c r="BF44" i="11" s="1"/>
  <c r="C26" i="11"/>
  <c r="BD26" i="11" s="1"/>
  <c r="C44" i="11"/>
  <c r="BD44" i="11" s="1"/>
  <c r="BD12" i="11"/>
  <c r="BB50" i="11" s="1"/>
  <c r="A50" i="11"/>
  <c r="D26" i="11"/>
  <c r="BE26" i="11" s="1"/>
  <c r="X759" i="2"/>
  <c r="AI9" i="12" s="1"/>
  <c r="AE26" i="10"/>
  <c r="R22" i="12"/>
  <c r="M16" i="12"/>
  <c r="O16" i="12" s="1"/>
  <c r="P18" i="12"/>
  <c r="R18" i="12" s="1"/>
  <c r="M26" i="12"/>
  <c r="O26" i="12" s="1"/>
  <c r="S27" i="12"/>
  <c r="U27" i="12" s="1"/>
  <c r="M28" i="12"/>
  <c r="O28" i="12" s="1"/>
  <c r="S17" i="12"/>
  <c r="U17" i="12" s="1"/>
  <c r="M18" i="12"/>
  <c r="O18" i="12" s="1"/>
  <c r="S19" i="12"/>
  <c r="U19" i="12" s="1"/>
  <c r="S22" i="12"/>
  <c r="U22" i="12" s="1"/>
  <c r="P27" i="12"/>
  <c r="R27" i="12" s="1"/>
  <c r="M17" i="12"/>
  <c r="O17" i="12" s="1"/>
  <c r="M22" i="12"/>
  <c r="O22" i="12" s="1"/>
  <c r="S26" i="12"/>
  <c r="U26" i="12" s="1"/>
  <c r="S16" i="12"/>
  <c r="U16" i="12" s="1"/>
  <c r="M19" i="12"/>
  <c r="O19" i="12" s="1"/>
  <c r="S28" i="12"/>
  <c r="U28" i="12" s="1"/>
  <c r="S18" i="12"/>
  <c r="U18" i="12" s="1"/>
  <c r="F196" i="6"/>
  <c r="F193" i="6"/>
  <c r="T113" i="6"/>
  <c r="X113" i="6" s="1"/>
  <c r="F208" i="6"/>
  <c r="F205" i="6"/>
  <c r="F200" i="6"/>
  <c r="F197" i="6"/>
  <c r="F192" i="6"/>
  <c r="K24" i="6"/>
  <c r="J10" i="6"/>
  <c r="T35" i="2"/>
  <c r="E35" i="2" s="1"/>
  <c r="T43" i="2"/>
  <c r="E43" i="2" s="1"/>
  <c r="T45" i="2"/>
  <c r="E45" i="2" s="1"/>
  <c r="T54" i="2"/>
  <c r="E54" i="2" s="1"/>
  <c r="K323" i="8" l="1"/>
  <c r="G323" i="8"/>
  <c r="G313" i="8"/>
  <c r="S323" i="8"/>
  <c r="S312" i="8"/>
  <c r="E34" i="2"/>
  <c r="E8" i="6" s="1"/>
  <c r="AD8" i="6" s="1"/>
  <c r="C60" i="11" s="1"/>
  <c r="BD60" i="11" s="1"/>
  <c r="BL19" i="11" s="1"/>
  <c r="G314" i="8"/>
  <c r="G326" i="8"/>
  <c r="K329" i="8"/>
  <c r="O321" i="8"/>
  <c r="O320" i="8"/>
  <c r="K320" i="8"/>
  <c r="G309" i="8"/>
  <c r="K327" i="8"/>
  <c r="G327" i="8"/>
  <c r="S328" i="8"/>
  <c r="G316" i="8"/>
  <c r="G325" i="8"/>
  <c r="K309" i="8"/>
  <c r="K315" i="8"/>
  <c r="K324" i="8"/>
  <c r="S311" i="8"/>
  <c r="S327" i="8"/>
  <c r="O328" i="8"/>
  <c r="O309" i="8"/>
  <c r="O313" i="8"/>
  <c r="O308" i="8"/>
  <c r="O324" i="8"/>
  <c r="O327" i="8"/>
  <c r="O318" i="8"/>
  <c r="K312" i="8"/>
  <c r="K319" i="8"/>
  <c r="K328" i="8"/>
  <c r="K308" i="8"/>
  <c r="K316" i="8"/>
  <c r="K325" i="8"/>
  <c r="K313" i="8"/>
  <c r="G315" i="8"/>
  <c r="G324" i="8"/>
  <c r="G321" i="8"/>
  <c r="G320" i="8"/>
  <c r="G329" i="8"/>
  <c r="G308" i="8"/>
  <c r="G311" i="8"/>
  <c r="O314" i="8"/>
  <c r="O325" i="8"/>
  <c r="O317" i="8"/>
  <c r="O310" i="8"/>
  <c r="G310" i="8"/>
  <c r="S314" i="8"/>
  <c r="E59" i="2"/>
  <c r="E72" i="6" s="1"/>
  <c r="AD32" i="6" s="1"/>
  <c r="C84" i="11" s="1"/>
  <c r="BD83" i="11" s="1"/>
  <c r="BL42" i="11" s="1"/>
  <c r="AB59" i="2"/>
  <c r="K321" i="8"/>
  <c r="K310" i="8"/>
  <c r="K314" i="8"/>
  <c r="K322" i="8"/>
  <c r="S322" i="8"/>
  <c r="K318" i="8"/>
  <c r="E44" i="2"/>
  <c r="E18" i="6" s="1"/>
  <c r="AD18" i="6" s="1"/>
  <c r="C70" i="11" s="1"/>
  <c r="BD70" i="11" s="1"/>
  <c r="BL29" i="11" s="1"/>
  <c r="AB44" i="2"/>
  <c r="G328" i="8"/>
  <c r="G319" i="8"/>
  <c r="O319" i="8"/>
  <c r="S313" i="8"/>
  <c r="O312" i="8"/>
  <c r="O322" i="8"/>
  <c r="S318" i="8"/>
  <c r="S325" i="8"/>
  <c r="S317" i="8"/>
  <c r="O316" i="8"/>
  <c r="O326" i="8"/>
  <c r="E33" i="2"/>
  <c r="E7" i="6" s="1"/>
  <c r="AD7" i="6" s="1"/>
  <c r="C59" i="11" s="1"/>
  <c r="BD59" i="11" s="1"/>
  <c r="BL18" i="11" s="1"/>
  <c r="AB33" i="2"/>
  <c r="G318" i="8"/>
  <c r="G322" i="8"/>
  <c r="K326" i="8"/>
  <c r="G312" i="8"/>
  <c r="AU31" i="12"/>
  <c r="AW31" i="12"/>
  <c r="AV31" i="12"/>
  <c r="AR31" i="12"/>
  <c r="AS31" i="12"/>
  <c r="E39" i="2"/>
  <c r="E13" i="6" s="1"/>
  <c r="AD13" i="6" s="1"/>
  <c r="C65" i="11" s="1"/>
  <c r="BD65" i="11" s="1"/>
  <c r="BL24" i="11" s="1"/>
  <c r="AB39" i="2"/>
  <c r="S320" i="8"/>
  <c r="S329" i="8"/>
  <c r="S308" i="8"/>
  <c r="S324" i="8"/>
  <c r="S319" i="8"/>
  <c r="S316" i="8"/>
  <c r="S315" i="8"/>
  <c r="D83" i="2"/>
  <c r="D81" i="2"/>
  <c r="BA31" i="12"/>
  <c r="AL31" i="12"/>
  <c r="AM31" i="12"/>
  <c r="AY31" i="12"/>
  <c r="AZ31" i="12"/>
  <c r="S321" i="8"/>
  <c r="E36" i="2"/>
  <c r="E10" i="6" s="1"/>
  <c r="AD10" i="6" s="1"/>
  <c r="C62" i="11" s="1"/>
  <c r="BD62" i="11" s="1"/>
  <c r="BL21" i="11" s="1"/>
  <c r="AB36" i="2"/>
  <c r="S309" i="8"/>
  <c r="S310" i="8"/>
  <c r="S326" i="8"/>
  <c r="AI22" i="12"/>
  <c r="AI33" i="12"/>
  <c r="E17" i="6"/>
  <c r="AB43" i="2"/>
  <c r="E9" i="6"/>
  <c r="AD9" i="6" s="1"/>
  <c r="C61" i="11" s="1"/>
  <c r="BD61" i="11" s="1"/>
  <c r="BL20" i="11" s="1"/>
  <c r="AB35" i="2"/>
  <c r="E68" i="6"/>
  <c r="AD28" i="6" s="1"/>
  <c r="C80" i="11" s="1"/>
  <c r="BD79" i="11" s="1"/>
  <c r="AB54" i="2"/>
  <c r="Q29" i="6"/>
  <c r="L22" i="6"/>
  <c r="F113" i="6" s="1"/>
  <c r="Q27" i="6"/>
  <c r="G27" i="6"/>
  <c r="C108" i="11" s="1"/>
  <c r="BD107" i="11" s="1"/>
  <c r="BK65" i="11" s="1"/>
  <c r="G29" i="6"/>
  <c r="C110" i="11" s="1"/>
  <c r="BD109" i="11" s="1"/>
  <c r="BK67" i="11" s="1"/>
  <c r="AA81" i="2"/>
  <c r="AA83" i="2"/>
  <c r="E155" i="6"/>
  <c r="J11" i="6"/>
  <c r="AI43" i="12"/>
  <c r="B23" i="2" s="1"/>
  <c r="F9" i="12" s="1"/>
  <c r="AI15" i="12"/>
  <c r="B18" i="2" s="1"/>
  <c r="AI38" i="12"/>
  <c r="F38" i="12" s="1"/>
  <c r="AI28" i="12"/>
  <c r="F27" i="12" s="1"/>
  <c r="AI23" i="12"/>
  <c r="F22" i="12" s="1"/>
  <c r="F23" i="12" s="1"/>
  <c r="AI18" i="12"/>
  <c r="F17" i="12" s="1"/>
  <c r="AI20" i="12"/>
  <c r="F19" i="12" s="1"/>
  <c r="AI35" i="12"/>
  <c r="F35" i="12" s="1"/>
  <c r="AI27" i="12"/>
  <c r="F26" i="12" s="1"/>
  <c r="AI17" i="12"/>
  <c r="F16" i="12" s="1"/>
  <c r="AI29" i="12"/>
  <c r="F28" i="12" s="1"/>
  <c r="AI31" i="12"/>
  <c r="AI21" i="12"/>
  <c r="AI36" i="12"/>
  <c r="AI19" i="12"/>
  <c r="F18" i="12" s="1"/>
  <c r="AI24" i="12"/>
  <c r="AI40" i="12"/>
  <c r="AI25" i="12"/>
  <c r="AI30" i="12"/>
  <c r="AI14" i="12"/>
  <c r="D18" i="2" s="1"/>
  <c r="AI42" i="12"/>
  <c r="AI32" i="12"/>
  <c r="E19" i="6"/>
  <c r="AB45" i="2"/>
  <c r="L23" i="6"/>
  <c r="F29" i="12" l="1"/>
  <c r="F114" i="6"/>
  <c r="L24" i="6"/>
  <c r="E41" i="12"/>
  <c r="E39" i="12"/>
  <c r="C59" i="2" s="1"/>
  <c r="E35" i="12"/>
  <c r="C54" i="2" s="1"/>
  <c r="F36" i="12"/>
  <c r="AD19" i="6"/>
  <c r="C71" i="11" s="1"/>
  <c r="BD71" i="11" s="1"/>
  <c r="BL30" i="11" s="1"/>
  <c r="E38" i="12"/>
  <c r="C58" i="2" s="1"/>
  <c r="F40" i="12"/>
  <c r="F20" i="12"/>
  <c r="F24" i="12" s="1"/>
  <c r="E5" i="12"/>
  <c r="F5" i="12" s="1"/>
  <c r="AJ58" i="12"/>
  <c r="B20" i="2"/>
  <c r="C4" i="11"/>
  <c r="BD4" i="11" s="1"/>
  <c r="BI8" i="11"/>
  <c r="AD17" i="6"/>
  <c r="C69" i="11" s="1"/>
  <c r="BD69" i="11" s="1"/>
  <c r="BL28" i="11" s="1"/>
  <c r="F30" i="12" l="1"/>
  <c r="F42" i="12"/>
  <c r="Z59" i="2"/>
  <c r="D39" i="12"/>
  <c r="B58" i="2"/>
  <c r="E40" i="12"/>
  <c r="Z58" i="2"/>
  <c r="Y58" i="2" s="1"/>
  <c r="D38" i="12"/>
  <c r="BI10" i="11"/>
  <c r="C6" i="11"/>
  <c r="BD6" i="11" s="1"/>
  <c r="AJ73" i="12"/>
  <c r="AJ72" i="12" s="1"/>
  <c r="D58" i="12" s="1"/>
  <c r="B77" i="2" s="1"/>
  <c r="AJ59" i="12"/>
  <c r="AJ61" i="12" s="1"/>
  <c r="AJ70" i="12"/>
  <c r="AJ69" i="12" s="1"/>
  <c r="AJ78" i="12"/>
  <c r="AJ77" i="12" s="1"/>
  <c r="D35" i="12"/>
  <c r="D36" i="12" s="1"/>
  <c r="E36" i="12"/>
  <c r="Z54" i="2"/>
  <c r="D56" i="12" l="1"/>
  <c r="B75" i="2" s="1"/>
  <c r="AL69" i="12"/>
  <c r="AJ62" i="12"/>
  <c r="B22" i="2" s="1"/>
  <c r="D9" i="12" s="1"/>
  <c r="E9" i="12" s="1"/>
  <c r="E27" i="6"/>
  <c r="B81" i="2" s="1"/>
  <c r="D40" i="12"/>
  <c r="D71" i="6"/>
  <c r="B54" i="2"/>
  <c r="C55" i="2"/>
  <c r="AC53" i="6"/>
  <c r="B104" i="11" s="1"/>
  <c r="BC103" i="11" s="1"/>
  <c r="BI61" i="11" s="1"/>
  <c r="Y77" i="2"/>
  <c r="Y59" i="2"/>
  <c r="Y60" i="2" s="1"/>
  <c r="Z60" i="2"/>
  <c r="Y54" i="2"/>
  <c r="Z55" i="2"/>
  <c r="D59" i="12"/>
  <c r="B78" i="2" s="1"/>
  <c r="AL77" i="12"/>
  <c r="E42" i="12"/>
  <c r="B59" i="2"/>
  <c r="B60" i="2" s="1"/>
  <c r="C60" i="2"/>
  <c r="Z62" i="2" l="1"/>
  <c r="Y55" i="2"/>
  <c r="Y62" i="2" s="1"/>
  <c r="D68" i="6"/>
  <c r="B55" i="2"/>
  <c r="D16" i="12"/>
  <c r="D17" i="12"/>
  <c r="E17" i="12" s="1"/>
  <c r="C34" i="2" s="1"/>
  <c r="D18" i="12"/>
  <c r="E18" i="12" s="1"/>
  <c r="C35" i="2" s="1"/>
  <c r="D19" i="12"/>
  <c r="E19" i="12" s="1"/>
  <c r="C36" i="2" s="1"/>
  <c r="D26" i="12"/>
  <c r="D27" i="12"/>
  <c r="E27" i="12" s="1"/>
  <c r="C44" i="2" s="1"/>
  <c r="D28" i="12"/>
  <c r="E28" i="12" s="1"/>
  <c r="C45" i="2" s="1"/>
  <c r="D22" i="12"/>
  <c r="AC31" i="6"/>
  <c r="B83" i="11" s="1"/>
  <c r="BC82" i="11" s="1"/>
  <c r="BI42" i="11" s="1"/>
  <c r="I71" i="6"/>
  <c r="E29" i="6"/>
  <c r="B83" i="2" s="1"/>
  <c r="O27" i="6"/>
  <c r="F27" i="6"/>
  <c r="D27" i="6" s="1"/>
  <c r="K27" i="6" s="1"/>
  <c r="B108" i="11"/>
  <c r="BC107" i="11" s="1"/>
  <c r="BI65" i="11" s="1"/>
  <c r="Y81" i="2"/>
  <c r="Y78" i="2"/>
  <c r="Y61" i="2" s="1"/>
  <c r="D72" i="6"/>
  <c r="D41" i="12"/>
  <c r="D42" i="12" s="1"/>
  <c r="AC51" i="6"/>
  <c r="B102" i="11" s="1"/>
  <c r="BC101" i="11" s="1"/>
  <c r="BI59" i="11" s="1"/>
  <c r="Y75" i="2"/>
  <c r="AA58" i="2" l="1"/>
  <c r="AA54" i="2"/>
  <c r="AA55" i="2" s="1"/>
  <c r="AA59" i="2"/>
  <c r="BJ42" i="11"/>
  <c r="E16" i="12"/>
  <c r="C33" i="2" s="1"/>
  <c r="D20" i="12"/>
  <c r="O29" i="6"/>
  <c r="B110" i="11"/>
  <c r="BC109" i="11" s="1"/>
  <c r="BI67" i="11" s="1"/>
  <c r="F29" i="6"/>
  <c r="D29" i="6" s="1"/>
  <c r="K29" i="6" s="1"/>
  <c r="Y83" i="2"/>
  <c r="E22" i="12"/>
  <c r="C39" i="2" s="1"/>
  <c r="D23" i="12"/>
  <c r="B36" i="2"/>
  <c r="Z36" i="2"/>
  <c r="Y36" i="2" s="1"/>
  <c r="D158" i="6"/>
  <c r="G71" i="6"/>
  <c r="B45" i="2"/>
  <c r="Z45" i="2"/>
  <c r="Y45" i="2" s="1"/>
  <c r="B35" i="2"/>
  <c r="Z35" i="2"/>
  <c r="Y35" i="2" s="1"/>
  <c r="P27" i="6"/>
  <c r="N27" i="6" s="1"/>
  <c r="R27" i="6" s="1"/>
  <c r="E26" i="12"/>
  <c r="C43" i="2" s="1"/>
  <c r="D29" i="12"/>
  <c r="G72" i="6"/>
  <c r="D164" i="6" s="1"/>
  <c r="AC32" i="6"/>
  <c r="B84" i="11" s="1"/>
  <c r="BC83" i="11" s="1"/>
  <c r="BI43" i="11" s="1"/>
  <c r="AC54" i="6"/>
  <c r="B105" i="11" s="1"/>
  <c r="BC104" i="11" s="1"/>
  <c r="D73" i="6"/>
  <c r="B44" i="2"/>
  <c r="Z44" i="2"/>
  <c r="Y44" i="2" s="1"/>
  <c r="B34" i="2"/>
  <c r="Z34" i="2"/>
  <c r="Y34" i="2" s="1"/>
  <c r="G68" i="6"/>
  <c r="AC28" i="6"/>
  <c r="B80" i="11" s="1"/>
  <c r="BC79" i="11" s="1"/>
  <c r="BI39" i="11" s="1"/>
  <c r="D69" i="6"/>
  <c r="AC33" i="6" l="1"/>
  <c r="B85" i="11" s="1"/>
  <c r="BC84" i="11" s="1"/>
  <c r="BI44" i="11" s="1"/>
  <c r="D78" i="6"/>
  <c r="P29" i="6"/>
  <c r="N29" i="6" s="1"/>
  <c r="AC29" i="6"/>
  <c r="B81" i="11" s="1"/>
  <c r="BC80" i="11" s="1"/>
  <c r="BI40" i="11" s="1"/>
  <c r="D8" i="6"/>
  <c r="D74" i="6"/>
  <c r="C61" i="2"/>
  <c r="C62" i="2" s="1"/>
  <c r="F23" i="2" s="1"/>
  <c r="B62" i="2"/>
  <c r="D19" i="6"/>
  <c r="D10" i="6"/>
  <c r="E31" i="12"/>
  <c r="BJ39" i="11"/>
  <c r="G73" i="6"/>
  <c r="D24" i="12"/>
  <c r="D30" i="12" s="1"/>
  <c r="Z33" i="2"/>
  <c r="E20" i="12"/>
  <c r="Z43" i="2"/>
  <c r="E29" i="12"/>
  <c r="G112" i="6"/>
  <c r="G69" i="6"/>
  <c r="D18" i="6"/>
  <c r="BJ43" i="11"/>
  <c r="D9" i="6"/>
  <c r="E23" i="12"/>
  <c r="Z39" i="2"/>
  <c r="AA60" i="2"/>
  <c r="AA62" i="2" s="1"/>
  <c r="E24" i="12" l="1"/>
  <c r="R29" i="6"/>
  <c r="I29" i="6"/>
  <c r="Z46" i="2"/>
  <c r="Y43" i="2"/>
  <c r="D180" i="6"/>
  <c r="D183" i="6"/>
  <c r="E184" i="6"/>
  <c r="D187" i="6"/>
  <c r="E188" i="6"/>
  <c r="E180" i="6"/>
  <c r="D182" i="6"/>
  <c r="E183" i="6"/>
  <c r="D186" i="6"/>
  <c r="E187" i="6"/>
  <c r="D55" i="12"/>
  <c r="D57" i="12" s="1"/>
  <c r="E185" i="6"/>
  <c r="D188" i="6"/>
  <c r="D181" i="6"/>
  <c r="E186" i="6"/>
  <c r="D189" i="6"/>
  <c r="E181" i="6"/>
  <c r="E189" i="6"/>
  <c r="D184" i="6"/>
  <c r="E182" i="6"/>
  <c r="D185" i="6"/>
  <c r="G114" i="6"/>
  <c r="G113" i="6"/>
  <c r="H112" i="6"/>
  <c r="B43" i="2"/>
  <c r="C46" i="2"/>
  <c r="AC10" i="6"/>
  <c r="B62" i="11" s="1"/>
  <c r="BC62" i="11" s="1"/>
  <c r="BI21" i="11" s="1"/>
  <c r="I10" i="6"/>
  <c r="G10" i="6" s="1"/>
  <c r="D58" i="2"/>
  <c r="D59" i="2"/>
  <c r="D54" i="2"/>
  <c r="D55" i="2" s="1"/>
  <c r="D79" i="6"/>
  <c r="C16" i="11"/>
  <c r="H29" i="6"/>
  <c r="B39" i="2"/>
  <c r="C40" i="2"/>
  <c r="G78" i="6"/>
  <c r="C17" i="11" s="1"/>
  <c r="BD17" i="11" s="1"/>
  <c r="Z48" i="2"/>
  <c r="AC19" i="6"/>
  <c r="B71" i="11" s="1"/>
  <c r="BC71" i="11" s="1"/>
  <c r="BI30" i="11" s="1"/>
  <c r="G19" i="6"/>
  <c r="D61" i="2"/>
  <c r="I8" i="6"/>
  <c r="G8" i="6" s="1"/>
  <c r="AC8" i="6"/>
  <c r="B60" i="11" s="1"/>
  <c r="BC60" i="11" s="1"/>
  <c r="BI19" i="11" s="1"/>
  <c r="BJ44" i="11"/>
  <c r="Y39" i="2"/>
  <c r="Z40" i="2"/>
  <c r="B33" i="2"/>
  <c r="C37" i="2"/>
  <c r="G74" i="6"/>
  <c r="AC34" i="6"/>
  <c r="B86" i="11" s="1"/>
  <c r="BC85" i="11" s="1"/>
  <c r="BI45" i="11" s="1"/>
  <c r="AC9" i="6"/>
  <c r="B61" i="11" s="1"/>
  <c r="BC61" i="11" s="1"/>
  <c r="BI20" i="11" s="1"/>
  <c r="I9" i="6"/>
  <c r="G9" i="6" s="1"/>
  <c r="AC18" i="6"/>
  <c r="B70" i="11" s="1"/>
  <c r="BC70" i="11" s="1"/>
  <c r="BI29" i="11" s="1"/>
  <c r="G18" i="6"/>
  <c r="E30" i="12"/>
  <c r="E32" i="12" s="1"/>
  <c r="Z37" i="2"/>
  <c r="Y33" i="2"/>
  <c r="D32" i="12"/>
  <c r="BJ40" i="11"/>
  <c r="G115" i="6" l="1"/>
  <c r="F128" i="6" s="1"/>
  <c r="H128" i="6" s="1"/>
  <c r="F186" i="6"/>
  <c r="F183" i="6"/>
  <c r="C41" i="2"/>
  <c r="C47" i="2" s="1"/>
  <c r="F22" i="2" s="1"/>
  <c r="Z41" i="2"/>
  <c r="Z47" i="2" s="1"/>
  <c r="F189" i="6"/>
  <c r="F187" i="6"/>
  <c r="F124" i="6"/>
  <c r="H124" i="6" s="1"/>
  <c r="F135" i="6"/>
  <c r="H135" i="6" s="1"/>
  <c r="F184" i="6"/>
  <c r="BI46" i="11"/>
  <c r="BK45" i="11" s="1"/>
  <c r="BJ45" i="11"/>
  <c r="BJ46" i="11" s="1"/>
  <c r="BJ19" i="11"/>
  <c r="BJ30" i="11"/>
  <c r="C11" i="11"/>
  <c r="BD11" i="11" s="1"/>
  <c r="BI12" i="11" s="1"/>
  <c r="BD16" i="11"/>
  <c r="D60" i="2"/>
  <c r="D62" i="2" s="1"/>
  <c r="B46" i="2"/>
  <c r="D17" i="6"/>
  <c r="F180" i="6"/>
  <c r="E210" i="6"/>
  <c r="BJ20" i="11"/>
  <c r="B37" i="2"/>
  <c r="B48" i="2" s="1"/>
  <c r="D7" i="6"/>
  <c r="E164" i="6"/>
  <c r="E166" i="6" s="1"/>
  <c r="Y37" i="2"/>
  <c r="Y48" i="2" s="1"/>
  <c r="B40" i="2"/>
  <c r="D13" i="6"/>
  <c r="I27" i="6"/>
  <c r="L27" i="6" s="1"/>
  <c r="F181" i="6"/>
  <c r="F188" i="6"/>
  <c r="D210" i="6"/>
  <c r="D211" i="6" s="1"/>
  <c r="L29" i="6"/>
  <c r="D114" i="6"/>
  <c r="D117" i="6" s="1"/>
  <c r="BJ29" i="11"/>
  <c r="Y40" i="2"/>
  <c r="BJ21" i="11"/>
  <c r="F182" i="6"/>
  <c r="F185" i="6"/>
  <c r="Y46" i="2"/>
  <c r="F134" i="6" l="1"/>
  <c r="H134" i="6" s="1"/>
  <c r="Y134" i="6" s="1"/>
  <c r="F138" i="6"/>
  <c r="H138" i="6" s="1"/>
  <c r="R138" i="6" s="1"/>
  <c r="F127" i="6"/>
  <c r="H127" i="6" s="1"/>
  <c r="Y127" i="6" s="1"/>
  <c r="F129" i="6"/>
  <c r="H129" i="6" s="1"/>
  <c r="M129" i="6" s="1"/>
  <c r="F123" i="6"/>
  <c r="H123" i="6" s="1"/>
  <c r="R123" i="6" s="1"/>
  <c r="F121" i="6"/>
  <c r="H121" i="6" s="1"/>
  <c r="F126" i="6"/>
  <c r="H126" i="6" s="1"/>
  <c r="Z126" i="6" s="1"/>
  <c r="F136" i="6"/>
  <c r="H136" i="6" s="1"/>
  <c r="N136" i="6" s="1"/>
  <c r="F131" i="6"/>
  <c r="H131" i="6" s="1"/>
  <c r="V131" i="6" s="1"/>
  <c r="F139" i="6"/>
  <c r="H139" i="6" s="1"/>
  <c r="Q139" i="6" s="1"/>
  <c r="F137" i="6"/>
  <c r="H137" i="6" s="1"/>
  <c r="U137" i="6" s="1"/>
  <c r="F125" i="6"/>
  <c r="H125" i="6" s="1"/>
  <c r="V125" i="6" s="1"/>
  <c r="F130" i="6"/>
  <c r="H130" i="6" s="1"/>
  <c r="R130" i="6" s="1"/>
  <c r="F141" i="6"/>
  <c r="H141" i="6" s="1"/>
  <c r="V141" i="6" s="1"/>
  <c r="F133" i="6"/>
  <c r="H133" i="6" s="1"/>
  <c r="V133" i="6" s="1"/>
  <c r="F132" i="6"/>
  <c r="H132" i="6" s="1"/>
  <c r="U132" i="6" s="1"/>
  <c r="F122" i="6"/>
  <c r="H122" i="6" s="1"/>
  <c r="R122" i="6" s="1"/>
  <c r="F142" i="6"/>
  <c r="H142" i="6" s="1"/>
  <c r="Y142" i="6" s="1"/>
  <c r="F140" i="6"/>
  <c r="H140" i="6" s="1"/>
  <c r="N140" i="6" s="1"/>
  <c r="V134" i="6"/>
  <c r="Z134" i="6"/>
  <c r="Q134" i="6"/>
  <c r="T134" i="6"/>
  <c r="T163" i="6" s="1"/>
  <c r="Q123" i="6"/>
  <c r="Y128" i="6"/>
  <c r="Z128" i="6"/>
  <c r="Q128" i="6"/>
  <c r="U128" i="6"/>
  <c r="M128" i="6"/>
  <c r="R128" i="6"/>
  <c r="V128" i="6"/>
  <c r="T128" i="6"/>
  <c r="N128" i="6"/>
  <c r="I7" i="6"/>
  <c r="D11" i="6"/>
  <c r="AC11" i="6" s="1"/>
  <c r="B63" i="11" s="1"/>
  <c r="BC63" i="11" s="1"/>
  <c r="BI22" i="11" s="1"/>
  <c r="AC7" i="6"/>
  <c r="B59" i="11" s="1"/>
  <c r="BC59" i="11" s="1"/>
  <c r="BI18" i="11" s="1"/>
  <c r="E211" i="6"/>
  <c r="F211" i="6" s="1"/>
  <c r="D50" i="12" s="1"/>
  <c r="F210" i="6"/>
  <c r="D20" i="6"/>
  <c r="AC20" i="6" s="1"/>
  <c r="Z129" i="6"/>
  <c r="N129" i="6"/>
  <c r="T129" i="6"/>
  <c r="R129" i="6"/>
  <c r="U129" i="6"/>
  <c r="Y124" i="6"/>
  <c r="Z124" i="6"/>
  <c r="Q124" i="6"/>
  <c r="U124" i="6"/>
  <c r="M124" i="6"/>
  <c r="R124" i="6"/>
  <c r="V124" i="6"/>
  <c r="T124" i="6"/>
  <c r="N124" i="6"/>
  <c r="Y135" i="6"/>
  <c r="Z135" i="6"/>
  <c r="Q135" i="6"/>
  <c r="M135" i="6"/>
  <c r="R135" i="6"/>
  <c r="U135" i="6"/>
  <c r="T135" i="6"/>
  <c r="T164" i="6" s="1"/>
  <c r="N135" i="6"/>
  <c r="V135" i="6"/>
  <c r="G13" i="6"/>
  <c r="E150" i="6" s="1"/>
  <c r="AC13" i="6"/>
  <c r="B65" i="11" s="1"/>
  <c r="BC65" i="11" s="1"/>
  <c r="BI24" i="11" s="1"/>
  <c r="D22" i="6"/>
  <c r="C48" i="2"/>
  <c r="B41" i="2"/>
  <c r="D15" i="6" s="1"/>
  <c r="AC15" i="6" s="1"/>
  <c r="B67" i="11" s="1"/>
  <c r="BC67" i="11" s="1"/>
  <c r="BI26" i="11" s="1"/>
  <c r="D14" i="6"/>
  <c r="AC14" i="6" s="1"/>
  <c r="B66" i="11" s="1"/>
  <c r="BC66" i="11" s="1"/>
  <c r="BI25" i="11" s="1"/>
  <c r="Y41" i="2"/>
  <c r="Y47" i="2" s="1"/>
  <c r="AC17" i="6"/>
  <c r="B69" i="11" s="1"/>
  <c r="BC69" i="11" s="1"/>
  <c r="BI28" i="11" s="1"/>
  <c r="G17" i="6"/>
  <c r="BK42" i="11"/>
  <c r="BK39" i="11"/>
  <c r="BK43" i="11"/>
  <c r="BK44" i="11"/>
  <c r="BK40" i="11"/>
  <c r="Y138" i="6"/>
  <c r="M138" i="6"/>
  <c r="Z138" i="6"/>
  <c r="N138" i="6"/>
  <c r="V138" i="6"/>
  <c r="Q138" i="6"/>
  <c r="T138" i="6"/>
  <c r="T167" i="6" s="1"/>
  <c r="Z123" i="6" l="1"/>
  <c r="T123" i="6"/>
  <c r="U138" i="6"/>
  <c r="Q127" i="6"/>
  <c r="V127" i="6"/>
  <c r="M127" i="6"/>
  <c r="U127" i="6"/>
  <c r="R127" i="6"/>
  <c r="T127" i="6"/>
  <c r="N127" i="6"/>
  <c r="O127" i="6" s="1"/>
  <c r="Z127" i="6"/>
  <c r="N134" i="6"/>
  <c r="U134" i="6"/>
  <c r="W134" i="6" s="1"/>
  <c r="R134" i="6"/>
  <c r="S134" i="6" s="1"/>
  <c r="M134" i="6"/>
  <c r="V126" i="6"/>
  <c r="N131" i="6"/>
  <c r="Y131" i="6"/>
  <c r="T126" i="6"/>
  <c r="T131" i="6"/>
  <c r="Z125" i="6"/>
  <c r="N123" i="6"/>
  <c r="Z131" i="6"/>
  <c r="Q136" i="6"/>
  <c r="Q137" i="6"/>
  <c r="Y139" i="6"/>
  <c r="Z139" i="6"/>
  <c r="M131" i="6"/>
  <c r="U131" i="6"/>
  <c r="W131" i="6" s="1"/>
  <c r="R131" i="6"/>
  <c r="S131" i="6" s="1"/>
  <c r="R137" i="6"/>
  <c r="V139" i="6"/>
  <c r="Y130" i="6"/>
  <c r="N139" i="6"/>
  <c r="T137" i="6"/>
  <c r="T166" i="6" s="1"/>
  <c r="U139" i="6"/>
  <c r="Y137" i="6"/>
  <c r="R139" i="6"/>
  <c r="S139" i="6" s="1"/>
  <c r="Y129" i="6"/>
  <c r="AA129" i="6" s="1"/>
  <c r="U130" i="6"/>
  <c r="M137" i="6"/>
  <c r="V137" i="6"/>
  <c r="W137" i="6" s="1"/>
  <c r="N137" i="6"/>
  <c r="Z137" i="6"/>
  <c r="Q131" i="6"/>
  <c r="M139" i="6"/>
  <c r="R125" i="6"/>
  <c r="Z130" i="6"/>
  <c r="T139" i="6"/>
  <c r="T168" i="6" s="1"/>
  <c r="N125" i="6"/>
  <c r="R126" i="6"/>
  <c r="Y136" i="6"/>
  <c r="R133" i="6"/>
  <c r="U136" i="6"/>
  <c r="U126" i="6"/>
  <c r="N130" i="6"/>
  <c r="R136" i="6"/>
  <c r="T130" i="6"/>
  <c r="Q129" i="6"/>
  <c r="S129" i="6" s="1"/>
  <c r="Q125" i="6"/>
  <c r="M123" i="6"/>
  <c r="M126" i="6"/>
  <c r="O126" i="6" s="1"/>
  <c r="Z136" i="6"/>
  <c r="Q133" i="6"/>
  <c r="V123" i="6"/>
  <c r="Q126" i="6"/>
  <c r="V136" i="6"/>
  <c r="V130" i="6"/>
  <c r="V129" i="6"/>
  <c r="W129" i="6" s="1"/>
  <c r="M125" i="6"/>
  <c r="U123" i="6"/>
  <c r="T136" i="6"/>
  <c r="T165" i="6" s="1"/>
  <c r="Y123" i="6"/>
  <c r="M136" i="6"/>
  <c r="O136" i="6" s="1"/>
  <c r="N126" i="6"/>
  <c r="Y126" i="6"/>
  <c r="AA126" i="6" s="1"/>
  <c r="Q132" i="6"/>
  <c r="M130" i="6"/>
  <c r="T125" i="6"/>
  <c r="N132" i="6"/>
  <c r="T133" i="6"/>
  <c r="M133" i="6"/>
  <c r="T132" i="6"/>
  <c r="Z132" i="6"/>
  <c r="N133" i="6"/>
  <c r="Y132" i="6"/>
  <c r="V132" i="6"/>
  <c r="W132" i="6" s="1"/>
  <c r="R132" i="6"/>
  <c r="Z133" i="6"/>
  <c r="M132" i="6"/>
  <c r="Y133" i="6"/>
  <c r="M122" i="6"/>
  <c r="Z122" i="6"/>
  <c r="U133" i="6"/>
  <c r="W133" i="6" s="1"/>
  <c r="U140" i="6"/>
  <c r="U141" i="6"/>
  <c r="W141" i="6" s="1"/>
  <c r="AA138" i="6"/>
  <c r="N141" i="6"/>
  <c r="Z141" i="6"/>
  <c r="M141" i="6"/>
  <c r="Y141" i="6"/>
  <c r="R141" i="6"/>
  <c r="Q141" i="6"/>
  <c r="Q130" i="6"/>
  <c r="S130" i="6" s="1"/>
  <c r="T141" i="6"/>
  <c r="T170" i="6" s="1"/>
  <c r="U122" i="6"/>
  <c r="T142" i="6"/>
  <c r="T171" i="6" s="1"/>
  <c r="Q122" i="6"/>
  <c r="S122" i="6" s="1"/>
  <c r="U125" i="6"/>
  <c r="W125" i="6" s="1"/>
  <c r="Y125" i="6"/>
  <c r="O128" i="6"/>
  <c r="T140" i="6"/>
  <c r="T169" i="6" s="1"/>
  <c r="N142" i="6"/>
  <c r="N122" i="6"/>
  <c r="Y122" i="6"/>
  <c r="Y140" i="6"/>
  <c r="U142" i="6"/>
  <c r="V142" i="6"/>
  <c r="T122" i="6"/>
  <c r="R140" i="6"/>
  <c r="Z140" i="6"/>
  <c r="R142" i="6"/>
  <c r="Q142" i="6"/>
  <c r="Q140" i="6"/>
  <c r="F143" i="6"/>
  <c r="O138" i="6"/>
  <c r="V122" i="6"/>
  <c r="O124" i="6"/>
  <c r="V140" i="6"/>
  <c r="M142" i="6"/>
  <c r="M140" i="6"/>
  <c r="O140" i="6" s="1"/>
  <c r="Z142" i="6"/>
  <c r="AA142" i="6" s="1"/>
  <c r="AA134" i="6"/>
  <c r="O129" i="6"/>
  <c r="O135" i="6"/>
  <c r="AA128" i="6"/>
  <c r="W127" i="6"/>
  <c r="AA135" i="6"/>
  <c r="BK46" i="11"/>
  <c r="S127" i="6"/>
  <c r="AA47" i="2"/>
  <c r="Y74" i="2"/>
  <c r="Y76" i="2" s="1"/>
  <c r="AA34" i="2"/>
  <c r="AA36" i="2"/>
  <c r="AA44" i="2"/>
  <c r="AA45" i="2"/>
  <c r="AA35" i="2"/>
  <c r="AA33" i="2"/>
  <c r="AA39" i="2"/>
  <c r="AA40" i="2" s="1"/>
  <c r="AA43" i="2"/>
  <c r="BJ24" i="11"/>
  <c r="W124" i="6"/>
  <c r="E158" i="6"/>
  <c r="G7" i="6"/>
  <c r="G11" i="6" s="1"/>
  <c r="I11" i="6"/>
  <c r="W128" i="6"/>
  <c r="AC22" i="6"/>
  <c r="G22" i="6"/>
  <c r="BJ22" i="11"/>
  <c r="S123" i="6"/>
  <c r="S138" i="6"/>
  <c r="E165" i="6"/>
  <c r="G20" i="6"/>
  <c r="H143" i="6"/>
  <c r="Y121" i="6"/>
  <c r="Z121" i="6"/>
  <c r="M121" i="6"/>
  <c r="V121" i="6"/>
  <c r="U121" i="6"/>
  <c r="Q121" i="6"/>
  <c r="R121" i="6"/>
  <c r="T121" i="6"/>
  <c r="N121" i="6"/>
  <c r="BJ28" i="11"/>
  <c r="E151" i="6"/>
  <c r="H41" i="6"/>
  <c r="H27" i="6"/>
  <c r="G14" i="6"/>
  <c r="W135" i="6"/>
  <c r="S135" i="6"/>
  <c r="S124" i="6"/>
  <c r="AA124" i="6"/>
  <c r="AA48" i="2"/>
  <c r="S128" i="6"/>
  <c r="BJ26" i="11"/>
  <c r="B47" i="2"/>
  <c r="B74" i="2" s="1"/>
  <c r="B76" i="2" s="1"/>
  <c r="W138" i="6"/>
  <c r="AA46" i="2"/>
  <c r="BJ25" i="11"/>
  <c r="AA127" i="6"/>
  <c r="AC21" i="6"/>
  <c r="B73" i="11" s="1"/>
  <c r="BC73" i="11" s="1"/>
  <c r="BI32" i="11" s="1"/>
  <c r="B72" i="11"/>
  <c r="BC72" i="11" s="1"/>
  <c r="BI31" i="11" s="1"/>
  <c r="BJ18" i="11"/>
  <c r="O134" i="6" l="1"/>
  <c r="AA123" i="6"/>
  <c r="W126" i="6"/>
  <c r="AA131" i="6"/>
  <c r="AA136" i="6"/>
  <c r="AA125" i="6"/>
  <c r="O131" i="6"/>
  <c r="O137" i="6"/>
  <c r="AA139" i="6"/>
  <c r="AA130" i="6"/>
  <c r="S137" i="6"/>
  <c r="O130" i="6"/>
  <c r="O123" i="6"/>
  <c r="W130" i="6"/>
  <c r="W136" i="6"/>
  <c r="O139" i="6"/>
  <c r="S136" i="6"/>
  <c r="AA132" i="6"/>
  <c r="W139" i="6"/>
  <c r="AA141" i="6"/>
  <c r="O133" i="6"/>
  <c r="S133" i="6"/>
  <c r="O125" i="6"/>
  <c r="O142" i="6"/>
  <c r="S125" i="6"/>
  <c r="AA137" i="6"/>
  <c r="S126" i="6"/>
  <c r="W123" i="6"/>
  <c r="S132" i="6"/>
  <c r="O122" i="6"/>
  <c r="AA122" i="6"/>
  <c r="AA133" i="6"/>
  <c r="O132" i="6"/>
  <c r="W140" i="6"/>
  <c r="S140" i="6"/>
  <c r="AA140" i="6"/>
  <c r="Q143" i="6"/>
  <c r="Q145" i="6" s="1"/>
  <c r="W142" i="6"/>
  <c r="O141" i="6"/>
  <c r="S142" i="6"/>
  <c r="S141" i="6"/>
  <c r="U143" i="6"/>
  <c r="U145" i="6" s="1"/>
  <c r="M143" i="6"/>
  <c r="T143" i="6"/>
  <c r="T145" i="6" s="1"/>
  <c r="AJ54" i="6" s="1"/>
  <c r="D46" i="11" s="1"/>
  <c r="BE46" i="11" s="1"/>
  <c r="W122" i="6"/>
  <c r="Y143" i="6"/>
  <c r="Y145" i="6" s="1"/>
  <c r="AA37" i="2"/>
  <c r="AA41" i="2" s="1"/>
  <c r="W121" i="6"/>
  <c r="V143" i="6"/>
  <c r="V145" i="6" s="1"/>
  <c r="R143" i="6"/>
  <c r="R145" i="6" s="1"/>
  <c r="S121" i="6"/>
  <c r="BJ31" i="11"/>
  <c r="X143" i="6"/>
  <c r="P143" i="6"/>
  <c r="AA121" i="6"/>
  <c r="Z143" i="6"/>
  <c r="Z145" i="6" s="1"/>
  <c r="E167" i="6"/>
  <c r="D44" i="6" s="1"/>
  <c r="F44" i="6" s="1"/>
  <c r="G44" i="6" s="1"/>
  <c r="BJ32" i="11"/>
  <c r="D217" i="6"/>
  <c r="D221" i="6"/>
  <c r="D225" i="6"/>
  <c r="D218" i="6"/>
  <c r="D222" i="6"/>
  <c r="D223" i="6"/>
  <c r="D216" i="6"/>
  <c r="D224" i="6"/>
  <c r="D219" i="6"/>
  <c r="D220" i="6"/>
  <c r="D21" i="6"/>
  <c r="E218" i="6"/>
  <c r="E220" i="6"/>
  <c r="E222" i="6"/>
  <c r="E224" i="6"/>
  <c r="E217" i="6"/>
  <c r="E221" i="6"/>
  <c r="E225" i="6"/>
  <c r="E223" i="6"/>
  <c r="E219" i="6"/>
  <c r="E216" i="6"/>
  <c r="B49" i="2"/>
  <c r="G15" i="6"/>
  <c r="G21" i="6" s="1"/>
  <c r="G23" i="6" s="1"/>
  <c r="N143" i="6"/>
  <c r="O121" i="6"/>
  <c r="AC23" i="6"/>
  <c r="B75" i="11" s="1"/>
  <c r="BC75" i="11" s="1"/>
  <c r="BI34" i="11" s="1"/>
  <c r="BK31" i="11" s="1"/>
  <c r="B74" i="11"/>
  <c r="BC74" i="11" s="1"/>
  <c r="BI33" i="11" s="1"/>
  <c r="F218" i="6" l="1"/>
  <c r="F222" i="6"/>
  <c r="W143" i="6"/>
  <c r="W145" i="6" s="1"/>
  <c r="AA143" i="6"/>
  <c r="AA145" i="6" s="1"/>
  <c r="O143" i="6"/>
  <c r="S143" i="6"/>
  <c r="S145" i="6" s="1"/>
  <c r="F219" i="6"/>
  <c r="F217" i="6"/>
  <c r="F223" i="6"/>
  <c r="W44" i="6"/>
  <c r="U44" i="6"/>
  <c r="V44" i="6"/>
  <c r="R44" i="6"/>
  <c r="I44" i="6"/>
  <c r="M44" i="6"/>
  <c r="S44" i="6"/>
  <c r="Q44" i="6"/>
  <c r="J44" i="6"/>
  <c r="N44" i="6"/>
  <c r="K44" i="6"/>
  <c r="O44" i="6"/>
  <c r="BJ33" i="11"/>
  <c r="BK33" i="11"/>
  <c r="D43" i="6"/>
  <c r="F43" i="6" s="1"/>
  <c r="D46" i="6"/>
  <c r="F46" i="6" s="1"/>
  <c r="G46" i="6" s="1"/>
  <c r="D57" i="6"/>
  <c r="F57" i="6" s="1"/>
  <c r="G57" i="6" s="1"/>
  <c r="D41" i="6"/>
  <c r="F41" i="6" s="1"/>
  <c r="G41" i="6" s="1"/>
  <c r="D56" i="6"/>
  <c r="F56" i="6" s="1"/>
  <c r="G56" i="6" s="1"/>
  <c r="D40" i="6"/>
  <c r="F40" i="6" s="1"/>
  <c r="G40" i="6" s="1"/>
  <c r="BJ34" i="11"/>
  <c r="BK34" i="11"/>
  <c r="BK19" i="11"/>
  <c r="BK20" i="11"/>
  <c r="BK21" i="11"/>
  <c r="BK30" i="11"/>
  <c r="BK29" i="11"/>
  <c r="BK26" i="11"/>
  <c r="BK25" i="11"/>
  <c r="BK18" i="11"/>
  <c r="BK24" i="11"/>
  <c r="BK22" i="11"/>
  <c r="BK28" i="11"/>
  <c r="C49" i="2"/>
  <c r="D45" i="2"/>
  <c r="D44" i="2"/>
  <c r="D35" i="2"/>
  <c r="D36" i="2"/>
  <c r="D34" i="2"/>
  <c r="D33" i="2"/>
  <c r="D39" i="2"/>
  <c r="D40" i="2" s="1"/>
  <c r="D43" i="2"/>
  <c r="D46" i="2"/>
  <c r="D48" i="2"/>
  <c r="F224" i="6"/>
  <c r="D24" i="6"/>
  <c r="D23" i="6"/>
  <c r="C13" i="11" s="1"/>
  <c r="D246" i="6"/>
  <c r="D247" i="6" s="1"/>
  <c r="H75" i="6" s="1"/>
  <c r="D162" i="6" s="1"/>
  <c r="BK32" i="11"/>
  <c r="D58" i="6"/>
  <c r="F58" i="6" s="1"/>
  <c r="G58" i="6" s="1"/>
  <c r="D42" i="6"/>
  <c r="F42" i="6" s="1"/>
  <c r="D53" i="6"/>
  <c r="F53" i="6" s="1"/>
  <c r="G53" i="6" s="1"/>
  <c r="D51" i="6"/>
  <c r="F51" i="6" s="1"/>
  <c r="G51" i="6" s="1"/>
  <c r="D52" i="6"/>
  <c r="F52" i="6" s="1"/>
  <c r="G52" i="6" s="1"/>
  <c r="E169" i="6"/>
  <c r="AC50" i="6"/>
  <c r="B101" i="11" s="1"/>
  <c r="BC100" i="11" s="1"/>
  <c r="BI58" i="11" s="1"/>
  <c r="F225" i="6"/>
  <c r="D54" i="6"/>
  <c r="F54" i="6" s="1"/>
  <c r="G54" i="6" s="1"/>
  <c r="D59" i="6"/>
  <c r="F59" i="6" s="1"/>
  <c r="G59" i="6" s="1"/>
  <c r="D49" i="6"/>
  <c r="F49" i="6" s="1"/>
  <c r="G49" i="6" s="1"/>
  <c r="D39" i="6"/>
  <c r="D48" i="6"/>
  <c r="F48" i="6" s="1"/>
  <c r="G48" i="6" s="1"/>
  <c r="P145" i="6"/>
  <c r="AI54" i="6" s="1"/>
  <c r="P172" i="6"/>
  <c r="S172" i="6" s="1"/>
  <c r="E246" i="6"/>
  <c r="F216" i="6"/>
  <c r="F221" i="6"/>
  <c r="F220" i="6"/>
  <c r="D55" i="6"/>
  <c r="F55" i="6" s="1"/>
  <c r="G55" i="6" s="1"/>
  <c r="D50" i="6"/>
  <c r="F50" i="6" s="1"/>
  <c r="G50" i="6" s="1"/>
  <c r="D47" i="6"/>
  <c r="F47" i="6" s="1"/>
  <c r="G47" i="6" s="1"/>
  <c r="D45" i="6"/>
  <c r="F45" i="6" s="1"/>
  <c r="G45" i="6" s="1"/>
  <c r="D60" i="6"/>
  <c r="F60" i="6" s="1"/>
  <c r="G60" i="6" s="1"/>
  <c r="X145" i="6"/>
  <c r="AK54" i="6" s="1"/>
  <c r="X172" i="6"/>
  <c r="AA172" i="6" s="1"/>
  <c r="L44" i="6" l="1"/>
  <c r="D37" i="2"/>
  <c r="D41" i="2" s="1"/>
  <c r="D47" i="2" s="1"/>
  <c r="D49" i="2" s="1"/>
  <c r="P44" i="6"/>
  <c r="W47" i="6"/>
  <c r="V47" i="6"/>
  <c r="Q47" i="6"/>
  <c r="U47" i="6"/>
  <c r="R47" i="6"/>
  <c r="K47" i="6"/>
  <c r="O47" i="6"/>
  <c r="J47" i="6"/>
  <c r="M47" i="6"/>
  <c r="I47" i="6"/>
  <c r="S47" i="6"/>
  <c r="N47" i="6"/>
  <c r="C46" i="11"/>
  <c r="BD46" i="11" s="1"/>
  <c r="W53" i="6"/>
  <c r="U53" i="6"/>
  <c r="V53" i="6"/>
  <c r="Q53" i="6"/>
  <c r="R53" i="6"/>
  <c r="K53" i="6"/>
  <c r="O53" i="6"/>
  <c r="N53" i="6"/>
  <c r="I53" i="6"/>
  <c r="S53" i="6"/>
  <c r="J53" i="6"/>
  <c r="M53" i="6"/>
  <c r="W40" i="6"/>
  <c r="V40" i="6"/>
  <c r="Q40" i="6"/>
  <c r="R40" i="6"/>
  <c r="I40" i="6"/>
  <c r="M40" i="6"/>
  <c r="S40" i="6"/>
  <c r="J40" i="6"/>
  <c r="N40" i="6"/>
  <c r="O40" i="6"/>
  <c r="U40" i="6"/>
  <c r="K40" i="6"/>
  <c r="E46" i="11"/>
  <c r="BF46" i="11" s="1"/>
  <c r="W48" i="6"/>
  <c r="U48" i="6"/>
  <c r="V48" i="6"/>
  <c r="Q48" i="6"/>
  <c r="I48" i="6"/>
  <c r="M48" i="6"/>
  <c r="S48" i="6"/>
  <c r="J48" i="6"/>
  <c r="N48" i="6"/>
  <c r="R48" i="6"/>
  <c r="K48" i="6"/>
  <c r="O48" i="6"/>
  <c r="G42" i="6"/>
  <c r="G43" i="6"/>
  <c r="T44" i="6"/>
  <c r="W55" i="6"/>
  <c r="V55" i="6"/>
  <c r="Q55" i="6"/>
  <c r="R55" i="6"/>
  <c r="K55" i="6"/>
  <c r="O55" i="6"/>
  <c r="U55" i="6"/>
  <c r="J55" i="6"/>
  <c r="M55" i="6"/>
  <c r="I55" i="6"/>
  <c r="S55" i="6"/>
  <c r="N55" i="6"/>
  <c r="F246" i="6"/>
  <c r="E247" i="6"/>
  <c r="F247" i="6" s="1"/>
  <c r="D75" i="6" s="1"/>
  <c r="W52" i="6"/>
  <c r="U52" i="6"/>
  <c r="R52" i="6"/>
  <c r="I52" i="6"/>
  <c r="M52" i="6"/>
  <c r="S52" i="6"/>
  <c r="J52" i="6"/>
  <c r="N52" i="6"/>
  <c r="Q52" i="6"/>
  <c r="K52" i="6"/>
  <c r="V52" i="6"/>
  <c r="O52" i="6"/>
  <c r="W41" i="6"/>
  <c r="U41" i="6"/>
  <c r="V41" i="6"/>
  <c r="Q41" i="6"/>
  <c r="R41" i="6"/>
  <c r="K41" i="6"/>
  <c r="O41" i="6"/>
  <c r="J41" i="6"/>
  <c r="M41" i="6"/>
  <c r="N41" i="6"/>
  <c r="S41" i="6"/>
  <c r="I41" i="6"/>
  <c r="W59" i="6"/>
  <c r="U59" i="6"/>
  <c r="V59" i="6"/>
  <c r="Q59" i="6"/>
  <c r="R59" i="6"/>
  <c r="K59" i="6"/>
  <c r="O59" i="6"/>
  <c r="I59" i="6"/>
  <c r="N59" i="6"/>
  <c r="J59" i="6"/>
  <c r="S59" i="6"/>
  <c r="M59" i="6"/>
  <c r="AC52" i="6"/>
  <c r="B103" i="11" s="1"/>
  <c r="BC102" i="11" s="1"/>
  <c r="BI60" i="11" s="1"/>
  <c r="D76" i="6"/>
  <c r="W46" i="6"/>
  <c r="U46" i="6"/>
  <c r="V46" i="6"/>
  <c r="R46" i="6"/>
  <c r="Q46" i="6"/>
  <c r="I46" i="6"/>
  <c r="M46" i="6"/>
  <c r="S46" i="6"/>
  <c r="J46" i="6"/>
  <c r="N46" i="6"/>
  <c r="O46" i="6"/>
  <c r="K46" i="6"/>
  <c r="W50" i="6"/>
  <c r="U50" i="6"/>
  <c r="V50" i="6"/>
  <c r="Q50" i="6"/>
  <c r="I50" i="6"/>
  <c r="M50" i="6"/>
  <c r="S50" i="6"/>
  <c r="R50" i="6"/>
  <c r="J50" i="6"/>
  <c r="N50" i="6"/>
  <c r="O50" i="6"/>
  <c r="K50" i="6"/>
  <c r="W54" i="6"/>
  <c r="V54" i="6"/>
  <c r="R54" i="6"/>
  <c r="I54" i="6"/>
  <c r="M54" i="6"/>
  <c r="S54" i="6"/>
  <c r="J54" i="6"/>
  <c r="N54" i="6"/>
  <c r="U54" i="6"/>
  <c r="O54" i="6"/>
  <c r="Q54" i="6"/>
  <c r="K54" i="6"/>
  <c r="BD13" i="11"/>
  <c r="C10" i="11"/>
  <c r="BD10" i="11" s="1"/>
  <c r="BI11" i="11" s="1"/>
  <c r="W56" i="6"/>
  <c r="U56" i="6"/>
  <c r="V56" i="6"/>
  <c r="Q56" i="6"/>
  <c r="R56" i="6"/>
  <c r="I56" i="6"/>
  <c r="M56" i="6"/>
  <c r="S56" i="6"/>
  <c r="J56" i="6"/>
  <c r="N56" i="6"/>
  <c r="K56" i="6"/>
  <c r="O56" i="6"/>
  <c r="W60" i="6"/>
  <c r="U60" i="6"/>
  <c r="R60" i="6"/>
  <c r="I60" i="6"/>
  <c r="M60" i="6"/>
  <c r="S60" i="6"/>
  <c r="Q60" i="6"/>
  <c r="V60" i="6"/>
  <c r="J60" i="6"/>
  <c r="O60" i="6"/>
  <c r="K60" i="6"/>
  <c r="N60" i="6"/>
  <c r="F39" i="6"/>
  <c r="D61" i="6"/>
  <c r="W58" i="6"/>
  <c r="V58" i="6"/>
  <c r="U58" i="6"/>
  <c r="Q58" i="6"/>
  <c r="I58" i="6"/>
  <c r="M58" i="6"/>
  <c r="S58" i="6"/>
  <c r="R58" i="6"/>
  <c r="N58" i="6"/>
  <c r="J58" i="6"/>
  <c r="O58" i="6"/>
  <c r="K58" i="6"/>
  <c r="W45" i="6"/>
  <c r="U45" i="6"/>
  <c r="V45" i="6"/>
  <c r="Q45" i="6"/>
  <c r="R45" i="6"/>
  <c r="K45" i="6"/>
  <c r="O45" i="6"/>
  <c r="N45" i="6"/>
  <c r="I45" i="6"/>
  <c r="S45" i="6"/>
  <c r="J45" i="6"/>
  <c r="M45" i="6"/>
  <c r="W49" i="6"/>
  <c r="U49" i="6"/>
  <c r="Q49" i="6"/>
  <c r="R49" i="6"/>
  <c r="V49" i="6"/>
  <c r="K49" i="6"/>
  <c r="O49" i="6"/>
  <c r="N49" i="6"/>
  <c r="I49" i="6"/>
  <c r="S49" i="6"/>
  <c r="J49" i="6"/>
  <c r="M49" i="6"/>
  <c r="W51" i="6"/>
  <c r="U51" i="6"/>
  <c r="V51" i="6"/>
  <c r="Q51" i="6"/>
  <c r="R51" i="6"/>
  <c r="K51" i="6"/>
  <c r="O51" i="6"/>
  <c r="J51" i="6"/>
  <c r="M51" i="6"/>
  <c r="N51" i="6"/>
  <c r="S51" i="6"/>
  <c r="I51" i="6"/>
  <c r="W57" i="6"/>
  <c r="V57" i="6"/>
  <c r="Q57" i="6"/>
  <c r="R57" i="6"/>
  <c r="U57" i="6"/>
  <c r="K57" i="6"/>
  <c r="O57" i="6"/>
  <c r="M57" i="6"/>
  <c r="I57" i="6"/>
  <c r="N57" i="6"/>
  <c r="S57" i="6"/>
  <c r="J57" i="6"/>
  <c r="X44" i="6"/>
  <c r="AI46" i="6" l="1"/>
  <c r="C36" i="11" s="1"/>
  <c r="BD36" i="11" s="1"/>
  <c r="L50" i="6"/>
  <c r="P57" i="6"/>
  <c r="T60" i="6"/>
  <c r="T46" i="6"/>
  <c r="T57" i="6"/>
  <c r="T53" i="6"/>
  <c r="T47" i="6"/>
  <c r="L54" i="6"/>
  <c r="L41" i="6"/>
  <c r="L53" i="6"/>
  <c r="L51" i="6"/>
  <c r="L49" i="6"/>
  <c r="T45" i="6"/>
  <c r="L45" i="6"/>
  <c r="AH46" i="6"/>
  <c r="B36" i="11" s="1"/>
  <c r="BC36" i="11" s="1"/>
  <c r="N33" i="6"/>
  <c r="V33" i="6"/>
  <c r="I33" i="6"/>
  <c r="P56" i="6"/>
  <c r="T56" i="6"/>
  <c r="P54" i="6"/>
  <c r="T54" i="6"/>
  <c r="X40" i="6"/>
  <c r="X57" i="6"/>
  <c r="T49" i="6"/>
  <c r="T59" i="6"/>
  <c r="P59" i="6"/>
  <c r="T41" i="6"/>
  <c r="P41" i="6"/>
  <c r="M31" i="6"/>
  <c r="AI39" i="6" s="1"/>
  <c r="C29" i="11" s="1"/>
  <c r="BD29" i="11" s="1"/>
  <c r="L55" i="6"/>
  <c r="X55" i="6"/>
  <c r="L48" i="6"/>
  <c r="T48" i="6"/>
  <c r="AI43" i="6"/>
  <c r="C33" i="11" s="1"/>
  <c r="BD33" i="11" s="1"/>
  <c r="X51" i="6"/>
  <c r="X49" i="6"/>
  <c r="X45" i="6"/>
  <c r="X58" i="6"/>
  <c r="L60" i="6"/>
  <c r="Q33" i="6"/>
  <c r="R33" i="6"/>
  <c r="L56" i="6"/>
  <c r="X54" i="6"/>
  <c r="AH43" i="6"/>
  <c r="B33" i="11" s="1"/>
  <c r="BC33" i="11" s="1"/>
  <c r="X50" i="6"/>
  <c r="X46" i="6"/>
  <c r="G76" i="6"/>
  <c r="AC36" i="6"/>
  <c r="B88" i="11" s="1"/>
  <c r="BC87" i="11" s="1"/>
  <c r="L59" i="6"/>
  <c r="L52" i="6"/>
  <c r="T52" i="6"/>
  <c r="AI45" i="6"/>
  <c r="C35" i="11" s="1"/>
  <c r="BD35" i="11" s="1"/>
  <c r="AH45" i="6"/>
  <c r="B35" i="11" s="1"/>
  <c r="BC35" i="11" s="1"/>
  <c r="AJ45" i="6"/>
  <c r="D35" i="11" s="1"/>
  <c r="BE35" i="11" s="1"/>
  <c r="W42" i="6"/>
  <c r="V42" i="6"/>
  <c r="Q42" i="6"/>
  <c r="N42" i="6"/>
  <c r="K42" i="6"/>
  <c r="O42" i="6"/>
  <c r="R42" i="6"/>
  <c r="S42" i="6"/>
  <c r="H42" i="6"/>
  <c r="J42" i="6"/>
  <c r="L40" i="6"/>
  <c r="AH44" i="6"/>
  <c r="B34" i="11" s="1"/>
  <c r="BC34" i="11" s="1"/>
  <c r="X53" i="6"/>
  <c r="P47" i="6"/>
  <c r="L58" i="6"/>
  <c r="AJ46" i="6"/>
  <c r="D36" i="11" s="1"/>
  <c r="BE36" i="11" s="1"/>
  <c r="P60" i="6"/>
  <c r="U33" i="6"/>
  <c r="AJ43" i="6"/>
  <c r="D33" i="11" s="1"/>
  <c r="BE33" i="11" s="1"/>
  <c r="L46" i="6"/>
  <c r="X59" i="6"/>
  <c r="X41" i="6"/>
  <c r="X52" i="6"/>
  <c r="T55" i="6"/>
  <c r="U31" i="6"/>
  <c r="AK39" i="6" s="1"/>
  <c r="Q31" i="6"/>
  <c r="AJ39" i="6" s="1"/>
  <c r="X48" i="6"/>
  <c r="T40" i="6"/>
  <c r="AI44" i="6"/>
  <c r="C34" i="11" s="1"/>
  <c r="BD34" i="11" s="1"/>
  <c r="AJ44" i="6"/>
  <c r="D34" i="11" s="1"/>
  <c r="BE34" i="11" s="1"/>
  <c r="L47" i="6"/>
  <c r="AK43" i="6"/>
  <c r="E33" i="11" s="1"/>
  <c r="BF33" i="11" s="1"/>
  <c r="W43" i="6"/>
  <c r="Q43" i="6"/>
  <c r="R43" i="6"/>
  <c r="H43" i="6"/>
  <c r="K43" i="6"/>
  <c r="O43" i="6"/>
  <c r="V43" i="6"/>
  <c r="S43" i="6"/>
  <c r="J43" i="6"/>
  <c r="N43" i="6"/>
  <c r="AK44" i="6"/>
  <c r="E34" i="11" s="1"/>
  <c r="BF34" i="11" s="1"/>
  <c r="L57" i="6"/>
  <c r="T51" i="6"/>
  <c r="P51" i="6"/>
  <c r="P49" i="6"/>
  <c r="P45" i="6"/>
  <c r="P58" i="6"/>
  <c r="T58" i="6"/>
  <c r="AK46" i="6"/>
  <c r="E36" i="11" s="1"/>
  <c r="BF36" i="11" s="1"/>
  <c r="G39" i="6"/>
  <c r="F61" i="6"/>
  <c r="C14" i="11" s="1"/>
  <c r="BD14" i="11" s="1"/>
  <c r="J33" i="6"/>
  <c r="M33" i="6"/>
  <c r="X60" i="6"/>
  <c r="X56" i="6"/>
  <c r="P50" i="6"/>
  <c r="T50" i="6"/>
  <c r="P46" i="6"/>
  <c r="P52" i="6"/>
  <c r="AC35" i="6"/>
  <c r="B87" i="11" s="1"/>
  <c r="BC86" i="11" s="1"/>
  <c r="G75" i="6"/>
  <c r="D77" i="6"/>
  <c r="I31" i="6"/>
  <c r="AH39" i="6" s="1"/>
  <c r="B29" i="11" s="1"/>
  <c r="BC29" i="11" s="1"/>
  <c r="P55" i="6"/>
  <c r="AK45" i="6"/>
  <c r="E35" i="11" s="1"/>
  <c r="BF35" i="11" s="1"/>
  <c r="P48" i="6"/>
  <c r="P40" i="6"/>
  <c r="P53" i="6"/>
  <c r="X47" i="6"/>
  <c r="AK42" i="6" l="1"/>
  <c r="AI42" i="6"/>
  <c r="C32" i="11" s="1"/>
  <c r="BD32" i="11" s="1"/>
  <c r="T42" i="6"/>
  <c r="AH42" i="6"/>
  <c r="B32" i="11" s="1"/>
  <c r="BC32" i="11" s="1"/>
  <c r="Q34" i="6"/>
  <c r="AJ38" i="6" s="1"/>
  <c r="AJ40" i="6" s="1"/>
  <c r="D30" i="11" s="1"/>
  <c r="BE30" i="11" s="1"/>
  <c r="AJ42" i="6"/>
  <c r="D32" i="11" s="1"/>
  <c r="BE32" i="11" s="1"/>
  <c r="I42" i="6"/>
  <c r="L42" i="6" s="1"/>
  <c r="M42" i="6"/>
  <c r="P42" i="6" s="1"/>
  <c r="U42" i="6"/>
  <c r="X42" i="6" s="1"/>
  <c r="T43" i="6"/>
  <c r="I43" i="6"/>
  <c r="M43" i="6"/>
  <c r="U43" i="6"/>
  <c r="X43" i="6" s="1"/>
  <c r="D167" i="6"/>
  <c r="C21" i="11"/>
  <c r="BD21" i="11" s="1"/>
  <c r="AC37" i="6"/>
  <c r="B89" i="11" s="1"/>
  <c r="BC88" i="11" s="1"/>
  <c r="E78" i="6"/>
  <c r="C18" i="11" s="1"/>
  <c r="W39" i="6"/>
  <c r="Q39" i="6"/>
  <c r="Q61" i="6" s="1"/>
  <c r="R39" i="6"/>
  <c r="R61" i="6" s="1"/>
  <c r="R64" i="6" s="1"/>
  <c r="V39" i="6"/>
  <c r="V61" i="6" s="1"/>
  <c r="V64" i="6" s="1"/>
  <c r="J39" i="6"/>
  <c r="J61" i="6" s="1"/>
  <c r="O39" i="6"/>
  <c r="U39" i="6"/>
  <c r="G61" i="6"/>
  <c r="K39" i="6"/>
  <c r="I39" i="6"/>
  <c r="N39" i="6"/>
  <c r="N61" i="6" s="1"/>
  <c r="N64" i="6" s="1"/>
  <c r="S39" i="6"/>
  <c r="M39" i="6"/>
  <c r="C20" i="11"/>
  <c r="BD20" i="11" s="1"/>
  <c r="G77" i="6"/>
  <c r="H78" i="6" s="1"/>
  <c r="C19" i="11" s="1"/>
  <c r="BD19" i="11" s="1"/>
  <c r="E32" i="11"/>
  <c r="BF32" i="11" s="1"/>
  <c r="I34" i="6" l="1"/>
  <c r="AH38" i="6" s="1"/>
  <c r="B28" i="11" s="1"/>
  <c r="BC28" i="11" s="1"/>
  <c r="M61" i="6"/>
  <c r="M64" i="6" s="1"/>
  <c r="U61" i="6"/>
  <c r="U64" i="6" s="1"/>
  <c r="U34" i="6"/>
  <c r="AK38" i="6" s="1"/>
  <c r="AK40" i="6" s="1"/>
  <c r="E30" i="11" s="1"/>
  <c r="BF30" i="11" s="1"/>
  <c r="I61" i="6"/>
  <c r="M34" i="6"/>
  <c r="AI38" i="6" s="1"/>
  <c r="C28" i="11" s="1"/>
  <c r="BD28" i="11" s="1"/>
  <c r="O61" i="6"/>
  <c r="O64" i="6" s="1"/>
  <c r="AI49" i="6" s="1"/>
  <c r="P39" i="6"/>
  <c r="AJ47" i="6"/>
  <c r="Q32" i="6"/>
  <c r="Q64" i="6"/>
  <c r="L43" i="6"/>
  <c r="T39" i="6"/>
  <c r="T61" i="6" s="1"/>
  <c r="T64" i="6" s="1"/>
  <c r="S61" i="6"/>
  <c r="S64" i="6" s="1"/>
  <c r="AJ49" i="6" s="1"/>
  <c r="P43" i="6"/>
  <c r="D108" i="6"/>
  <c r="G108" i="6" s="1"/>
  <c r="H108" i="6" s="1"/>
  <c r="D99" i="6"/>
  <c r="G99" i="6" s="1"/>
  <c r="H99" i="6" s="1"/>
  <c r="D101" i="6"/>
  <c r="G101" i="6" s="1"/>
  <c r="H101" i="6" s="1"/>
  <c r="D106" i="6"/>
  <c r="G106" i="6" s="1"/>
  <c r="H106" i="6" s="1"/>
  <c r="D104" i="6"/>
  <c r="G104" i="6" s="1"/>
  <c r="H104" i="6" s="1"/>
  <c r="D91" i="6"/>
  <c r="G91" i="6" s="1"/>
  <c r="H91" i="6" s="1"/>
  <c r="D97" i="6"/>
  <c r="G97" i="6" s="1"/>
  <c r="H97" i="6" s="1"/>
  <c r="D169" i="6"/>
  <c r="D90" i="6"/>
  <c r="G90" i="6" s="1"/>
  <c r="H90" i="6" s="1"/>
  <c r="D102" i="6"/>
  <c r="G102" i="6" s="1"/>
  <c r="H102" i="6" s="1"/>
  <c r="D93" i="6"/>
  <c r="G93" i="6" s="1"/>
  <c r="H93" i="6" s="1"/>
  <c r="D88" i="6"/>
  <c r="D92" i="6"/>
  <c r="G92" i="6" s="1"/>
  <c r="H92" i="6" s="1"/>
  <c r="D94" i="6"/>
  <c r="G94" i="6" s="1"/>
  <c r="H94" i="6" s="1"/>
  <c r="D100" i="6"/>
  <c r="G100" i="6" s="1"/>
  <c r="H100" i="6" s="1"/>
  <c r="D95" i="6"/>
  <c r="G95" i="6" s="1"/>
  <c r="H95" i="6" s="1"/>
  <c r="D107" i="6"/>
  <c r="G107" i="6" s="1"/>
  <c r="H107" i="6" s="1"/>
  <c r="D96" i="6"/>
  <c r="G96" i="6" s="1"/>
  <c r="H96" i="6" s="1"/>
  <c r="D98" i="6"/>
  <c r="G98" i="6" s="1"/>
  <c r="H98" i="6" s="1"/>
  <c r="D89" i="6"/>
  <c r="G89" i="6" s="1"/>
  <c r="H89" i="6" s="1"/>
  <c r="D103" i="6"/>
  <c r="G103" i="6" s="1"/>
  <c r="H103" i="6" s="1"/>
  <c r="D105" i="6"/>
  <c r="G105" i="6" s="1"/>
  <c r="H105" i="6" s="1"/>
  <c r="D109" i="6"/>
  <c r="G109" i="6" s="1"/>
  <c r="H109" i="6" s="1"/>
  <c r="L39" i="6"/>
  <c r="K61" i="6"/>
  <c r="AH49" i="6" s="1"/>
  <c r="W61" i="6"/>
  <c r="W64" i="6" s="1"/>
  <c r="AK49" i="6" s="1"/>
  <c r="X39" i="6"/>
  <c r="X61" i="6" s="1"/>
  <c r="X64" i="6" s="1"/>
  <c r="BD18" i="11"/>
  <c r="C15" i="11"/>
  <c r="BD15" i="11" s="1"/>
  <c r="I32" i="6" l="1"/>
  <c r="AH40" i="6"/>
  <c r="B30" i="11" s="1"/>
  <c r="BC30" i="11" s="1"/>
  <c r="L61" i="6"/>
  <c r="AK47" i="6"/>
  <c r="AK48" i="6" s="1"/>
  <c r="E38" i="11" s="1"/>
  <c r="BF38" i="11" s="1"/>
  <c r="U32" i="6"/>
  <c r="P61" i="6"/>
  <c r="P64" i="6" s="1"/>
  <c r="M32" i="6"/>
  <c r="AI40" i="6"/>
  <c r="Z107" i="6"/>
  <c r="Y107" i="6"/>
  <c r="Y169" i="6" s="1"/>
  <c r="R107" i="6"/>
  <c r="U107" i="6"/>
  <c r="U169" i="6" s="1"/>
  <c r="N107" i="6"/>
  <c r="Q107" i="6"/>
  <c r="Q169" i="6" s="1"/>
  <c r="M107" i="6"/>
  <c r="M169" i="6" s="1"/>
  <c r="V107" i="6"/>
  <c r="Y104" i="6"/>
  <c r="Y166" i="6" s="1"/>
  <c r="Z104" i="6"/>
  <c r="M104" i="6"/>
  <c r="M166" i="6" s="1"/>
  <c r="V104" i="6"/>
  <c r="R104" i="6"/>
  <c r="U104" i="6"/>
  <c r="U166" i="6" s="1"/>
  <c r="N104" i="6"/>
  <c r="Q104" i="6"/>
  <c r="Q166" i="6" s="1"/>
  <c r="Y108" i="6"/>
  <c r="Y170" i="6" s="1"/>
  <c r="Z108" i="6"/>
  <c r="M108" i="6"/>
  <c r="M170" i="6" s="1"/>
  <c r="V108" i="6"/>
  <c r="R108" i="6"/>
  <c r="N108" i="6"/>
  <c r="Q108" i="6"/>
  <c r="Q170" i="6" s="1"/>
  <c r="U108" i="6"/>
  <c r="U170" i="6" s="1"/>
  <c r="B39" i="11"/>
  <c r="BC39" i="11" s="1"/>
  <c r="Y89" i="6"/>
  <c r="Y151" i="6" s="1"/>
  <c r="X89" i="6"/>
  <c r="X151" i="6" s="1"/>
  <c r="Z89" i="6"/>
  <c r="L89" i="6"/>
  <c r="L151" i="6" s="1"/>
  <c r="N89" i="6"/>
  <c r="U89" i="6"/>
  <c r="U151" i="6" s="1"/>
  <c r="R89" i="6"/>
  <c r="P89" i="6"/>
  <c r="P151" i="6" s="1"/>
  <c r="M89" i="6"/>
  <c r="M151" i="6" s="1"/>
  <c r="T89" i="6"/>
  <c r="T151" i="6" s="1"/>
  <c r="V89" i="6"/>
  <c r="Q89" i="6"/>
  <c r="Q151" i="6" s="1"/>
  <c r="Y95" i="6"/>
  <c r="Y157" i="6" s="1"/>
  <c r="X95" i="6"/>
  <c r="X157" i="6" s="1"/>
  <c r="Z95" i="6"/>
  <c r="M95" i="6"/>
  <c r="M157" i="6" s="1"/>
  <c r="T95" i="6"/>
  <c r="T157" i="6" s="1"/>
  <c r="V95" i="6"/>
  <c r="Q95" i="6"/>
  <c r="Q157" i="6" s="1"/>
  <c r="N95" i="6"/>
  <c r="U95" i="6"/>
  <c r="U157" i="6" s="1"/>
  <c r="P95" i="6"/>
  <c r="P157" i="6" s="1"/>
  <c r="L95" i="6"/>
  <c r="L157" i="6" s="1"/>
  <c r="R95" i="6"/>
  <c r="G88" i="6"/>
  <c r="D110" i="6"/>
  <c r="Z106" i="6"/>
  <c r="Y106" i="6"/>
  <c r="Y168" i="6" s="1"/>
  <c r="N106" i="6"/>
  <c r="U106" i="6"/>
  <c r="U168" i="6" s="1"/>
  <c r="Q106" i="6"/>
  <c r="Q168" i="6" s="1"/>
  <c r="R106" i="6"/>
  <c r="M106" i="6"/>
  <c r="M168" i="6" s="1"/>
  <c r="V106" i="6"/>
  <c r="C39" i="11"/>
  <c r="BD39" i="11" s="1"/>
  <c r="Z103" i="6"/>
  <c r="Y103" i="6"/>
  <c r="Y165" i="6" s="1"/>
  <c r="R103" i="6"/>
  <c r="N103" i="6"/>
  <c r="U103" i="6"/>
  <c r="U165" i="6" s="1"/>
  <c r="V103" i="6"/>
  <c r="M103" i="6"/>
  <c r="M165" i="6" s="1"/>
  <c r="Q103" i="6"/>
  <c r="Q165" i="6" s="1"/>
  <c r="Y90" i="6"/>
  <c r="Y152" i="6" s="1"/>
  <c r="X90" i="6"/>
  <c r="X152" i="6" s="1"/>
  <c r="Z90" i="6"/>
  <c r="Q90" i="6"/>
  <c r="Q152" i="6" s="1"/>
  <c r="L90" i="6"/>
  <c r="L152" i="6" s="1"/>
  <c r="N90" i="6"/>
  <c r="U90" i="6"/>
  <c r="U152" i="6" s="1"/>
  <c r="R90" i="6"/>
  <c r="T90" i="6"/>
  <c r="T152" i="6" s="1"/>
  <c r="V90" i="6"/>
  <c r="M90" i="6"/>
  <c r="M152" i="6" s="1"/>
  <c r="P90" i="6"/>
  <c r="P152" i="6" s="1"/>
  <c r="Y109" i="6"/>
  <c r="Y171" i="6" s="1"/>
  <c r="Z109" i="6"/>
  <c r="Q109" i="6"/>
  <c r="Q171" i="6" s="1"/>
  <c r="V109" i="6"/>
  <c r="M109" i="6"/>
  <c r="M171" i="6" s="1"/>
  <c r="N109" i="6"/>
  <c r="U109" i="6"/>
  <c r="U171" i="6" s="1"/>
  <c r="R109" i="6"/>
  <c r="X98" i="6"/>
  <c r="X160" i="6" s="1"/>
  <c r="Z98" i="6"/>
  <c r="Y98" i="6"/>
  <c r="Y160" i="6" s="1"/>
  <c r="Q98" i="6"/>
  <c r="Q160" i="6" s="1"/>
  <c r="L98" i="6"/>
  <c r="L160" i="6" s="1"/>
  <c r="N98" i="6"/>
  <c r="U98" i="6"/>
  <c r="U160" i="6" s="1"/>
  <c r="R98" i="6"/>
  <c r="M98" i="6"/>
  <c r="M160" i="6" s="1"/>
  <c r="T98" i="6"/>
  <c r="T160" i="6" s="1"/>
  <c r="V98" i="6"/>
  <c r="P98" i="6"/>
  <c r="P160" i="6" s="1"/>
  <c r="X100" i="6"/>
  <c r="X162" i="6" s="1"/>
  <c r="Y100" i="6"/>
  <c r="Y162" i="6" s="1"/>
  <c r="Z100" i="6"/>
  <c r="P100" i="6"/>
  <c r="P162" i="6" s="1"/>
  <c r="R100" i="6"/>
  <c r="T100" i="6"/>
  <c r="T162" i="6" s="1"/>
  <c r="M100" i="6"/>
  <c r="M162" i="6" s="1"/>
  <c r="V100" i="6"/>
  <c r="Q100" i="6"/>
  <c r="Q162" i="6" s="1"/>
  <c r="L100" i="6"/>
  <c r="L162" i="6" s="1"/>
  <c r="N100" i="6"/>
  <c r="U100" i="6"/>
  <c r="U162" i="6" s="1"/>
  <c r="Y93" i="6"/>
  <c r="Y155" i="6" s="1"/>
  <c r="X93" i="6"/>
  <c r="X155" i="6" s="1"/>
  <c r="Z93" i="6"/>
  <c r="L93" i="6"/>
  <c r="L155" i="6" s="1"/>
  <c r="N93" i="6"/>
  <c r="U93" i="6"/>
  <c r="U155" i="6" s="1"/>
  <c r="R93" i="6"/>
  <c r="P93" i="6"/>
  <c r="P155" i="6" s="1"/>
  <c r="V93" i="6"/>
  <c r="Q93" i="6"/>
  <c r="Q155" i="6" s="1"/>
  <c r="M93" i="6"/>
  <c r="M155" i="6" s="1"/>
  <c r="T93" i="6"/>
  <c r="T155" i="6" s="1"/>
  <c r="Y97" i="6"/>
  <c r="Y159" i="6" s="1"/>
  <c r="X97" i="6"/>
  <c r="X159" i="6" s="1"/>
  <c r="Z97" i="6"/>
  <c r="L97" i="6"/>
  <c r="L159" i="6" s="1"/>
  <c r="N97" i="6"/>
  <c r="U97" i="6"/>
  <c r="U159" i="6" s="1"/>
  <c r="P97" i="6"/>
  <c r="P159" i="6" s="1"/>
  <c r="R97" i="6"/>
  <c r="M97" i="6"/>
  <c r="M159" i="6" s="1"/>
  <c r="T97" i="6"/>
  <c r="T159" i="6" s="1"/>
  <c r="V97" i="6"/>
  <c r="Q97" i="6"/>
  <c r="Q159" i="6" s="1"/>
  <c r="Y101" i="6"/>
  <c r="Y163" i="6" s="1"/>
  <c r="Z101" i="6"/>
  <c r="N101" i="6"/>
  <c r="U101" i="6"/>
  <c r="U163" i="6" s="1"/>
  <c r="Q101" i="6"/>
  <c r="Q163" i="6" s="1"/>
  <c r="M101" i="6"/>
  <c r="M163" i="6" s="1"/>
  <c r="V101" i="6"/>
  <c r="R101" i="6"/>
  <c r="D39" i="11"/>
  <c r="BE39" i="11" s="1"/>
  <c r="E39" i="11"/>
  <c r="BF39" i="11" s="1"/>
  <c r="Y92" i="6"/>
  <c r="Y154" i="6" s="1"/>
  <c r="X92" i="6"/>
  <c r="X154" i="6" s="1"/>
  <c r="Z92" i="6"/>
  <c r="P92" i="6"/>
  <c r="P154" i="6" s="1"/>
  <c r="R92" i="6"/>
  <c r="M92" i="6"/>
  <c r="M154" i="6" s="1"/>
  <c r="T92" i="6"/>
  <c r="T154" i="6" s="1"/>
  <c r="V92" i="6"/>
  <c r="Q92" i="6"/>
  <c r="Q154" i="6" s="1"/>
  <c r="L92" i="6"/>
  <c r="L154" i="6" s="1"/>
  <c r="N92" i="6"/>
  <c r="U92" i="6"/>
  <c r="U154" i="6" s="1"/>
  <c r="Y105" i="6"/>
  <c r="Y167" i="6" s="1"/>
  <c r="Z105" i="6"/>
  <c r="Q105" i="6"/>
  <c r="Q167" i="6" s="1"/>
  <c r="M105" i="6"/>
  <c r="M167" i="6" s="1"/>
  <c r="V105" i="6"/>
  <c r="R105" i="6"/>
  <c r="U105" i="6"/>
  <c r="U167" i="6" s="1"/>
  <c r="N105" i="6"/>
  <c r="Y96" i="6"/>
  <c r="Y158" i="6" s="1"/>
  <c r="Z96" i="6"/>
  <c r="X96" i="6"/>
  <c r="X158" i="6" s="1"/>
  <c r="P96" i="6"/>
  <c r="P158" i="6" s="1"/>
  <c r="R96" i="6"/>
  <c r="M96" i="6"/>
  <c r="M158" i="6" s="1"/>
  <c r="T96" i="6"/>
  <c r="T158" i="6" s="1"/>
  <c r="V96" i="6"/>
  <c r="N96" i="6"/>
  <c r="U96" i="6"/>
  <c r="U158" i="6" s="1"/>
  <c r="L96" i="6"/>
  <c r="L158" i="6" s="1"/>
  <c r="Q96" i="6"/>
  <c r="Q158" i="6" s="1"/>
  <c r="Y94" i="6"/>
  <c r="Y156" i="6" s="1"/>
  <c r="Z94" i="6"/>
  <c r="X94" i="6"/>
  <c r="X156" i="6" s="1"/>
  <c r="Q94" i="6"/>
  <c r="Q156" i="6" s="1"/>
  <c r="N94" i="6"/>
  <c r="L94" i="6"/>
  <c r="L156" i="6" s="1"/>
  <c r="U94" i="6"/>
  <c r="U156" i="6" s="1"/>
  <c r="P94" i="6"/>
  <c r="P156" i="6" s="1"/>
  <c r="V94" i="6"/>
  <c r="M94" i="6"/>
  <c r="M156" i="6" s="1"/>
  <c r="R94" i="6"/>
  <c r="T94" i="6"/>
  <c r="T156" i="6" s="1"/>
  <c r="Z102" i="6"/>
  <c r="Y102" i="6"/>
  <c r="Y164" i="6" s="1"/>
  <c r="N102" i="6"/>
  <c r="U102" i="6"/>
  <c r="U164" i="6" s="1"/>
  <c r="Q102" i="6"/>
  <c r="Q164" i="6" s="1"/>
  <c r="M102" i="6"/>
  <c r="M164" i="6" s="1"/>
  <c r="V102" i="6"/>
  <c r="R102" i="6"/>
  <c r="Y91" i="6"/>
  <c r="Y153" i="6" s="1"/>
  <c r="X91" i="6"/>
  <c r="X153" i="6" s="1"/>
  <c r="Z91" i="6"/>
  <c r="M91" i="6"/>
  <c r="M153" i="6" s="1"/>
  <c r="T91" i="6"/>
  <c r="T153" i="6" s="1"/>
  <c r="V91" i="6"/>
  <c r="Q91" i="6"/>
  <c r="Q153" i="6" s="1"/>
  <c r="L91" i="6"/>
  <c r="L153" i="6" s="1"/>
  <c r="R91" i="6"/>
  <c r="P91" i="6"/>
  <c r="P153" i="6" s="1"/>
  <c r="N91" i="6"/>
  <c r="U91" i="6"/>
  <c r="U153" i="6" s="1"/>
  <c r="X99" i="6"/>
  <c r="X161" i="6" s="1"/>
  <c r="Z99" i="6"/>
  <c r="Y99" i="6"/>
  <c r="Y161" i="6" s="1"/>
  <c r="M99" i="6"/>
  <c r="M161" i="6" s="1"/>
  <c r="T99" i="6"/>
  <c r="T161" i="6" s="1"/>
  <c r="V99" i="6"/>
  <c r="Q99" i="6"/>
  <c r="Q161" i="6" s="1"/>
  <c r="L99" i="6"/>
  <c r="L161" i="6" s="1"/>
  <c r="R99" i="6"/>
  <c r="P99" i="6"/>
  <c r="P161" i="6" s="1"/>
  <c r="N99" i="6"/>
  <c r="U99" i="6"/>
  <c r="U161" i="6" s="1"/>
  <c r="D37" i="11"/>
  <c r="BE37" i="11" s="1"/>
  <c r="AJ48" i="6"/>
  <c r="D38" i="11" s="1"/>
  <c r="BE38" i="11" s="1"/>
  <c r="AH47" i="6"/>
  <c r="E37" i="11" l="1"/>
  <c r="BF37" i="11" s="1"/>
  <c r="C30" i="11"/>
  <c r="BD30" i="11" s="1"/>
  <c r="AI47" i="6"/>
  <c r="W100" i="6"/>
  <c r="V162" i="6"/>
  <c r="W162" i="6" s="1"/>
  <c r="N157" i="6"/>
  <c r="O157" i="6" s="1"/>
  <c r="O95" i="6"/>
  <c r="W107" i="6"/>
  <c r="V169" i="6"/>
  <c r="W169" i="6" s="1"/>
  <c r="S99" i="6"/>
  <c r="R161" i="6"/>
  <c r="S161" i="6" s="1"/>
  <c r="S91" i="6"/>
  <c r="R153" i="6"/>
  <c r="S153" i="6" s="1"/>
  <c r="AA102" i="6"/>
  <c r="Z164" i="6"/>
  <c r="AA164" i="6" s="1"/>
  <c r="W94" i="6"/>
  <c r="V156" i="6"/>
  <c r="W156" i="6" s="1"/>
  <c r="O94" i="6"/>
  <c r="N156" i="6"/>
  <c r="O156" i="6" s="1"/>
  <c r="O96" i="6"/>
  <c r="N158" i="6"/>
  <c r="O158" i="6" s="1"/>
  <c r="S96" i="6"/>
  <c r="R158" i="6"/>
  <c r="S158" i="6" s="1"/>
  <c r="W105" i="6"/>
  <c r="V167" i="6"/>
  <c r="W167" i="6" s="1"/>
  <c r="S92" i="6"/>
  <c r="R154" i="6"/>
  <c r="S154" i="6" s="1"/>
  <c r="V163" i="6"/>
  <c r="W163" i="6" s="1"/>
  <c r="W101" i="6"/>
  <c r="O101" i="6"/>
  <c r="N163" i="6"/>
  <c r="O163" i="6" s="1"/>
  <c r="V159" i="6"/>
  <c r="W159" i="6" s="1"/>
  <c r="W97" i="6"/>
  <c r="AA97" i="6"/>
  <c r="Z159" i="6"/>
  <c r="AA159" i="6" s="1"/>
  <c r="S93" i="6"/>
  <c r="R155" i="6"/>
  <c r="S155" i="6" s="1"/>
  <c r="AA93" i="6"/>
  <c r="Z155" i="6"/>
  <c r="AA155" i="6" s="1"/>
  <c r="O100" i="6"/>
  <c r="N162" i="6"/>
  <c r="O162" i="6" s="1"/>
  <c r="Z162" i="6"/>
  <c r="AA162" i="6" s="1"/>
  <c r="AA100" i="6"/>
  <c r="W98" i="6"/>
  <c r="V160" i="6"/>
  <c r="W160" i="6" s="1"/>
  <c r="Z152" i="6"/>
  <c r="AA152" i="6" s="1"/>
  <c r="AA90" i="6"/>
  <c r="S103" i="6"/>
  <c r="R165" i="6"/>
  <c r="S165" i="6" s="1"/>
  <c r="Z168" i="6"/>
  <c r="AA168" i="6" s="1"/>
  <c r="AA106" i="6"/>
  <c r="Z157" i="6"/>
  <c r="AA157" i="6" s="1"/>
  <c r="AA95" i="6"/>
  <c r="V151" i="6"/>
  <c r="W151" i="6" s="1"/>
  <c r="W89" i="6"/>
  <c r="S89" i="6"/>
  <c r="R151" i="6"/>
  <c r="S151" i="6" s="1"/>
  <c r="AA89" i="6"/>
  <c r="Z151" i="6"/>
  <c r="AA151" i="6" s="1"/>
  <c r="N166" i="6"/>
  <c r="O166" i="6" s="1"/>
  <c r="O104" i="6"/>
  <c r="S107" i="6"/>
  <c r="R169" i="6"/>
  <c r="S169" i="6" s="1"/>
  <c r="W91" i="6"/>
  <c r="V153" i="6"/>
  <c r="W153" i="6" s="1"/>
  <c r="AA94" i="6"/>
  <c r="Z156" i="6"/>
  <c r="AA156" i="6" s="1"/>
  <c r="R167" i="6"/>
  <c r="S167" i="6" s="1"/>
  <c r="S105" i="6"/>
  <c r="S101" i="6"/>
  <c r="R163" i="6"/>
  <c r="S163" i="6" s="1"/>
  <c r="S97" i="6"/>
  <c r="R159" i="6"/>
  <c r="S159" i="6" s="1"/>
  <c r="R171" i="6"/>
  <c r="S171" i="6" s="1"/>
  <c r="S109" i="6"/>
  <c r="R152" i="6"/>
  <c r="S152" i="6" s="1"/>
  <c r="S90" i="6"/>
  <c r="W108" i="6"/>
  <c r="V170" i="6"/>
  <c r="W170" i="6" s="1"/>
  <c r="V158" i="6"/>
  <c r="W158" i="6" s="1"/>
  <c r="W96" i="6"/>
  <c r="O105" i="6"/>
  <c r="N167" i="6"/>
  <c r="O167" i="6" s="1"/>
  <c r="W92" i="6"/>
  <c r="V154" i="6"/>
  <c r="W154" i="6" s="1"/>
  <c r="AK50" i="6"/>
  <c r="E40" i="11" s="1"/>
  <c r="BF40" i="11" s="1"/>
  <c r="AA101" i="6"/>
  <c r="Z163" i="6"/>
  <c r="AA163" i="6" s="1"/>
  <c r="O98" i="6"/>
  <c r="N160" i="6"/>
  <c r="O160" i="6" s="1"/>
  <c r="Z160" i="6"/>
  <c r="AA160" i="6" s="1"/>
  <c r="AA98" i="6"/>
  <c r="O109" i="6"/>
  <c r="N171" i="6"/>
  <c r="O171" i="6" s="1"/>
  <c r="AA109" i="6"/>
  <c r="Z171" i="6"/>
  <c r="AA171" i="6" s="1"/>
  <c r="W90" i="6"/>
  <c r="V152" i="6"/>
  <c r="W152" i="6" s="1"/>
  <c r="O90" i="6"/>
  <c r="N152" i="6"/>
  <c r="O152" i="6" s="1"/>
  <c r="W103" i="6"/>
  <c r="V165" i="6"/>
  <c r="W165" i="6" s="1"/>
  <c r="V168" i="6"/>
  <c r="W168" i="6" s="1"/>
  <c r="W106" i="6"/>
  <c r="W95" i="6"/>
  <c r="V157" i="6"/>
  <c r="W157" i="6" s="1"/>
  <c r="N170" i="6"/>
  <c r="O170" i="6" s="1"/>
  <c r="O108" i="6"/>
  <c r="Z170" i="6"/>
  <c r="AA170" i="6" s="1"/>
  <c r="AA108" i="6"/>
  <c r="Z166" i="6"/>
  <c r="AA166" i="6" s="1"/>
  <c r="AA104" i="6"/>
  <c r="W99" i="6"/>
  <c r="V161" i="6"/>
  <c r="W161" i="6" s="1"/>
  <c r="Z161" i="6"/>
  <c r="AA161" i="6" s="1"/>
  <c r="AA99" i="6"/>
  <c r="Z158" i="6"/>
  <c r="AA158" i="6" s="1"/>
  <c r="AA96" i="6"/>
  <c r="AA105" i="6"/>
  <c r="Z167" i="6"/>
  <c r="AA167" i="6" s="1"/>
  <c r="R160" i="6"/>
  <c r="S160" i="6" s="1"/>
  <c r="S98" i="6"/>
  <c r="W109" i="6"/>
  <c r="V171" i="6"/>
  <c r="W171" i="6" s="1"/>
  <c r="O103" i="6"/>
  <c r="N165" i="6"/>
  <c r="O165" i="6" s="1"/>
  <c r="S106" i="6"/>
  <c r="R168" i="6"/>
  <c r="S168" i="6" s="1"/>
  <c r="S95" i="6"/>
  <c r="R157" i="6"/>
  <c r="S157" i="6" s="1"/>
  <c r="W104" i="6"/>
  <c r="V166" i="6"/>
  <c r="W166" i="6" s="1"/>
  <c r="S102" i="6"/>
  <c r="R164" i="6"/>
  <c r="S164" i="6" s="1"/>
  <c r="B37" i="11"/>
  <c r="BC37" i="11" s="1"/>
  <c r="AH48" i="6"/>
  <c r="N161" i="6"/>
  <c r="O161" i="6" s="1"/>
  <c r="O99" i="6"/>
  <c r="N153" i="6"/>
  <c r="O153" i="6" s="1"/>
  <c r="O91" i="6"/>
  <c r="Z153" i="6"/>
  <c r="AA153" i="6" s="1"/>
  <c r="AA91" i="6"/>
  <c r="V164" i="6"/>
  <c r="W164" i="6" s="1"/>
  <c r="W102" i="6"/>
  <c r="O102" i="6"/>
  <c r="N164" i="6"/>
  <c r="O164" i="6" s="1"/>
  <c r="R156" i="6"/>
  <c r="S156" i="6" s="1"/>
  <c r="S94" i="6"/>
  <c r="O92" i="6"/>
  <c r="N154" i="6"/>
  <c r="O154" i="6" s="1"/>
  <c r="Z154" i="6"/>
  <c r="AA154" i="6" s="1"/>
  <c r="AA92" i="6"/>
  <c r="AJ50" i="6"/>
  <c r="D40" i="11" s="1"/>
  <c r="BE40" i="11" s="1"/>
  <c r="O97" i="6"/>
  <c r="N159" i="6"/>
  <c r="O159" i="6" s="1"/>
  <c r="V155" i="6"/>
  <c r="W155" i="6" s="1"/>
  <c r="W93" i="6"/>
  <c r="O93" i="6"/>
  <c r="N155" i="6"/>
  <c r="O155" i="6" s="1"/>
  <c r="S100" i="6"/>
  <c r="R162" i="6"/>
  <c r="S162" i="6" s="1"/>
  <c r="Z165" i="6"/>
  <c r="AA165" i="6" s="1"/>
  <c r="AA103" i="6"/>
  <c r="O106" i="6"/>
  <c r="N168" i="6"/>
  <c r="O168" i="6" s="1"/>
  <c r="H88" i="6"/>
  <c r="G110" i="6"/>
  <c r="O89" i="6"/>
  <c r="N151" i="6"/>
  <c r="O151" i="6" s="1"/>
  <c r="S108" i="6"/>
  <c r="R170" i="6"/>
  <c r="S170" i="6" s="1"/>
  <c r="S104" i="6"/>
  <c r="R166" i="6"/>
  <c r="S166" i="6" s="1"/>
  <c r="O107" i="6"/>
  <c r="N169" i="6"/>
  <c r="O169" i="6" s="1"/>
  <c r="Z169" i="6"/>
  <c r="AA169" i="6" s="1"/>
  <c r="AA107" i="6"/>
  <c r="AI48" i="6" l="1"/>
  <c r="C37" i="11"/>
  <c r="BD37" i="11" s="1"/>
  <c r="Y88" i="6"/>
  <c r="Z88" i="6"/>
  <c r="X88" i="6"/>
  <c r="L88" i="6"/>
  <c r="Q88" i="6"/>
  <c r="V88" i="6"/>
  <c r="R88" i="6"/>
  <c r="M88" i="6"/>
  <c r="H110" i="6"/>
  <c r="T88" i="6"/>
  <c r="U88" i="6"/>
  <c r="N88" i="6"/>
  <c r="P88" i="6"/>
  <c r="B38" i="11"/>
  <c r="BC38" i="11" s="1"/>
  <c r="AH50" i="6"/>
  <c r="B40" i="11" s="1"/>
  <c r="BC40" i="11" s="1"/>
  <c r="C38" i="11" l="1"/>
  <c r="BD38" i="11" s="1"/>
  <c r="AI50" i="6"/>
  <c r="C40" i="11" s="1"/>
  <c r="BD40" i="11" s="1"/>
  <c r="O88" i="6"/>
  <c r="O110" i="6" s="1"/>
  <c r="O114" i="6" s="1"/>
  <c r="O115" i="6" s="1"/>
  <c r="N110" i="6"/>
  <c r="N114" i="6" s="1"/>
  <c r="N115" i="6" s="1"/>
  <c r="N150" i="6"/>
  <c r="U110" i="6"/>
  <c r="U150" i="6"/>
  <c r="U173" i="6" s="1"/>
  <c r="U174" i="6" s="1"/>
  <c r="R110" i="6"/>
  <c r="S88" i="6"/>
  <c r="S110" i="6" s="1"/>
  <c r="R150" i="6"/>
  <c r="X150" i="6"/>
  <c r="X173" i="6" s="1"/>
  <c r="X174" i="6" s="1"/>
  <c r="X110" i="6"/>
  <c r="T110" i="6"/>
  <c r="T150" i="6"/>
  <c r="T173" i="6" s="1"/>
  <c r="T174" i="6" s="1"/>
  <c r="V110" i="6"/>
  <c r="V150" i="6"/>
  <c r="W88" i="6"/>
  <c r="W110" i="6" s="1"/>
  <c r="Z150" i="6"/>
  <c r="Z110" i="6"/>
  <c r="AA88" i="6"/>
  <c r="AA110" i="6" s="1"/>
  <c r="M110" i="6"/>
  <c r="M114" i="6" s="1"/>
  <c r="M115" i="6" s="1"/>
  <c r="M150" i="6"/>
  <c r="L110" i="6"/>
  <c r="L114" i="6" s="1"/>
  <c r="L150" i="6"/>
  <c r="P150" i="6"/>
  <c r="P173" i="6" s="1"/>
  <c r="P174" i="6" s="1"/>
  <c r="P110" i="6"/>
  <c r="Q150" i="6"/>
  <c r="Q173" i="6" s="1"/>
  <c r="Q174" i="6" s="1"/>
  <c r="Q110" i="6"/>
  <c r="Y150" i="6"/>
  <c r="Y173" i="6" s="1"/>
  <c r="Y174" i="6" s="1"/>
  <c r="Y110" i="6"/>
  <c r="AI55" i="6" l="1"/>
  <c r="C47" i="11" s="1"/>
  <c r="BD47" i="11" s="1"/>
  <c r="Q114" i="6"/>
  <c r="Q115" i="6"/>
  <c r="X115" i="6"/>
  <c r="X114" i="6"/>
  <c r="R115" i="6"/>
  <c r="R114" i="6"/>
  <c r="AK55" i="6"/>
  <c r="Y114" i="6"/>
  <c r="Y115" i="6"/>
  <c r="P114" i="6"/>
  <c r="P115" i="6"/>
  <c r="M173" i="6"/>
  <c r="L145" i="6"/>
  <c r="L143" i="6" s="1"/>
  <c r="L115" i="6" s="1"/>
  <c r="Z173" i="6"/>
  <c r="Z174" i="6" s="1"/>
  <c r="AK56" i="6" s="1"/>
  <c r="E48" i="11" s="1"/>
  <c r="BF48" i="11" s="1"/>
  <c r="AA150" i="6"/>
  <c r="AA173" i="6" s="1"/>
  <c r="AA174" i="6" s="1"/>
  <c r="AJ55" i="6"/>
  <c r="R173" i="6"/>
  <c r="R174" i="6" s="1"/>
  <c r="AI56" i="6" s="1"/>
  <c r="C48" i="11" s="1"/>
  <c r="BD48" i="11" s="1"/>
  <c r="S150" i="6"/>
  <c r="S173" i="6" s="1"/>
  <c r="S174" i="6" s="1"/>
  <c r="U114" i="6"/>
  <c r="U115" i="6"/>
  <c r="T114" i="6"/>
  <c r="T115" i="6"/>
  <c r="O150" i="6"/>
  <c r="N173" i="6"/>
  <c r="W150" i="6"/>
  <c r="W173" i="6" s="1"/>
  <c r="W174" i="6" s="1"/>
  <c r="V173" i="6"/>
  <c r="V174" i="6" s="1"/>
  <c r="AJ56" i="6" s="1"/>
  <c r="D48" i="11" s="1"/>
  <c r="BE48" i="11" s="1"/>
  <c r="Z115" i="6"/>
  <c r="Z114" i="6"/>
  <c r="V114" i="6"/>
  <c r="V115" i="6"/>
  <c r="AI57" i="6" l="1"/>
  <c r="C49" i="11" s="1"/>
  <c r="BD49" i="11" s="1"/>
  <c r="AA115" i="6"/>
  <c r="AA114" i="6"/>
  <c r="S114" i="6"/>
  <c r="D47" i="11"/>
  <c r="BE47" i="11" s="1"/>
  <c r="AJ57" i="6"/>
  <c r="D49" i="11" s="1"/>
  <c r="BE49" i="11" s="1"/>
  <c r="E47" i="11"/>
  <c r="BF47" i="11" s="1"/>
  <c r="AK57" i="6"/>
  <c r="E49" i="11" s="1"/>
  <c r="BF49" i="11" s="1"/>
  <c r="W115" i="6"/>
  <c r="AH56" i="6"/>
  <c r="B48" i="11" s="1"/>
  <c r="BC48" i="11" s="1"/>
  <c r="W114" i="6"/>
  <c r="AH54" i="6"/>
  <c r="L172" i="6"/>
  <c r="S115" i="6"/>
  <c r="B46" i="11" l="1"/>
  <c r="BC46" i="11" s="1"/>
  <c r="O172" i="6"/>
  <c r="L173" i="6"/>
  <c r="AH55" i="6" l="1"/>
  <c r="O173" i="6"/>
  <c r="B47" i="11" l="1"/>
  <c r="BC47" i="11" s="1"/>
  <c r="AH57" i="6"/>
  <c r="B49" i="11" s="1"/>
  <c r="BC49"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Marshall Goldberg</author>
    <author xml:space="preserve"> </author>
    <author xml:space="preserve"> Marshall</author>
  </authors>
  <commentList>
    <comment ref="A12" authorId="0" shapeId="0" xr:uid="{00000000-0006-0000-0400-000001000000}">
      <text>
        <r>
          <rPr>
            <b/>
            <sz val="8"/>
            <color indexed="81"/>
            <rFont val="Tahoma"/>
            <family val="2"/>
          </rPr>
          <t xml:space="preserve">
Project location is state name or defined region (or other user add-in location - MyCounty or MyRegion) where PV system is constructed/installed. 
See FAQ for list of states included in defined regions.
</t>
        </r>
        <r>
          <rPr>
            <b/>
            <sz val="8"/>
            <color indexed="10"/>
            <rFont val="Tahoma"/>
            <family val="2"/>
          </rPr>
          <t>(Entry required -choose from pull-down list)</t>
        </r>
      </text>
    </comment>
    <comment ref="A13" authorId="1" shapeId="0" xr:uid="{00000000-0006-0000-0400-000002000000}">
      <text>
        <r>
          <rPr>
            <b/>
            <sz val="8"/>
            <color indexed="81"/>
            <rFont val="Tahoma"/>
            <family val="2"/>
          </rPr>
          <t xml:space="preserve"> 
If running a county or regional analysis: area population is required to incorporate appropriate default values for local shares.</t>
        </r>
      </text>
    </comment>
    <comment ref="A14" authorId="0" shapeId="0" xr:uid="{00000000-0006-0000-0400-000003000000}">
      <text>
        <r>
          <rPr>
            <b/>
            <sz val="8"/>
            <color indexed="81"/>
            <rFont val="Tahoma"/>
            <family val="2"/>
          </rPr>
          <t xml:space="preserve">
Year of construction is year in which construction occurs - not to exceed 2030. </t>
        </r>
        <r>
          <rPr>
            <b/>
            <sz val="8"/>
            <color indexed="10"/>
            <rFont val="Tahoma"/>
            <family val="2"/>
          </rPr>
          <t>(Entry required)</t>
        </r>
      </text>
    </comment>
    <comment ref="A18" authorId="0" shapeId="0" xr:uid="{00000000-0006-0000-0400-000004000000}">
      <text>
        <r>
          <rPr>
            <b/>
            <sz val="8"/>
            <color indexed="81"/>
            <rFont val="Tahoma"/>
            <family val="2"/>
          </rPr>
          <t xml:space="preserve">
Average System Size (default) is based on analysis of data from </t>
        </r>
        <r>
          <rPr>
            <b/>
            <i/>
            <sz val="8"/>
            <color indexed="81"/>
            <rFont val="Tahoma"/>
            <family val="2"/>
          </rPr>
          <t>Tracking the Sun IV, for</t>
        </r>
        <r>
          <rPr>
            <b/>
            <sz val="8"/>
            <color indexed="81"/>
            <rFont val="Tahoma"/>
            <family val="2"/>
          </rPr>
          <t xml:space="preserve"> systems installed for each sector in 2010.
Source: Barbose, G., Darghouth, N., Wiser, R, and Seel, J. 2011. </t>
        </r>
        <r>
          <rPr>
            <b/>
            <i/>
            <sz val="8"/>
            <color indexed="81"/>
            <rFont val="Tahoma"/>
            <family val="2"/>
          </rPr>
          <t>Tracking the Sun IV: The Installed Cost of Photovoltaics in the U.S. from 1998-2010</t>
        </r>
        <r>
          <rPr>
            <b/>
            <sz val="8"/>
            <color indexed="81"/>
            <rFont val="Tahoma"/>
            <family val="2"/>
          </rPr>
          <t>. Berkeley, CA: Lawrence Berkeley National Laboratory, provided in May 2011 (prior to publication of the report).</t>
        </r>
        <r>
          <rPr>
            <sz val="8"/>
            <color indexed="81"/>
            <rFont val="Tahoma"/>
            <family val="2"/>
          </rPr>
          <t xml:space="preserve">
</t>
        </r>
      </text>
    </comment>
    <comment ref="A20" authorId="2" shapeId="0" xr:uid="{00000000-0006-0000-0400-000005000000}">
      <text>
        <r>
          <rPr>
            <b/>
            <sz val="8"/>
            <color indexed="81"/>
            <rFont val="Tahoma"/>
            <family val="2"/>
          </rPr>
          <t xml:space="preserve">
The Project Size is automatically calculated by multiplying the average system size (kW) by the number of systems installed.</t>
        </r>
      </text>
    </comment>
    <comment ref="A22" authorId="2" shapeId="0" xr:uid="{00000000-0006-0000-0400-000006000000}">
      <text>
        <r>
          <rPr>
            <b/>
            <sz val="10"/>
            <color indexed="81"/>
            <rFont val="Tahoma"/>
            <family val="2"/>
          </rPr>
          <t xml:space="preserve"> </t>
        </r>
        <r>
          <rPr>
            <b/>
            <sz val="8"/>
            <color indexed="81"/>
            <rFont val="Tahoma"/>
            <family val="2"/>
          </rPr>
          <t xml:space="preserve">
Base Installed System Cost is derived from analysis of data from </t>
        </r>
        <r>
          <rPr>
            <b/>
            <i/>
            <sz val="8"/>
            <color indexed="81"/>
            <rFont val="Tahoma"/>
            <family val="2"/>
          </rPr>
          <t>Tracking the Sun IV,</t>
        </r>
        <r>
          <rPr>
            <b/>
            <sz val="8"/>
            <color indexed="81"/>
            <rFont val="Tahoma"/>
            <family val="2"/>
          </rPr>
          <t xml:space="preserve"> for 20 states.  Where no data is available for a particular state the average cost for all states is used.  
System cost does not include batteries, generators, or any additional electrical materials and equipment beyond those necessary for the base system.  Cost does not include any applicable sales tax; these are additional (included elsewhere). 
Source: Barbose, G., Darghouth, N., Wiser, R, and Seel, J. 2011. </t>
        </r>
        <r>
          <rPr>
            <b/>
            <i/>
            <sz val="8"/>
            <color indexed="81"/>
            <rFont val="Tahoma"/>
            <family val="2"/>
          </rPr>
          <t>Tracking the Sun IV: The Installed Cost of Photovoltaics in the U.S. from 1998-2010</t>
        </r>
        <r>
          <rPr>
            <b/>
            <sz val="8"/>
            <color indexed="81"/>
            <rFont val="Tahoma"/>
            <family val="2"/>
          </rPr>
          <t>. Berkeley, CA: Lawrence Berkeley National Laboratory, provided in May 2011 (prior to publication of the report).</t>
        </r>
      </text>
    </comment>
    <comment ref="A23" authorId="0" shapeId="0" xr:uid="{00000000-0006-0000-0400-000007000000}">
      <text>
        <r>
          <rPr>
            <b/>
            <sz val="8"/>
            <color indexed="81"/>
            <rFont val="Tahoma"/>
            <family val="2"/>
          </rPr>
          <t xml:space="preserve">
Annual Operations and Maintenance Cost does not include costs associated with debt or equity financing, land easement, or taxes.
Source: Cost based on data provided by John Bartlett, U.S. Dept. of Energy, Sept. 2010.</t>
        </r>
      </text>
    </comment>
    <comment ref="A24" authorId="0" shapeId="0" xr:uid="{00000000-0006-0000-0400-000008000000}">
      <text>
        <r>
          <rPr>
            <b/>
            <sz val="8"/>
            <color rgb="FF000000"/>
            <rFont val="Tahoma"/>
            <family val="2"/>
          </rPr>
          <t xml:space="preserve">
</t>
        </r>
        <r>
          <rPr>
            <b/>
            <sz val="8"/>
            <color rgb="FF000000"/>
            <rFont val="Tahoma"/>
            <family val="2"/>
          </rPr>
          <t xml:space="preserve">Money value refers to the year in which the construction costs are based on (e.g., enter 2010 for construction in 2011 with cost estimates in 2010 dollar values).
</t>
        </r>
        <r>
          <rPr>
            <b/>
            <sz val="8"/>
            <color rgb="FF000000"/>
            <rFont val="Tahoma"/>
            <family val="2"/>
          </rPr>
          <t xml:space="preserve">
</t>
        </r>
        <r>
          <rPr>
            <b/>
            <sz val="8"/>
            <color rgb="FF000000"/>
            <rFont val="Tahoma"/>
            <family val="2"/>
          </rPr>
          <t>The model uses this dollar year to internally adjust project costs for consistency with the year of the multipliers used in the analysis.</t>
        </r>
      </text>
    </comment>
    <comment ref="A26" authorId="0" shapeId="0" xr:uid="{00000000-0006-0000-0400-000009000000}">
      <text>
        <r>
          <rPr>
            <b/>
            <sz val="8"/>
            <color rgb="FF000000"/>
            <rFont val="Tahoma"/>
            <family val="2"/>
          </rPr>
          <t xml:space="preserve">
</t>
        </r>
        <r>
          <rPr>
            <b/>
            <sz val="8"/>
            <color rgb="FF000000"/>
            <rFont val="Tahoma"/>
            <family val="2"/>
          </rPr>
          <t xml:space="preserve">Choose "Y" to run analysis using System Description Data (entered above) and default System Cost Data (automatically entered below).
</t>
        </r>
        <r>
          <rPr>
            <b/>
            <sz val="8"/>
            <color rgb="FF000000"/>
            <rFont val="Tahoma"/>
            <family val="2"/>
          </rPr>
          <t xml:space="preserve">  
</t>
        </r>
        <r>
          <rPr>
            <b/>
            <sz val="8"/>
            <color rgb="FF000000"/>
            <rFont val="Tahoma"/>
            <family val="2"/>
          </rPr>
          <t>Choose "N" to run analysis using System Descriptive Data (entered above) with user modified System Cost Data (entered below) .</t>
        </r>
        <r>
          <rPr>
            <b/>
            <sz val="8"/>
            <color rgb="FFFF0000"/>
            <rFont val="Tahoma"/>
            <family val="2"/>
          </rPr>
          <t xml:space="preserve">  User defined cost data will not be incorporated in the analysis if an "N" is not chosen here.
</t>
        </r>
        <r>
          <rPr>
            <b/>
            <sz val="8"/>
            <color rgb="FFFF0000"/>
            <rFont val="Tahoma"/>
            <family val="2"/>
          </rPr>
          <t xml:space="preserve">                               (Entry Required) </t>
        </r>
        <r>
          <rPr>
            <b/>
            <sz val="8"/>
            <color rgb="FF000000"/>
            <rFont val="Tahoma"/>
            <family val="2"/>
          </rPr>
          <t xml:space="preserve">
</t>
        </r>
      </text>
    </comment>
    <comment ref="A31" authorId="0" shapeId="0" xr:uid="{00000000-0006-0000-0400-00000A000000}">
      <text>
        <r>
          <rPr>
            <b/>
            <sz val="8"/>
            <color indexed="81"/>
            <rFont val="Tahoma"/>
            <family val="2"/>
          </rPr>
          <t xml:space="preserve">
Installation Costs are based on analysis of data from Barbose, G., Darghouth, N., Wiser, R, and Seel, J. 2011. </t>
        </r>
        <r>
          <rPr>
            <b/>
            <i/>
            <sz val="8"/>
            <color indexed="81"/>
            <rFont val="Tahoma"/>
            <family val="2"/>
          </rPr>
          <t>Tracking the Sun IV: The Installed Cost of Photovoltaics in the U.S. from 1998-2010</t>
        </r>
        <r>
          <rPr>
            <b/>
            <sz val="8"/>
            <color indexed="81"/>
            <rFont val="Tahoma"/>
            <family val="2"/>
          </rPr>
          <t xml:space="preserve">. Berkeley, CA: Lawrence Berkeley National Laboratory, provided in May 2011 (prior to the report being published); data from John Bartlett, U.S. Dept. of Energy, Sept. 2010; and analysis of proprietary data provided by project installers.
</t>
        </r>
      </text>
    </comment>
    <comment ref="E31" authorId="0" shapeId="0" xr:uid="{00000000-0006-0000-0400-00000B000000}">
      <text>
        <r>
          <rPr>
            <b/>
            <sz val="8"/>
            <color indexed="81"/>
            <rFont val="Tahoma"/>
            <family val="2"/>
          </rPr>
          <t xml:space="preserve">
Purchased Locally is the percentage of expenditure spent in the state or local region where the system is installed.</t>
        </r>
      </text>
    </comment>
    <comment ref="A43" authorId="0" shapeId="0" xr:uid="{00000000-0006-0000-0400-00000C000000}">
      <text>
        <r>
          <rPr>
            <b/>
            <sz val="8"/>
            <color rgb="FF000000"/>
            <rFont val="Tahoma"/>
            <family val="2"/>
          </rPr>
          <t xml:space="preserve">
</t>
        </r>
        <r>
          <rPr>
            <b/>
            <sz val="8"/>
            <color rgb="FF000000"/>
            <rFont val="Tahoma"/>
            <family val="2"/>
          </rPr>
          <t>Permitting refers only to those costs paid to the permitting agency (typically local govt.).  Costs associated with preparing the permit, filing the permit, etc. should be included in Business Overhead.</t>
        </r>
        <r>
          <rPr>
            <sz val="8"/>
            <color rgb="FF000000"/>
            <rFont val="Tahoma"/>
            <family val="2"/>
          </rPr>
          <t xml:space="preserve">
</t>
        </r>
      </text>
    </comment>
    <comment ref="A44" authorId="0" shapeId="0" xr:uid="{00000000-0006-0000-0400-00000D000000}">
      <text>
        <r>
          <rPr>
            <sz val="8"/>
            <color rgb="FF000000"/>
            <rFont val="Tahoma"/>
            <family val="2"/>
          </rPr>
          <t xml:space="preserve">
</t>
        </r>
        <r>
          <rPr>
            <b/>
            <sz val="8"/>
            <color rgb="FF000000"/>
            <rFont val="Tahoma"/>
            <family val="2"/>
          </rPr>
          <t>Other Costs includes all services and misc. costs not accounted for elsewhere.</t>
        </r>
        <r>
          <rPr>
            <sz val="8"/>
            <color rgb="FF000000"/>
            <rFont val="Tahoma"/>
            <family val="2"/>
          </rPr>
          <t xml:space="preserve">
</t>
        </r>
      </text>
    </comment>
    <comment ref="A45" authorId="0" shapeId="0" xr:uid="{00000000-0006-0000-0400-00000E000000}">
      <text>
        <r>
          <rPr>
            <b/>
            <sz val="8"/>
            <color indexed="81"/>
            <rFont val="Tahoma"/>
            <family val="2"/>
          </rPr>
          <t xml:space="preserve">
Business overhead includes, among others, all back-office costs, sales and marketing costs, pre-development costs, as well as gross margin.</t>
        </r>
        <r>
          <rPr>
            <sz val="8"/>
            <color indexed="81"/>
            <rFont val="Tahoma"/>
            <family val="2"/>
          </rPr>
          <t xml:space="preserve">
</t>
        </r>
      </text>
    </comment>
    <comment ref="A48" authorId="2" shapeId="0" xr:uid="{00000000-0006-0000-0400-00000F000000}">
      <text>
        <r>
          <rPr>
            <b/>
            <sz val="8"/>
            <color rgb="FF000000"/>
            <rFont val="Tahoma"/>
            <family val="2"/>
          </rPr>
          <t xml:space="preserve">
</t>
        </r>
        <r>
          <rPr>
            <b/>
            <sz val="8"/>
            <color rgb="FF000000"/>
            <rFont val="Tahoma"/>
            <family val="2"/>
          </rPr>
          <t>Entry required if sales tax not to be automatically computed using sales tax rate entered in Tax Parameters below.</t>
        </r>
        <r>
          <rPr>
            <sz val="10"/>
            <color rgb="FF000000"/>
            <rFont val="Tahoma"/>
            <family val="2"/>
          </rPr>
          <t xml:space="preserve">
</t>
        </r>
      </text>
    </comment>
    <comment ref="E48" authorId="0" shapeId="0" xr:uid="{00000000-0006-0000-0400-000010000000}">
      <text>
        <r>
          <rPr>
            <b/>
            <sz val="8"/>
            <color rgb="FF000000"/>
            <rFont val="Tahoma"/>
            <family val="2"/>
          </rPr>
          <t xml:space="preserve">
</t>
        </r>
        <r>
          <rPr>
            <b/>
            <sz val="8"/>
            <color rgb="FF000000"/>
            <rFont val="Tahoma"/>
            <family val="2"/>
          </rPr>
          <t>Local share is set using Tax Parameters set below.</t>
        </r>
        <r>
          <rPr>
            <sz val="8"/>
            <color rgb="FF000000"/>
            <rFont val="Tahoma"/>
            <family val="2"/>
          </rPr>
          <t xml:space="preserve">
</t>
        </r>
      </text>
    </comment>
    <comment ref="D52" authorId="0" shapeId="0" xr:uid="{00000000-0006-0000-0400-000011000000}">
      <text>
        <r>
          <rPr>
            <b/>
            <sz val="8"/>
            <color indexed="81"/>
            <rFont val="Tahoma"/>
            <family val="2"/>
          </rPr>
          <t xml:space="preserve">
For purposes of calculating this percentage, the Total Cost does not include costs for land easement if applicable.</t>
        </r>
      </text>
    </comment>
    <comment ref="E52" authorId="0" shapeId="0" xr:uid="{00000000-0006-0000-0400-000012000000}">
      <text>
        <r>
          <rPr>
            <b/>
            <sz val="8"/>
            <color indexed="81"/>
            <rFont val="Tahoma"/>
            <family val="2"/>
          </rPr>
          <t xml:space="preserve">
Local Share is the percentage of expenditure spent in the state or local region where the system is installed.</t>
        </r>
      </text>
    </comment>
    <comment ref="A53" authorId="0" shapeId="0" xr:uid="{00000000-0006-0000-0400-000013000000}">
      <text>
        <r>
          <rPr>
            <sz val="8"/>
            <color indexed="81"/>
            <rFont val="Tahoma"/>
            <family val="2"/>
          </rPr>
          <t xml:space="preserve">
</t>
        </r>
        <r>
          <rPr>
            <b/>
            <sz val="8"/>
            <color indexed="81"/>
            <rFont val="Tahoma"/>
            <family val="2"/>
          </rPr>
          <t>Labor Costs include employer paid costs such as wages, health benefits, workers compensation, disability insurance, and social security, among others.</t>
        </r>
        <r>
          <rPr>
            <sz val="8"/>
            <color indexed="81"/>
            <rFont val="Tahoma"/>
            <family val="2"/>
          </rPr>
          <t xml:space="preserve">
</t>
        </r>
      </text>
    </comment>
    <comment ref="E56" authorId="0" shapeId="0" xr:uid="{00000000-0006-0000-0400-000014000000}">
      <text>
        <r>
          <rPr>
            <b/>
            <sz val="8"/>
            <color indexed="81"/>
            <rFont val="Tahoma"/>
            <family val="2"/>
          </rPr>
          <t xml:space="preserve">
Purchased Locally is the percentage of expenditure spent in the state or local region where the system is installed.</t>
        </r>
      </text>
    </comment>
    <comment ref="A61" authorId="2" shapeId="0" xr:uid="{00000000-0006-0000-0400-000015000000}">
      <text>
        <r>
          <rPr>
            <b/>
            <sz val="8"/>
            <color rgb="FF000000"/>
            <rFont val="Tahoma"/>
            <family val="2"/>
          </rPr>
          <t xml:space="preserve">
</t>
        </r>
        <r>
          <rPr>
            <b/>
            <sz val="8"/>
            <color rgb="FF000000"/>
            <rFont val="Tahoma"/>
            <family val="2"/>
          </rPr>
          <t>Entry required if sales tax not to be automatically computed using sales tax rate entered in Tax Parameters below.</t>
        </r>
        <r>
          <rPr>
            <sz val="10"/>
            <color rgb="FF000000"/>
            <rFont val="Tahoma"/>
            <family val="2"/>
          </rPr>
          <t xml:space="preserve">
</t>
        </r>
      </text>
    </comment>
    <comment ref="E61" authorId="0" shapeId="0" xr:uid="{00000000-0006-0000-0400-000016000000}">
      <text>
        <r>
          <rPr>
            <sz val="8"/>
            <color indexed="81"/>
            <rFont val="Tahoma"/>
            <family val="2"/>
          </rPr>
          <t xml:space="preserve">
</t>
        </r>
        <r>
          <rPr>
            <b/>
            <sz val="8"/>
            <color indexed="81"/>
            <rFont val="Tahoma"/>
            <family val="2"/>
          </rPr>
          <t>Local share is set using Tax Parameters set below.</t>
        </r>
        <r>
          <rPr>
            <sz val="8"/>
            <color indexed="81"/>
            <rFont val="Tahoma"/>
            <family val="2"/>
          </rPr>
          <t xml:space="preserve">
</t>
        </r>
      </text>
    </comment>
    <comment ref="A62" authorId="0" shapeId="0" xr:uid="{00000000-0006-0000-0400-000017000000}">
      <text>
        <r>
          <rPr>
            <sz val="8"/>
            <color rgb="FF000000"/>
            <rFont val="Tahoma"/>
            <family val="2"/>
          </rPr>
          <t xml:space="preserve">
</t>
        </r>
        <r>
          <rPr>
            <b/>
            <sz val="8"/>
            <color rgb="FF000000"/>
            <rFont val="Tahoma"/>
            <family val="2"/>
          </rPr>
          <t>Annual Operations and Maintenance Cost does not include costs associated with debt or equity payments, land easement, or taxes.</t>
        </r>
        <r>
          <rPr>
            <sz val="8"/>
            <color rgb="FF000000"/>
            <rFont val="Tahoma"/>
            <family val="2"/>
          </rPr>
          <t xml:space="preserve">
</t>
        </r>
      </text>
    </comment>
    <comment ref="A67" authorId="0" shapeId="0" xr:uid="{00000000-0006-0000-0400-000018000000}">
      <text>
        <r>
          <rPr>
            <b/>
            <sz val="8"/>
            <color indexed="81"/>
            <rFont val="Tahoma"/>
            <family val="2"/>
          </rPr>
          <t xml:space="preserve">
Percentage financed is the share of project construction and installation cost financed through a loan.
</t>
        </r>
      </text>
    </comment>
    <comment ref="A71" authorId="0" shapeId="0" xr:uid="{00000000-0006-0000-0400-000019000000}">
      <text>
        <r>
          <rPr>
            <b/>
            <sz val="8"/>
            <color indexed="81"/>
            <rFont val="Tahoma"/>
            <family val="2"/>
          </rPr>
          <t xml:space="preserve">
The default Local Property Tax rate is 0%.  Due to the large variation in methods and rates used to derive local taxes property taxes are not included in the analysis unless data is entered by the user.  Users are encouraged to incorporate a local tax rate using the parameters in this model to calculate the amount or by entering the Local Property Taxes (dollars) if know, below. 
Please note: if entering a tax rate, the percentage should not include the property tax exemption if applicable, this is entered separately below.
</t>
        </r>
      </text>
    </comment>
    <comment ref="A75" authorId="0" shapeId="0" xr:uid="{00000000-0006-0000-0400-00001A000000}">
      <text>
        <r>
          <rPr>
            <sz val="8"/>
            <color indexed="81"/>
            <rFont val="Tahoma"/>
            <family val="2"/>
          </rPr>
          <t xml:space="preserve">
</t>
        </r>
        <r>
          <rPr>
            <b/>
            <sz val="8"/>
            <color indexed="81"/>
            <rFont val="Tahoma"/>
            <family val="2"/>
          </rPr>
          <t xml:space="preserve">Property Tax Exemptions (rates) incorporated in the model are based on information compiled in the Database of State Incentives for Renewables and Efficiency (DSIRE) by the N.C. Solar Center and the Interstate Renewable Energy Council in Jan. 2011. 
Additional information on state and local property and sales tax policies and incentives (including exemptions) is available online at http://www.dsire.org.
</t>
        </r>
      </text>
    </comment>
    <comment ref="A77" authorId="2" shapeId="0" xr:uid="{00000000-0006-0000-0400-00001B000000}">
      <text>
        <r>
          <rPr>
            <b/>
            <sz val="10"/>
            <color indexed="81"/>
            <rFont val="Tahoma"/>
            <family val="2"/>
          </rPr>
          <t xml:space="preserve"> </t>
        </r>
        <r>
          <rPr>
            <b/>
            <sz val="8"/>
            <color indexed="81"/>
            <rFont val="Tahoma"/>
            <family val="2"/>
          </rPr>
          <t xml:space="preserve">
Sales Tax is only on materials, supplies and equipment purchases.
The default state sales tax rates incorporated in the model were derived from data published by the State Sales Tax Clearinghouse available online at http://thestc.com/STrates.stm in Jan. 2011.</t>
        </r>
      </text>
    </comment>
    <comment ref="A78" authorId="0" shapeId="0" xr:uid="{00000000-0006-0000-0400-00001C000000}">
      <text>
        <r>
          <rPr>
            <b/>
            <sz val="8"/>
            <color indexed="81"/>
            <rFont val="Tahoma"/>
            <family val="2"/>
          </rPr>
          <t xml:space="preserve">
Sales Tax Exemptions (rates) incorporated in the model were based on information compiled in the Database of State Incentives for Renewables and Efficiency (DSIRE) by the N.C. Solar Center and the Interstate Renewable Energy Council. 
Additional information on state and local property and sales tax policies and incentives (including exemptions) is available online at http://www.dsire.org.</t>
        </r>
        <r>
          <rPr>
            <sz val="8"/>
            <color indexed="81"/>
            <rFont val="Tahoma"/>
            <family val="2"/>
          </rPr>
          <t xml:space="preserve">
</t>
        </r>
      </text>
    </comment>
    <comment ref="A80" authorId="0" shapeId="0" xr:uid="{00000000-0006-0000-0400-00001D000000}">
      <text>
        <r>
          <rPr>
            <b/>
            <sz val="8"/>
            <color indexed="81"/>
            <rFont val="Tahoma"/>
            <family val="2"/>
          </rPr>
          <t xml:space="preserve">Wage per hour is the average base wage only; it does not include employer payroll costs, which are automatically included in the impact analysis.
</t>
        </r>
        <r>
          <rPr>
            <b/>
            <sz val="8"/>
            <color indexed="10"/>
            <rFont val="Tahoma"/>
            <family val="2"/>
          </rPr>
          <t>**If revising wages per hour, please note: wage rates (entered in these cells) are associated with construction labor personnel costs (entered above) and employer payroll overhead (entered to the right).  Therefore, user changes to wage rates must be accompanied by changes in labor costs (and potentially employer payroll overhead costs) or changes will adversely impact (increase or decrease) the total number of construction workers reported (calculated) in the results.  See FAQ for related information.</t>
        </r>
        <r>
          <rPr>
            <b/>
            <sz val="8"/>
            <color indexed="81"/>
            <rFont val="Tahoma"/>
            <family val="2"/>
          </rPr>
          <t xml:space="preserve">
</t>
        </r>
      </text>
    </comment>
    <comment ref="D80" authorId="0" shapeId="0" xr:uid="{00000000-0006-0000-0400-00001E000000}">
      <text>
        <r>
          <rPr>
            <sz val="8"/>
            <color indexed="81"/>
            <rFont val="Tahoma"/>
            <family val="2"/>
          </rPr>
          <t xml:space="preserve">
</t>
        </r>
        <r>
          <rPr>
            <b/>
            <sz val="8"/>
            <color indexed="81"/>
            <rFont val="Tahoma"/>
            <family val="2"/>
          </rPr>
          <t xml:space="preserve">Employer payroll overhead refers to the additional percentage of wages employers spend to pay for employee health benefits, workers compensation, disability insurance, and social security, among others. 
</t>
        </r>
        <r>
          <rPr>
            <b/>
            <sz val="8"/>
            <color indexed="10"/>
            <rFont val="Tahoma"/>
            <family val="2"/>
          </rPr>
          <t>**If revising employer payroll overhead, please note: overhead rates (entered in these cells) are associated with construction labor personnel costs (entered above) and wages per hour (entered to the left).  Therefore, user changes to overhead rates must be accompanied by changes in labor costs and wages per hour or changes will adversely impact (increase or decrease) the total number of construction workers reported (calculated) in the results.  See FAQ for related information.</t>
        </r>
        <r>
          <rPr>
            <b/>
            <sz val="8"/>
            <color indexed="81"/>
            <rFont val="Tahoma"/>
            <family val="2"/>
          </rPr>
          <t xml:space="preserve">
</t>
        </r>
      </text>
    </comment>
    <comment ref="A82" authorId="0" shapeId="0" xr:uid="{00000000-0006-0000-0400-00001F000000}">
      <text>
        <r>
          <rPr>
            <b/>
            <sz val="8"/>
            <color indexed="81"/>
            <rFont val="Tahoma"/>
            <family val="2"/>
          </rPr>
          <t xml:space="preserve">Wage per hour is the average base wage only; it does not include employer payroll costs, which are automatically included in the impact analysis.
</t>
        </r>
        <r>
          <rPr>
            <b/>
            <sz val="8"/>
            <color indexed="10"/>
            <rFont val="Tahoma"/>
            <family val="2"/>
          </rPr>
          <t>**If revising wages per hour, please note: wage rates (entered in these cells) are associated with construction labor personnel costs (entered above) and employer payroll overhead (entered to the right).  Therefore, user changes to wage rates must be accompanied by changes in labor costs (and potentially employer payroll overhead costs) or changes will adversely impact (increase or decrease) the total number of construction workers reported (calculated) in the results.  See FAQ for related information.</t>
        </r>
        <r>
          <rPr>
            <b/>
            <sz val="8"/>
            <color indexed="81"/>
            <rFont val="Tahoma"/>
            <family val="2"/>
          </rPr>
          <t xml:space="preserve">
</t>
        </r>
      </text>
    </comment>
    <comment ref="D82" authorId="0" shapeId="0" xr:uid="{00000000-0006-0000-0400-000020000000}">
      <text>
        <r>
          <rPr>
            <sz val="8"/>
            <color indexed="81"/>
            <rFont val="Tahoma"/>
            <family val="2"/>
          </rPr>
          <t xml:space="preserve">
</t>
        </r>
        <r>
          <rPr>
            <b/>
            <sz val="8"/>
            <color indexed="81"/>
            <rFont val="Tahoma"/>
            <family val="2"/>
          </rPr>
          <t xml:space="preserve">Employer payroll overhead refers to the additional percentage of wages employers spend to pay for employee health benefits, workers compensation, disability insurance, and social security, among others. 
</t>
        </r>
        <r>
          <rPr>
            <b/>
            <sz val="8"/>
            <color indexed="10"/>
            <rFont val="Tahoma"/>
            <family val="2"/>
          </rPr>
          <t>**If revising employer payroll overhead, please note: overhead rates (entered in these cells) are associated with construction labor personnel costs (entered above) and wages per hour (entered to the left).  Therefore, user changes to overhead rates must be accompanied by changes in labor costs and wages per hour or changes will adversely impact (increase or decrease) the total number of construction workers reported (calculated) in the results.  See FAQ for related information.</t>
        </r>
        <r>
          <rPr>
            <b/>
            <sz val="8"/>
            <color indexed="81"/>
            <rFont val="Tahoma"/>
            <family val="2"/>
          </rPr>
          <t xml:space="preserve">
</t>
        </r>
      </text>
    </comment>
    <comment ref="Y82" authorId="0" shapeId="0" xr:uid="{00000000-0006-0000-0400-000021000000}">
      <text>
        <r>
          <rPr>
            <sz val="8"/>
            <color indexed="81"/>
            <rFont val="Tahoma"/>
            <family val="2"/>
          </rPr>
          <t xml:space="preserve">
</t>
        </r>
        <r>
          <rPr>
            <b/>
            <sz val="8"/>
            <color indexed="81"/>
            <rFont val="Tahoma"/>
            <family val="2"/>
          </rPr>
          <t>Wage per hour is the average base wage only; does not include employer payroll costs, which are automatically included in the impact analysis.</t>
        </r>
        <r>
          <rPr>
            <sz val="8"/>
            <color indexed="81"/>
            <rFont val="Tahoma"/>
            <family val="2"/>
          </rPr>
          <t xml:space="preserve">
</t>
        </r>
        <r>
          <rPr>
            <b/>
            <sz val="8"/>
            <color indexed="10"/>
            <rFont val="Tahoma"/>
            <family val="2"/>
          </rPr>
          <t xml:space="preserve">**If revising Wage rates, please note: Wage rates (entered in these cells) are associated with O&amp;M labor personnel costs (entered above).  Therefore, user changes to O&amp;M labor personnel costs and/or hourly labor rates and employer payroll costs will impact (increase or decrease) the total number of O&amp;M employees reported (calculated) in the results.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Marshall Goldberg</author>
    <author xml:space="preserve"> </author>
  </authors>
  <commentList>
    <comment ref="B10" authorId="0" shapeId="0" xr:uid="{00000000-0006-0000-0500-000001000000}">
      <text>
        <r>
          <rPr>
            <sz val="8"/>
            <color indexed="81"/>
            <rFont val="Tahoma"/>
            <family val="2"/>
          </rPr>
          <t xml:space="preserve">
</t>
        </r>
        <r>
          <rPr>
            <b/>
            <sz val="8"/>
            <color indexed="81"/>
            <rFont val="Tahoma"/>
            <family val="2"/>
          </rPr>
          <t>Total System Base Cost does not include sales tax if applicable.</t>
        </r>
        <r>
          <rPr>
            <sz val="8"/>
            <color indexed="81"/>
            <rFont val="Tahoma"/>
            <family val="2"/>
          </rPr>
          <t xml:space="preserve">
</t>
        </r>
      </text>
    </comment>
    <comment ref="B13" authorId="0" shapeId="0" xr:uid="{00000000-0006-0000-0500-000002000000}">
      <text>
        <r>
          <rPr>
            <sz val="8"/>
            <color indexed="81"/>
            <rFont val="Tahoma"/>
            <family val="2"/>
          </rPr>
          <t xml:space="preserve">
</t>
        </r>
        <r>
          <rPr>
            <b/>
            <sz val="8"/>
            <color indexed="81"/>
            <rFont val="Tahoma"/>
            <family val="2"/>
          </rPr>
          <t>Project Construction Cost includes sales tax if applicable.</t>
        </r>
        <r>
          <rPr>
            <sz val="8"/>
            <color indexed="81"/>
            <rFont val="Tahoma"/>
            <family val="2"/>
          </rPr>
          <t xml:space="preserve">
</t>
        </r>
      </text>
    </comment>
    <comment ref="B25" authorId="0" shapeId="0" xr:uid="{00000000-0006-0000-0500-000003000000}">
      <text>
        <r>
          <rPr>
            <b/>
            <sz val="8"/>
            <color indexed="81"/>
            <rFont val="Tahoma"/>
            <family val="2"/>
          </rPr>
          <t xml:space="preserve">
Jobs refers to full-time equivalent (FTE) employment for one year. (1 FTE = 2,080 hours)</t>
        </r>
      </text>
    </comment>
    <comment ref="C25" authorId="0" shapeId="0" xr:uid="{00000000-0006-0000-0500-000004000000}">
      <text>
        <r>
          <rPr>
            <b/>
            <sz val="8"/>
            <color indexed="81"/>
            <rFont val="Tahoma"/>
            <family val="2"/>
          </rPr>
          <t xml:space="preserve">
Earnings refers to wage and salary compensation paid to workers and benefits.</t>
        </r>
      </text>
    </comment>
    <comment ref="D25" authorId="0" shapeId="0" xr:uid="{00000000-0006-0000-0500-000005000000}">
      <text>
        <r>
          <rPr>
            <b/>
            <sz val="8"/>
            <color indexed="81"/>
            <rFont val="Tahoma"/>
            <family val="2"/>
          </rPr>
          <t xml:space="preserve">
Output refers to economic activity or the value of production in the state or local economy.</t>
        </r>
      </text>
    </comment>
    <comment ref="E25" authorId="0" shapeId="0" xr:uid="{00000000-0006-0000-0500-000006000000}">
      <text>
        <r>
          <rPr>
            <sz val="8"/>
            <color indexed="81"/>
            <rFont val="Tahoma"/>
            <family val="2"/>
          </rPr>
          <t xml:space="preserve">
</t>
        </r>
        <r>
          <rPr>
            <b/>
            <sz val="8"/>
            <color indexed="81"/>
            <rFont val="Tahoma"/>
            <family val="2"/>
          </rPr>
          <t xml:space="preserve">Value added is the difference between total gross output and the cost of intermediate inputs. It is comprised of payments made to workers (wages and salaries and benefits), proprietary income, other property type income (payments from interest, rents, royalties, dividends, and profits), indirect business taxes (excise and sales taxes paid by individuals to businesses, and taxes on production and imports less subsidies. </t>
        </r>
        <r>
          <rPr>
            <sz val="8"/>
            <color indexed="81"/>
            <rFont val="Tahoma"/>
            <family val="2"/>
          </rPr>
          <t xml:space="preserve">
</t>
        </r>
      </text>
    </comment>
    <comment ref="A27" authorId="0" shapeId="0" xr:uid="{00000000-0006-0000-0500-000007000000}">
      <text>
        <r>
          <rPr>
            <b/>
            <sz val="8"/>
            <color indexed="81"/>
            <rFont val="Tahoma"/>
            <family val="2"/>
          </rPr>
          <t xml:space="preserve">
Project Development and Onsite Labor Impacts refers to the changes that occur in the onsite construction and installation industries and project development related industries to which the direct final demand (i.e., spending on construction and installation labor and services) change is made .</t>
        </r>
      </text>
    </comment>
    <comment ref="A29" authorId="1" shapeId="0" xr:uid="{00000000-0006-0000-0500-000008000000}">
      <text>
        <r>
          <rPr>
            <b/>
            <sz val="8"/>
            <color rgb="FF000000"/>
            <rFont val="Tahoma"/>
            <family val="2"/>
          </rPr>
          <t xml:space="preserve">
</t>
        </r>
        <r>
          <rPr>
            <b/>
            <sz val="8"/>
            <color rgb="FF000000"/>
            <rFont val="Tahoma"/>
            <family val="2"/>
          </rPr>
          <t>Construction and Installation Related Services includes engineering, design, and other professional services, as well as admin. and services (e.g., sales, marketing, accounting, etc.) related to project development.</t>
        </r>
        <r>
          <rPr>
            <sz val="8"/>
            <color rgb="FF000000"/>
            <rFont val="Tahoma"/>
            <family val="2"/>
          </rPr>
          <t xml:space="preserve">
</t>
        </r>
      </text>
    </comment>
    <comment ref="A31" authorId="0" shapeId="0" xr:uid="{00000000-0006-0000-0500-000009000000}">
      <text>
        <r>
          <rPr>
            <b/>
            <sz val="8"/>
            <color indexed="81"/>
            <rFont val="Tahoma"/>
            <family val="2"/>
          </rPr>
          <t xml:space="preserve">
Module and Supply Chain Impacts refers to the changes in inter-industry purchases resulting from the direct final demand (i.e., construction, installation, and development spending on materials and PV equipment and other purchases of goods and offsite services) changes.</t>
        </r>
      </text>
    </comment>
    <comment ref="A39" authorId="0" shapeId="0" xr:uid="{00000000-0006-0000-0500-00000A000000}">
      <text>
        <r>
          <rPr>
            <b/>
            <sz val="8"/>
            <color indexed="81"/>
            <rFont val="Tahoma"/>
            <family val="2"/>
          </rPr>
          <t xml:space="preserve">
Induced Impacts refers to the changes  that occur in household spending as household income increases or decreases as a result of the direct and indirect effects from final demand  (i.e., purchases of goods and services) changes.</t>
        </r>
        <r>
          <rPr>
            <sz val="8"/>
            <color indexed="81"/>
            <rFont val="Tahoma"/>
            <family val="2"/>
          </rPr>
          <t xml:space="preserve">
</t>
        </r>
      </text>
    </comment>
    <comment ref="A45" authorId="1" shapeId="0" xr:uid="{00000000-0006-0000-0500-00000B000000}">
      <text>
        <r>
          <rPr>
            <b/>
            <sz val="8"/>
            <color indexed="81"/>
            <rFont val="Tahoma"/>
            <family val="2"/>
          </rPr>
          <t xml:space="preserve">
Onsite Labor Impacts refers to the final demand changes that occur in the onsite spending for PV workers (i.e., spending on field technicians, administration and management) .</t>
        </r>
        <r>
          <rPr>
            <sz val="8"/>
            <color indexed="81"/>
            <rFont val="Tahoma"/>
            <family val="2"/>
          </rPr>
          <t xml:space="preserve">
</t>
        </r>
      </text>
    </comment>
    <comment ref="A46" authorId="0" shapeId="0" xr:uid="{00000000-0006-0000-0500-00000C000000}">
      <text>
        <r>
          <rPr>
            <b/>
            <sz val="8"/>
            <color indexed="81"/>
            <rFont val="Tahoma"/>
            <family val="2"/>
          </rPr>
          <t xml:space="preserve">
PV Project Labor includes all spending on operations, maintenance, and other required services.</t>
        </r>
        <r>
          <rPr>
            <sz val="8"/>
            <color indexed="81"/>
            <rFont val="Tahoma"/>
            <family val="2"/>
          </rPr>
          <t xml:space="preserve">
</t>
        </r>
      </text>
    </comment>
    <comment ref="A47" authorId="1" shapeId="0" xr:uid="{00000000-0006-0000-0500-00000D000000}">
      <text>
        <r>
          <rPr>
            <b/>
            <sz val="8"/>
            <color indexed="81"/>
            <rFont val="Tahoma"/>
            <family val="2"/>
          </rPr>
          <t xml:space="preserve">
Local Revenue includes property and sales tax (if applicable) as well as any return on investment paid to local investors; Supply chain includes all purchases of materials and components, and all off-site labor for the PV project</t>
        </r>
        <r>
          <rPr>
            <sz val="8"/>
            <color indexed="81"/>
            <rFont val="Tahoma"/>
            <family val="2"/>
          </rPr>
          <t xml:space="preserve">
</t>
        </r>
      </text>
    </comment>
    <comment ref="A48" authorId="0" shapeId="0" xr:uid="{00000000-0006-0000-0500-00000E000000}">
      <text>
        <r>
          <rPr>
            <b/>
            <sz val="8"/>
            <color indexed="81"/>
            <rFont val="Tahoma"/>
            <family val="2"/>
          </rPr>
          <t xml:space="preserve">
Induced Impacts refers to the changes  that occur in household spending as household income increases or decreases as a result of the direct and indirect effects from final demand  (i.e., purchases of goods and services) changes.</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xml:space="preserve"> Marshall</author>
    <author>Marshall Goldberg</author>
  </authors>
  <commentList>
    <comment ref="B3" authorId="0" shapeId="0" xr:uid="{00000000-0006-0000-0600-000001000000}">
      <text>
        <r>
          <rPr>
            <b/>
            <sz val="10"/>
            <color indexed="81"/>
            <rFont val="Tahoma"/>
            <family val="2"/>
          </rPr>
          <t xml:space="preserve">
</t>
        </r>
        <r>
          <rPr>
            <b/>
            <sz val="8"/>
            <color indexed="81"/>
            <rFont val="Tahoma"/>
            <family val="2"/>
          </rPr>
          <t>To use MyCounty multipliers and PCE (once they are imported) name of county and year of data (cell to the right) must be entered.</t>
        </r>
      </text>
    </comment>
    <comment ref="B4" authorId="1" shapeId="0" xr:uid="{00000000-0006-0000-0600-000002000000}">
      <text>
        <r>
          <rPr>
            <b/>
            <sz val="8"/>
            <color indexed="81"/>
            <rFont val="Tahoma"/>
            <family val="2"/>
          </rPr>
          <t xml:space="preserve">
To use MyRegion multipliers and PCE (once they are imported) name of region and year of data (cell to the right) must be entered.</t>
        </r>
      </text>
    </comment>
    <comment ref="C9" authorId="1" shapeId="0" xr:uid="{00000000-0006-0000-0600-000003000000}">
      <text>
        <r>
          <rPr>
            <b/>
            <sz val="8"/>
            <color indexed="81"/>
            <rFont val="Tahoma"/>
            <family val="2"/>
          </rPr>
          <t xml:space="preserve">
Personal Consumption Expenditures are entered as decimals (e.g., 10% is entered as .10) with the sum of all industries being 1.00)</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Marshall Goldberg</author>
  </authors>
  <commentList>
    <comment ref="J21" authorId="0" shapeId="0" xr:uid="{00000000-0006-0000-0800-000001000000}">
      <text>
        <r>
          <rPr>
            <sz val="8"/>
            <color indexed="81"/>
            <rFont val="Tahoma"/>
            <family val="2"/>
          </rPr>
          <t xml:space="preserve">Payroll expense refers to other employee related costs such as the cost of health benefits, disability insurance, workers compensation, social security and other similar costs incurred by the employer.
</t>
        </r>
      </text>
    </comment>
  </commentList>
</comments>
</file>

<file path=xl/sharedStrings.xml><?xml version="1.0" encoding="utf-8"?>
<sst xmlns="http://schemas.openxmlformats.org/spreadsheetml/2006/main" count="2771" uniqueCount="607">
  <si>
    <t>Revisions made in model since sending initial draft to Enoch.</t>
  </si>
  <si>
    <t>Calculations worksheet, cell H143: formula revised.</t>
  </si>
  <si>
    <t>ProjectData worksheet, cells Q797 to Y810, added section on Regions - states included in each region.  This is currently not referenced in model but probably will be used a some time for reference.</t>
  </si>
  <si>
    <t>ProjectData worksheet, cells O809-O816, added region names to state list (this is referenced in th Project location control box drop down list in cell B12.</t>
  </si>
  <si>
    <t>FAQ worksheet, cell A31, revised/corrected the spelling of the word "consumption."</t>
  </si>
  <si>
    <t>ProjectData worksheet, cells P750 and T749, revised/corrected spelling of word "silicon."</t>
  </si>
  <si>
    <t>ProjectData worksheet, cells X753 and X754, revised formula.</t>
  </si>
  <si>
    <t>ProjectData worksheet, cell X757, revise formula.</t>
  </si>
  <si>
    <t>Multipliers worksheet, after column AR (Pennsylvania), add in 8 additional columns for region name and data.</t>
  </si>
  <si>
    <t>Household Exp worksheet, after column AQ (Pennsylvania) add in 8 columns for Region names and data.</t>
  </si>
  <si>
    <t>Calculation worksheet, cell L145, revised formula.</t>
  </si>
  <si>
    <t>DefaultData worksheet, cells AM66-AM68 (California), revised values (property tax exemptions) to 100%.</t>
  </si>
  <si>
    <t>Revisions made in model since sending second draft to Enoch.</t>
  </si>
  <si>
    <t>User Add-in location worksheet inserted complete list of industry sectors (names) into each multiplier type (direct, indirect and induced or jobs, earnings, and output)</t>
  </si>
  <si>
    <t>DefaultData cell D32 inserted formula</t>
  </si>
  <si>
    <t>SummaryResults moved formula in cell C1 to D2</t>
  </si>
  <si>
    <t>SummaryResults inserted formulas in cells AD40, AD41, and AD42</t>
  </si>
  <si>
    <t>SummaryResults cell A1 inserted formula</t>
  </si>
  <si>
    <t>SummaryResults deleted formula in cell BC1</t>
  </si>
  <si>
    <t>SummaryResults inserted formula in cell BA1</t>
  </si>
  <si>
    <t>SummaryResults inserted formula in cell BG1</t>
  </si>
  <si>
    <t>ProjectData cell A12 revised comment.</t>
  </si>
  <si>
    <t>FAQ, revised the answer to question on line 30.</t>
  </si>
  <si>
    <t>FAQ, inserted a new question (line 59 - before final question) and 8 additional lines for answer (states in defined regions).</t>
  </si>
  <si>
    <t>User Add-in location worksheet cells C6 and C7, revised wording in formulas.</t>
  </si>
  <si>
    <t>Revisions made in model since sending third draft (4 25 11) to Enoch.</t>
  </si>
  <si>
    <t>ProjectData worksheet, revised formula in cell T48.</t>
  </si>
  <si>
    <t>ProjectData worksheet, blued out cell E48 and locked cell (no longer accepts editting/revision). Also added comment to cell.</t>
  </si>
  <si>
    <t>ProjectData worksheet, revised macro for "Restore Default Values", no longer restores cell E48 with AB48 (this cut and paste function was deleted)</t>
  </si>
  <si>
    <t>Calculations worksheet, revised formulas in E152, E160, and G15</t>
  </si>
  <si>
    <t xml:space="preserve">Deflator worksheet, inserted (revised) new deflator data, text note below table and table below note (cells B11..AL43).  These updated and expanded deflators have the same format, although more years are added, with a new source and new data in the ref. table below source. </t>
  </si>
  <si>
    <t>Deflator worksheet, revised formulas in cells E7 and E8.</t>
  </si>
  <si>
    <t>ProjectData worksheet, revised text in A26…A28.</t>
  </si>
  <si>
    <t>ProjectData worksheet, added conditional formating related to cell B26 (Y or N - using default values in analysis). Default data/costs are greyed out if Y is chosen, available for viewing and editting if N is choosen.  To do this I saved the file in Excel 2007 version instead of the previous 2003.</t>
  </si>
  <si>
    <t>Revisions made in model since sending fourth draft (Draft JEDI…..5 25 11) to Enoch.</t>
  </si>
  <si>
    <t>DefaultData worksheet, delete data in cells BE:2:BD8.</t>
  </si>
  <si>
    <t>DefaultData worksheet, delete data in cells BH:14:BW16.</t>
  </si>
  <si>
    <t>DefaultData worksheet, delete data in cells AH16:BG16</t>
  </si>
  <si>
    <t>DefaultData worksheet, delete data in cells AH11:AH13.</t>
  </si>
  <si>
    <t>DefaultData worksheet, delete data in cell AH33.</t>
  </si>
  <si>
    <t>DefaultData worksheet, insert new values in cells AE51:CI54.</t>
  </si>
  <si>
    <t>DefaultData worksheet, revise formulas in cells AI59, AI61, and AI62.</t>
  </si>
  <si>
    <t>DefaultData worksheet, insert new values in cells AJ14:BF43</t>
  </si>
  <si>
    <t>ProjectData worksheet, insert comment in cell A24.</t>
  </si>
  <si>
    <t>ProjectData worksheet, insert and/or revise comments in cells A18, A22, A23, A31, E31, A71, A75, A77, A78..</t>
  </si>
  <si>
    <t>ProjectData worksheet, revise formulas in cells C26, B22, X753.</t>
  </si>
  <si>
    <t>ProjectData worksheet, insert new value in cell B24.</t>
  </si>
  <si>
    <t>Calculations worksheet, revise formula in cell E27.</t>
  </si>
  <si>
    <t>SummaryResults worksheet, format (center) cell C2.</t>
  </si>
  <si>
    <t>SummaryResults worksheet, revise formula in cell AD42.</t>
  </si>
  <si>
    <t>SummaryResults worksheet, delete cells AD40 and AD41.</t>
  </si>
  <si>
    <t>User Add-in Location worksheet, insert comment in cell C9.</t>
  </si>
  <si>
    <t>FAQ worksheet, revise answer to security settings question, cells C14:C17.</t>
  </si>
  <si>
    <t>Revisions made in model since sending fifth draft (Draft JEDI…..6 28 11) to Enoch.</t>
  </si>
  <si>
    <t>DefaultData worksheet, insert new values in cells C52, C53, and C54.</t>
  </si>
  <si>
    <t>ProjectData worksheet, insert text in cells B82 and D82.</t>
  </si>
  <si>
    <t>ProjectData worksheet, format cells B71:B73 to 1 decimal place.</t>
  </si>
  <si>
    <t>ProjectData worksheet, delete cell T37</t>
  </si>
  <si>
    <t>Calculations worksheet, insert new formulas (used to be values only) in cells H7:H10.</t>
  </si>
  <si>
    <t>Calculations worksheet, insert new formulas in cells I7:I10.</t>
  </si>
  <si>
    <t>FAQ worksheet, insert an additional question and answer in cells A70:A77.</t>
  </si>
  <si>
    <t>Revisions made in model since sending sixth draft (Draft JEDI…..7 5 11) to Enoch.</t>
  </si>
  <si>
    <t>DefaultData worksheet, delete data in cells CR50:CV59.</t>
  </si>
  <si>
    <t>DefaultData worksheet, insert 8 columns after Pennsylvania (BW50) - move Rhode Island to Wyoming (names and data below down to row 76, then add location names (for Regions 1-8) and data into columns (BX50:CE76) in lookup area.</t>
  </si>
  <si>
    <t>DefaultData worksheet, insert new formulas in cells AI61, AI69, AI72, and AI77 (these reference the expanded lookup area).</t>
  </si>
  <si>
    <t>Revisions made in model since sending seventh draft (Draft JEDI…..7 7 11) to Enoch.</t>
  </si>
  <si>
    <t>User Add-in Location worksheet, revise formula in E3 and E4.</t>
  </si>
  <si>
    <t>Calculations worksheet, revise format in cell H27.</t>
  </si>
  <si>
    <t>Calculations worksheet, revise formula in cell E27 and replace value in E29 with formula.</t>
  </si>
  <si>
    <t>Calculations worksheet, insert additional sectors, revise formulas in whole section AG37:AJ57.</t>
  </si>
  <si>
    <t>ProjectData worksheet, revise comment in A45.</t>
  </si>
  <si>
    <t>FAQ worksheet, insert an additional question and answer in cells A79:A83.</t>
  </si>
  <si>
    <t>SummaryResults worksheet, insert additional sectors, revise formulas in whole section A27:D40 and BA27:BD40.</t>
  </si>
  <si>
    <t>New Revisions</t>
  </si>
  <si>
    <t>Calculations worksheet, revise value in cell H71</t>
  </si>
  <si>
    <t>Calculations worksheet, revise values in cells AJ43 and AJ44</t>
  </si>
  <si>
    <t>DefaultData worksheet, revise formula in cell AI73</t>
  </si>
  <si>
    <t>DefaultData worksheet, revise values in cells AJ14:BF32</t>
  </si>
  <si>
    <t>DefaultData worksheet, revise values in cells AI51:CQ54</t>
  </si>
  <si>
    <t>DefaultData worksheet, delete text/values in cells CR50:CV59</t>
  </si>
  <si>
    <t>DefaultData worksheet, revise formula in cell AI59</t>
  </si>
  <si>
    <t>DefaultData worksheet, revise text in cells AH53:AH54</t>
  </si>
  <si>
    <t>ProjectData worksheet, add comment to cell A43</t>
  </si>
  <si>
    <t>ProjectData worksheet, added values (for years list) in cells N755-N776</t>
  </si>
  <si>
    <t>New Revisions 12/23/16</t>
  </si>
  <si>
    <t>Multipliers worksheet, all values for states (direct, indirect and induced) through row 302 updated to 2014 values.</t>
  </si>
  <si>
    <t>Household Exp worksheet, all values updated to 2014</t>
  </si>
  <si>
    <t>Deflators all values updated C11:AL39, added 10 rows at row 30,updated values B12:AL39, updates source B43:B45, updated C51:C52, added M51:Q53.</t>
  </si>
  <si>
    <t>JEDI - PHOTOVOLTAICS</t>
  </si>
  <si>
    <t>Jobs and Economic Development Impact Model (JEDI)</t>
  </si>
  <si>
    <t>Release Number: PV05.20.21</t>
  </si>
  <si>
    <t>Frequently Asked Questions (FAQ)</t>
  </si>
  <si>
    <t>Jobs and Economic Development Impact Model</t>
  </si>
  <si>
    <t>Photovoltaic Project Data</t>
  </si>
  <si>
    <t>Please read instructions before getting started</t>
  </si>
  <si>
    <t xml:space="preserve">INSTRUCTIONS:   </t>
  </si>
  <si>
    <r>
      <t xml:space="preserve">1. Begin by entering </t>
    </r>
    <r>
      <rPr>
        <b/>
        <i/>
        <sz val="10"/>
        <rFont val="Arial"/>
        <family val="2"/>
      </rPr>
      <t>Project Location</t>
    </r>
    <r>
      <rPr>
        <b/>
        <sz val="10"/>
        <rFont val="Arial"/>
        <family val="2"/>
      </rPr>
      <t xml:space="preserve"> (from pull-down list) and other </t>
    </r>
    <r>
      <rPr>
        <b/>
        <i/>
        <sz val="10"/>
        <rFont val="Arial"/>
        <family val="2"/>
      </rPr>
      <t>Project</t>
    </r>
    <r>
      <rPr>
        <b/>
        <sz val="10"/>
        <rFont val="Arial"/>
        <family val="2"/>
      </rPr>
      <t xml:space="preserve"> </t>
    </r>
    <r>
      <rPr>
        <b/>
        <i/>
        <sz val="10"/>
        <rFont val="Arial"/>
        <family val="2"/>
      </rPr>
      <t>Descriptive Data</t>
    </r>
    <r>
      <rPr>
        <b/>
        <sz val="10"/>
        <rFont val="Arial"/>
        <family val="2"/>
      </rPr>
      <t xml:space="preserve"> relevant to your particular project.  After inputting Descriptive Data press enter (or cursor to the next cell) to continue.</t>
    </r>
  </si>
  <si>
    <r>
      <t xml:space="preserve">2. Once </t>
    </r>
    <r>
      <rPr>
        <b/>
        <i/>
        <sz val="10"/>
        <rFont val="Arial"/>
        <family val="2"/>
      </rPr>
      <t>Descriptive Data</t>
    </r>
    <r>
      <rPr>
        <b/>
        <sz val="10"/>
        <rFont val="Arial"/>
        <family val="2"/>
      </rPr>
      <t xml:space="preserve"> is complete, you may choose to utilize the detailed model default values for </t>
    </r>
    <r>
      <rPr>
        <b/>
        <i/>
        <sz val="10"/>
        <rFont val="Arial"/>
        <family val="2"/>
      </rPr>
      <t>Project Cost</t>
    </r>
    <r>
      <rPr>
        <b/>
        <sz val="10"/>
        <rFont val="Arial"/>
        <family val="2"/>
      </rPr>
      <t xml:space="preserve"> (based on your </t>
    </r>
    <r>
      <rPr>
        <b/>
        <i/>
        <sz val="10"/>
        <rFont val="Arial"/>
        <family val="2"/>
      </rPr>
      <t>Descriptive</t>
    </r>
    <r>
      <rPr>
        <b/>
        <i/>
        <sz val="10"/>
        <color indexed="10"/>
        <rFont val="Arial"/>
        <family val="2"/>
      </rPr>
      <t xml:space="preserve"> </t>
    </r>
    <r>
      <rPr>
        <b/>
        <i/>
        <sz val="10"/>
        <rFont val="Arial"/>
        <family val="2"/>
      </rPr>
      <t>Data)</t>
    </r>
    <r>
      <rPr>
        <b/>
        <sz val="10"/>
        <rFont val="Arial"/>
        <family val="2"/>
      </rPr>
      <t xml:space="preserve"> by choosing "Y" on line 26 OR you may choose to use your own values entered (modified) under </t>
    </r>
    <r>
      <rPr>
        <b/>
        <i/>
        <sz val="10"/>
        <rFont val="Arial"/>
        <family val="2"/>
      </rPr>
      <t>Project Cost Data by choosing "</t>
    </r>
    <r>
      <rPr>
        <b/>
        <sz val="10"/>
        <rFont val="Arial"/>
        <family val="2"/>
      </rPr>
      <t xml:space="preserve">N" on line 26.  Choose "Y" to accept </t>
    </r>
    <r>
      <rPr>
        <b/>
        <i/>
        <sz val="10"/>
        <rFont val="Arial"/>
        <family val="2"/>
      </rPr>
      <t>Project Cost</t>
    </r>
    <r>
      <rPr>
        <b/>
        <sz val="10"/>
        <rFont val="Arial"/>
        <family val="2"/>
      </rPr>
      <t xml:space="preserve"> default values or "N" to over-ride </t>
    </r>
    <r>
      <rPr>
        <b/>
        <i/>
        <sz val="10"/>
        <rFont val="Arial"/>
        <family val="2"/>
      </rPr>
      <t>Project Cost</t>
    </r>
    <r>
      <rPr>
        <b/>
        <sz val="10"/>
        <rFont val="Arial"/>
        <family val="2"/>
      </rPr>
      <t xml:space="preserve"> default values and use your own inputs.</t>
    </r>
  </si>
  <si>
    <t>3. Press 'Go To Summary Impacts' Button</t>
  </si>
  <si>
    <t>NOTES:     Additional information is available by pointing to the red triangles located in cell corners. Only those cells with a white background can accept new values.</t>
  </si>
  <si>
    <t>Project Descriptive Data</t>
  </si>
  <si>
    <t xml:space="preserve">  Project Location</t>
  </si>
  <si>
    <t xml:space="preserve">ARIZONA </t>
  </si>
  <si>
    <t xml:space="preserve">  Population (only required for County/Region analysis)</t>
  </si>
  <si>
    <t xml:space="preserve">  Year of Construction or Installation</t>
  </si>
  <si>
    <t xml:space="preserve">  System Application</t>
  </si>
  <si>
    <t>Residential</t>
  </si>
  <si>
    <t xml:space="preserve">  Solar Cell/Module Material</t>
  </si>
  <si>
    <t>Crystalline Silicon</t>
  </si>
  <si>
    <t xml:space="preserve">  System Tracking (Utility - Defaults always assume fixed mount for commercial and residential)</t>
  </si>
  <si>
    <t>Fixed Mount</t>
  </si>
  <si>
    <t xml:space="preserve">  Average System Size - DC Nameplate Capacity (kW)</t>
  </si>
  <si>
    <t xml:space="preserve">  Number of Systems Installed</t>
  </si>
  <si>
    <t xml:space="preserve">  Total Project Size - DC Nameplate Capacity (kW)</t>
  </si>
  <si>
    <r>
      <t xml:space="preserve">  Base Installed System Cost  ($/kW</t>
    </r>
    <r>
      <rPr>
        <b/>
        <vertAlign val="subscript"/>
        <sz val="10"/>
        <rFont val="Arial"/>
        <family val="2"/>
      </rPr>
      <t>DC</t>
    </r>
    <r>
      <rPr>
        <b/>
        <sz val="10"/>
        <rFont val="Arial"/>
        <family val="2"/>
      </rPr>
      <t>)</t>
    </r>
  </si>
  <si>
    <t>Y</t>
  </si>
  <si>
    <t xml:space="preserve">  Annual Direct Operations and Maintenance Cost ($/kW)</t>
  </si>
  <si>
    <t>N</t>
  </si>
  <si>
    <t xml:space="preserve">  Money Value (Dollar Year) </t>
  </si>
  <si>
    <r>
      <t xml:space="preserve">Utilize </t>
    </r>
    <r>
      <rPr>
        <b/>
        <i/>
        <sz val="10"/>
        <rFont val="Arial"/>
        <family val="2"/>
      </rPr>
      <t>Project Cost Data</t>
    </r>
    <r>
      <rPr>
        <b/>
        <sz val="10"/>
        <rFont val="Arial"/>
        <family val="2"/>
      </rPr>
      <t xml:space="preserve"> default values? Choose "Y" to accept model default values or "N" to view the default values and utilize new user defined values (entered below).</t>
    </r>
  </si>
  <si>
    <r>
      <t xml:space="preserve">If desired, default values (in cells below - based on </t>
    </r>
    <r>
      <rPr>
        <b/>
        <i/>
        <sz val="10"/>
        <rFont val="Arial"/>
        <family val="2"/>
      </rPr>
      <t>Project Descriptive Data</t>
    </r>
    <r>
      <rPr>
        <b/>
        <sz val="10"/>
        <rFont val="Arial"/>
        <family val="2"/>
      </rPr>
      <t xml:space="preserve"> entered above) may be restored by pressing the 'Restore Default Values' button.  </t>
    </r>
    <r>
      <rPr>
        <b/>
        <i/>
        <sz val="9"/>
        <rFont val="Arial"/>
        <family val="2"/>
      </rPr>
      <t>Note: it is not necessary to restore defaults to incorporate default Project Cost Data in system analysis (simply enter a "Y" in cell B26 above).</t>
    </r>
    <r>
      <rPr>
        <b/>
        <sz val="10"/>
        <rFont val="Arial"/>
        <family val="2"/>
      </rPr>
      <t xml:space="preserve">  </t>
    </r>
  </si>
  <si>
    <t>Project Cost Data</t>
  </si>
  <si>
    <t>Cost</t>
  </si>
  <si>
    <t xml:space="preserve">Cost </t>
  </si>
  <si>
    <t>Percent of</t>
  </si>
  <si>
    <t>Purchased</t>
  </si>
  <si>
    <t>Manufactured</t>
  </si>
  <si>
    <t>Per kW</t>
  </si>
  <si>
    <t>Total Cost</t>
  </si>
  <si>
    <t>Locally (%)</t>
  </si>
  <si>
    <t>Locally (Y or N)</t>
  </si>
  <si>
    <t>Subtotal</t>
  </si>
  <si>
    <t>Sales Tax (Materials &amp; Equipment Purchases)</t>
  </si>
  <si>
    <t>Total</t>
  </si>
  <si>
    <t>Local</t>
  </si>
  <si>
    <t>Share (%)</t>
  </si>
  <si>
    <t>Local Share</t>
  </si>
  <si>
    <t xml:space="preserve">  Property Tax Exemption (percent of local taxes)</t>
  </si>
  <si>
    <t xml:space="preserve">  Local Property Taxes</t>
  </si>
  <si>
    <t xml:space="preserve">  Local Sales Tax Rate</t>
  </si>
  <si>
    <t xml:space="preserve">  Sales Tax Exemption (percent of local taxes)</t>
  </si>
  <si>
    <t>Payroll Parameters</t>
  </si>
  <si>
    <t xml:space="preserve">  Construction and Installation Labor</t>
  </si>
  <si>
    <t>Wage per hour</t>
  </si>
  <si>
    <t>Employer Payroll Overhead</t>
  </si>
  <si>
    <t xml:space="preserve">  Construction Workers / Installers</t>
  </si>
  <si>
    <t xml:space="preserve">  O &amp; M Labor</t>
  </si>
  <si>
    <t xml:space="preserve">  Technicians</t>
  </si>
  <si>
    <t>Residential New Construction</t>
  </si>
  <si>
    <t>Large Commercial</t>
  </si>
  <si>
    <t>Residential Retrofit</t>
  </si>
  <si>
    <t>Small Commercial</t>
  </si>
  <si>
    <t>Utility</t>
  </si>
  <si>
    <t>LC</t>
  </si>
  <si>
    <t>RN</t>
  </si>
  <si>
    <t>RR</t>
  </si>
  <si>
    <t>SC</t>
  </si>
  <si>
    <t>UT</t>
  </si>
  <si>
    <t>Commercial</t>
  </si>
  <si>
    <t>Thin Film</t>
  </si>
  <si>
    <t>CS</t>
  </si>
  <si>
    <t>TF</t>
  </si>
  <si>
    <t>Single Axis</t>
  </si>
  <si>
    <t>Years</t>
  </si>
  <si>
    <t>Double Axis</t>
  </si>
  <si>
    <t>FM</t>
  </si>
  <si>
    <t>SA</t>
  </si>
  <si>
    <t>DA</t>
  </si>
  <si>
    <t>ALABAMA</t>
  </si>
  <si>
    <t>ALASKA</t>
  </si>
  <si>
    <t>ARKANSAS</t>
  </si>
  <si>
    <t xml:space="preserve">CALIFORNIA </t>
  </si>
  <si>
    <t xml:space="preserve">COLORADO </t>
  </si>
  <si>
    <t>CONNECTICUT</t>
  </si>
  <si>
    <t>DELAWARE</t>
  </si>
  <si>
    <t>DISTRICT OF COLUMBIA</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</si>
  <si>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</si>
  <si>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</si>
  <si>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</si>
  <si>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</si>
  <si>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</si>
  <si>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</si>
  <si>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</si>
  <si>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</si>
  <si>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</si>
  <si>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</si>
  <si>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</si>
  <si>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</si>
  <si>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</si>
  <si>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</si>
  <si>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</si>
  <si>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</si>
  <si>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</si>
  <si>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</si>
  <si>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</si>
  <si>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</si>
  <si>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</si>
  <si>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</si>
  <si>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</si>
  <si>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</si>
  <si>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</si>
  <si>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</si>
  <si>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</si>
  <si>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</si>
  <si>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</si>
  <si>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</si>
  <si>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</si>
  <si>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REGION1</t>
  </si>
  <si>
    <t>REGION2</t>
  </si>
  <si>
    <t>REGION3</t>
  </si>
  <si>
    <t>REGION4</t>
  </si>
  <si>
    <t>REGION5</t>
  </si>
  <si>
    <t>REGION6</t>
  </si>
  <si>
    <t>REGION7</t>
  </si>
  <si>
    <t>REGION8</t>
  </si>
  <si>
    <t>SOUTH CAROLINA</t>
  </si>
  <si>
    <t>Connecticut</t>
  </si>
  <si>
    <t>Delaware</t>
  </si>
  <si>
    <t>District of Columbia</t>
  </si>
  <si>
    <t>Alabama</t>
  </si>
  <si>
    <t>Illinois</t>
  </si>
  <si>
    <t>Arkansas</t>
  </si>
  <si>
    <t>Alaska</t>
  </si>
  <si>
    <t>California</t>
  </si>
  <si>
    <t>SOUTH DAKOTA</t>
  </si>
  <si>
    <t>Maine</t>
  </si>
  <si>
    <t>New Jersy</t>
  </si>
  <si>
    <t>Maryland</t>
  </si>
  <si>
    <t>Florida</t>
  </si>
  <si>
    <t>Indiana</t>
  </si>
  <si>
    <t>Louisiana</t>
  </si>
  <si>
    <t>Arizona</t>
  </si>
  <si>
    <t>Hawaii</t>
  </si>
  <si>
    <t>TENNESSEE</t>
  </si>
  <si>
    <t>Massachusetts</t>
  </si>
  <si>
    <t>Pennsylvania</t>
  </si>
  <si>
    <t>North Carolina</t>
  </si>
  <si>
    <t>Georgia</t>
  </si>
  <si>
    <t>Iowa</t>
  </si>
  <si>
    <t>Missouri</t>
  </si>
  <si>
    <t>Colorado</t>
  </si>
  <si>
    <t>TEXAS</t>
  </si>
  <si>
    <t>New Hampshire</t>
  </si>
  <si>
    <t>West Virginia</t>
  </si>
  <si>
    <t>Virginia</t>
  </si>
  <si>
    <t>Kentucky</t>
  </si>
  <si>
    <t>Michigan</t>
  </si>
  <si>
    <t>New Mexico</t>
  </si>
  <si>
    <t>Idaho</t>
  </si>
  <si>
    <t>UNITED STATES</t>
  </si>
  <si>
    <t>New York</t>
  </si>
  <si>
    <t>Mississippi</t>
  </si>
  <si>
    <t>Minnesota</t>
  </si>
  <si>
    <t>Oklahoma</t>
  </si>
  <si>
    <t>Kansas</t>
  </si>
  <si>
    <t>UTAH</t>
  </si>
  <si>
    <t>Rhode Island</t>
  </si>
  <si>
    <t>Tenessee</t>
  </si>
  <si>
    <t>Ohio</t>
  </si>
  <si>
    <t>Texan</t>
  </si>
  <si>
    <t>Montana</t>
  </si>
  <si>
    <t>VERMONT</t>
  </si>
  <si>
    <t>Vermont</t>
  </si>
  <si>
    <t>Wisconsin</t>
  </si>
  <si>
    <t>Nebraska</t>
  </si>
  <si>
    <t xml:space="preserve">VIRGINIA </t>
  </si>
  <si>
    <t>Nevada</t>
  </si>
  <si>
    <t>WASHINGTON</t>
  </si>
  <si>
    <t>North Dakota</t>
  </si>
  <si>
    <t>WEST VIRGINIA</t>
  </si>
  <si>
    <t>Oregon</t>
  </si>
  <si>
    <t>WISCONSIN</t>
  </si>
  <si>
    <t>South Dakota</t>
  </si>
  <si>
    <t>WYOMING</t>
  </si>
  <si>
    <t>Utah</t>
  </si>
  <si>
    <t>Washington</t>
  </si>
  <si>
    <t>Project Location</t>
  </si>
  <si>
    <t>Year of Construction or Installation</t>
  </si>
  <si>
    <t>Average System Size - DC Nameplate Capacity (KW)</t>
  </si>
  <si>
    <t>Number of Systems Installed</t>
  </si>
  <si>
    <t xml:space="preserve">  System Type</t>
  </si>
  <si>
    <t>Project Size - DC Nameplate Capacity (KW)</t>
  </si>
  <si>
    <t>Total Project Size - DC Nameplate Capacity (KW)</t>
  </si>
  <si>
    <t>System Application</t>
  </si>
  <si>
    <t>Solar Cell/Module Material</t>
  </si>
  <si>
    <t>System Tracking</t>
  </si>
  <si>
    <r>
      <t>Total System Base Cost ($/KW</t>
    </r>
    <r>
      <rPr>
        <vertAlign val="subscript"/>
        <sz val="10"/>
        <rFont val="Arial"/>
        <family val="2"/>
      </rPr>
      <t>DC</t>
    </r>
    <r>
      <rPr>
        <sz val="10"/>
        <rFont val="Arial"/>
        <family val="2"/>
      </rPr>
      <t>)</t>
    </r>
  </si>
  <si>
    <r>
      <t>Base Installed System Cost ($/KW</t>
    </r>
    <r>
      <rPr>
        <vertAlign val="subscript"/>
        <sz val="10"/>
        <rFont val="Arial"/>
        <family val="2"/>
      </rPr>
      <t>DC</t>
    </r>
    <r>
      <rPr>
        <sz val="10"/>
        <rFont val="Arial"/>
        <family val="2"/>
      </rPr>
      <t>)</t>
    </r>
  </si>
  <si>
    <t xml:space="preserve">  Total Project Size - DC Nameplate Capacity (KW)</t>
  </si>
  <si>
    <t>Annual Direct Operations and Maintenance Cost ($/kW)</t>
  </si>
  <si>
    <r>
      <t xml:space="preserve">  Base Installed System Cost  ($/KW</t>
    </r>
    <r>
      <rPr>
        <vertAlign val="subscript"/>
        <sz val="10"/>
        <rFont val="Arial"/>
        <family val="2"/>
      </rPr>
      <t>DC</t>
    </r>
    <r>
      <rPr>
        <sz val="10"/>
        <rFont val="Arial"/>
        <family val="2"/>
      </rPr>
      <t>)</t>
    </r>
  </si>
  <si>
    <t xml:space="preserve">Money Value - Current or Constant (Dollar Year) </t>
  </si>
  <si>
    <t>Project Construction or Installation Cost</t>
  </si>
  <si>
    <t xml:space="preserve">  Money Value - Current or Constant (Dollar Year) </t>
  </si>
  <si>
    <t xml:space="preserve">  Local Spending</t>
  </si>
  <si>
    <t>Total Annual Operational Expenses</t>
  </si>
  <si>
    <t xml:space="preserve">  Direct Operating and Maintenance Costs</t>
  </si>
  <si>
    <t xml:space="preserve">    Local Spending</t>
  </si>
  <si>
    <t xml:space="preserve">  Other Annual Costs</t>
  </si>
  <si>
    <t xml:space="preserve">      Debt Payments </t>
  </si>
  <si>
    <t xml:space="preserve">      Property Taxes</t>
  </si>
  <si>
    <t>Local Economic Impacts - Summary Results</t>
  </si>
  <si>
    <t>Jobs</t>
  </si>
  <si>
    <t>Earnings</t>
  </si>
  <si>
    <t>Output</t>
  </si>
  <si>
    <t>Value Added</t>
  </si>
  <si>
    <t>During construction and installation period</t>
  </si>
  <si>
    <t xml:space="preserve">   Project Development and Onsite Labor Impacts</t>
  </si>
  <si>
    <t xml:space="preserve">     Construction and Installation Labor</t>
  </si>
  <si>
    <t xml:space="preserve">     Construction and Installation Related Services</t>
  </si>
  <si>
    <t xml:space="preserve">     Subtotal</t>
  </si>
  <si>
    <t xml:space="preserve">   Module and Supply Chain Impacts</t>
  </si>
  <si>
    <t xml:space="preserve">     Manufacturing Impacts</t>
  </si>
  <si>
    <t xml:space="preserve">       Manufacturing</t>
  </si>
  <si>
    <t xml:space="preserve">     Trade (Wholesale and Retail)</t>
  </si>
  <si>
    <t xml:space="preserve">       Trade (Wholesale and Retail)</t>
  </si>
  <si>
    <t xml:space="preserve">     Finance, Insurance and Real Estate</t>
  </si>
  <si>
    <t xml:space="preserve">       Finance, Insurance and Real Estate</t>
  </si>
  <si>
    <t xml:space="preserve">     Professional Services</t>
  </si>
  <si>
    <t xml:space="preserve">       Professional Services</t>
  </si>
  <si>
    <t xml:space="preserve">     Other Services</t>
  </si>
  <si>
    <t xml:space="preserve">       Other Services</t>
  </si>
  <si>
    <t xml:space="preserve">     Other Sectors</t>
  </si>
  <si>
    <t xml:space="preserve">       Other Sectors</t>
  </si>
  <si>
    <t xml:space="preserve">       Subtotal</t>
  </si>
  <si>
    <t xml:space="preserve">   Induced Impacts</t>
  </si>
  <si>
    <t xml:space="preserve">  Total Impacts</t>
  </si>
  <si>
    <t>Annual</t>
  </si>
  <si>
    <t>During operating years</t>
  </si>
  <si>
    <t xml:space="preserve">   Onsite Labor Impacts</t>
  </si>
  <si>
    <t xml:space="preserve">     PV Project Labor Only</t>
  </si>
  <si>
    <t xml:space="preserve">   Local Revenue and Supply Chain Impacts</t>
  </si>
  <si>
    <t xml:space="preserve">operating period jobs are full-time equivalent for one year (1 FTE = 2,080 hours).  Economic impacts "During </t>
  </si>
  <si>
    <t xml:space="preserve">operating years" represent impacts that occur from system/plant operations/expenditures.  Totals may not  </t>
  </si>
  <si>
    <t>add up due to independent rounding.</t>
  </si>
  <si>
    <t>Detailed PV Project Data Costs</t>
  </si>
  <si>
    <t>Installation Costs</t>
  </si>
  <si>
    <t xml:space="preserve">Installation Costs </t>
  </si>
  <si>
    <t>Materials &amp; Equipment</t>
  </si>
  <si>
    <t xml:space="preserve">    Mounting (rails, clamps, fittings, etc.)</t>
  </si>
  <si>
    <t xml:space="preserve">    Modules</t>
  </si>
  <si>
    <t xml:space="preserve">    Electrical (wire, connectors, breakers, etc.)</t>
  </si>
  <si>
    <t xml:space="preserve">    Inverter</t>
  </si>
  <si>
    <t xml:space="preserve">    Subtotal</t>
  </si>
  <si>
    <t>Labor</t>
  </si>
  <si>
    <t xml:space="preserve">    Installation</t>
  </si>
  <si>
    <t>Other Costs</t>
  </si>
  <si>
    <t xml:space="preserve">    Permitting</t>
  </si>
  <si>
    <t xml:space="preserve">    Other Costs</t>
  </si>
  <si>
    <t xml:space="preserve">    Business Overhead</t>
  </si>
  <si>
    <t>PV System Annual Operating and Maintenance Costs</t>
  </si>
  <si>
    <t xml:space="preserve">    Technicians</t>
  </si>
  <si>
    <t>Materials and Services</t>
  </si>
  <si>
    <t xml:space="preserve">    Materials &amp; Equipment</t>
  </si>
  <si>
    <t xml:space="preserve">    Services</t>
  </si>
  <si>
    <t>Average Annual Payment (Interest and Principal)</t>
  </si>
  <si>
    <t>Property Taxes</t>
  </si>
  <si>
    <t>Other Parameters</t>
  </si>
  <si>
    <t>Financial Parameters</t>
  </si>
  <si>
    <t>Debt Financing</t>
  </si>
  <si>
    <t xml:space="preserve">  Percentage financed</t>
  </si>
  <si>
    <t xml:space="preserve">  Years financed (term)</t>
  </si>
  <si>
    <t xml:space="preserve">  Interest rate</t>
  </si>
  <si>
    <t>Tax Parameters</t>
  </si>
  <si>
    <t xml:space="preserve">  Local Property Tax (percent of taxable value)</t>
  </si>
  <si>
    <t xml:space="preserve">  Assessed Value (percent of construction cost)</t>
  </si>
  <si>
    <t xml:space="preserve">  Taxable Value (percent of assessed value)</t>
  </si>
  <si>
    <t xml:space="preserve">  Taxable Value</t>
  </si>
  <si>
    <t xml:space="preserve">   Construction Workers / Installers</t>
  </si>
  <si>
    <t xml:space="preserve">  O&amp;M Labor</t>
  </si>
  <si>
    <t xml:space="preserve">   Technicians</t>
  </si>
  <si>
    <t xml:space="preserve"> Multipliers For Economic Input-Output Analysis</t>
  </si>
  <si>
    <t>MyCounty (name)</t>
  </si>
  <si>
    <t>Year of Data</t>
  </si>
  <si>
    <t>MyRegion (includes)</t>
  </si>
  <si>
    <t>Sales Tax Rate (%)</t>
  </si>
  <si>
    <t>Sales Tax Exemption (%)</t>
  </si>
  <si>
    <t>Property Tax Exemption (%)</t>
  </si>
  <si>
    <t>Jobs Per Million Dollars Change in Final Demand</t>
  </si>
  <si>
    <t>Personal Consumption Expenditures (PCE)</t>
  </si>
  <si>
    <t xml:space="preserve">  Jobs Direct Multipliers</t>
  </si>
  <si>
    <t>MyCounty</t>
  </si>
  <si>
    <t>MyRegion</t>
  </si>
  <si>
    <t>Ag, Forestry, Fish &amp; Hunting</t>
  </si>
  <si>
    <t>Mining</t>
  </si>
  <si>
    <t>Construction</t>
  </si>
  <si>
    <t>Construction/Installations - Non Residential</t>
  </si>
  <si>
    <t>Construction/Installation Residential</t>
  </si>
  <si>
    <t>Manufacturing</t>
  </si>
  <si>
    <t>Fabricated Metals</t>
  </si>
  <si>
    <t>Machinery</t>
  </si>
  <si>
    <t>Electrical Equip</t>
  </si>
  <si>
    <t>Battery Manufacturing</t>
  </si>
  <si>
    <t>Energy Wire Manufacturing</t>
  </si>
  <si>
    <t>Wholesale Trade</t>
  </si>
  <si>
    <t>Retail trade</t>
  </si>
  <si>
    <t>TCPU</t>
  </si>
  <si>
    <t>Insurance and Real Estate</t>
  </si>
  <si>
    <t>Finance</t>
  </si>
  <si>
    <t>Other Professional Services</t>
  </si>
  <si>
    <t>Office Services</t>
  </si>
  <si>
    <t>Architectural and Engineering Services</t>
  </si>
  <si>
    <t>Other services</t>
  </si>
  <si>
    <t>Government</t>
  </si>
  <si>
    <t>Semiconductor (solar cell/module) manufacturing</t>
  </si>
  <si>
    <t xml:space="preserve">  Jobs Indirect Multipliers</t>
  </si>
  <si>
    <t xml:space="preserve">  Jobs Induced Multipliers</t>
  </si>
  <si>
    <t>Earnings Per Million Dollars Change in Final Demand</t>
  </si>
  <si>
    <t>Earnings Direct Multipliers</t>
  </si>
  <si>
    <t xml:space="preserve">  Earnings Indirect Multipliers</t>
  </si>
  <si>
    <t xml:space="preserve">  Earnings Induced Multipliers</t>
  </si>
  <si>
    <t>Output Per Million Dollars Change in Final Demand</t>
  </si>
  <si>
    <t xml:space="preserve">  Output Direct Multipliers</t>
  </si>
  <si>
    <t xml:space="preserve">  Output Indirect Multipliers</t>
  </si>
  <si>
    <t xml:space="preserve">  Output Induced Multipliers</t>
  </si>
  <si>
    <t>Value Added Per Million Dollars Change in Final Demand</t>
  </si>
  <si>
    <t xml:space="preserve">  Value Added Direct Multipliers</t>
  </si>
  <si>
    <t xml:space="preserve">  Value Added Indirect Multipliers</t>
  </si>
  <si>
    <t xml:space="preserve">  Value Added Induced Multipliers</t>
  </si>
  <si>
    <t>System Type</t>
  </si>
  <si>
    <t>Fixed</t>
  </si>
  <si>
    <t>KW</t>
  </si>
  <si>
    <t>Total KW Installed</t>
  </si>
  <si>
    <t>Warning</t>
  </si>
  <si>
    <t xml:space="preserve">This Worksheet contains Data and Formulas that are an integral part of the JEDI model.  </t>
  </si>
  <si>
    <t>O&amp;M</t>
  </si>
  <si>
    <t>Cost Per KW</t>
  </si>
  <si>
    <t>Project Cost</t>
  </si>
  <si>
    <t>Although the data and formulas are available for review they must not be changed.</t>
  </si>
  <si>
    <t>LCCSFM</t>
  </si>
  <si>
    <t>LCCSSA</t>
  </si>
  <si>
    <t>LCTFFM</t>
  </si>
  <si>
    <t>fixed</t>
  </si>
  <si>
    <t>tracker</t>
  </si>
  <si>
    <t>CLCSFM</t>
  </si>
  <si>
    <t>CLCSSA</t>
  </si>
  <si>
    <t>CLTFFM</t>
  </si>
  <si>
    <t>LCTFSA</t>
  </si>
  <si>
    <t>RNCSFM</t>
  </si>
  <si>
    <t>RNCSSA</t>
  </si>
  <si>
    <t>RNTFFM</t>
  </si>
  <si>
    <t>RNTFSA</t>
  </si>
  <si>
    <t>RRCSFM</t>
  </si>
  <si>
    <t>RRCSSA</t>
  </si>
  <si>
    <t>RRTFFM</t>
  </si>
  <si>
    <t>RRTFSA</t>
  </si>
  <si>
    <t>SCCSFM</t>
  </si>
  <si>
    <t>SCCSSA</t>
  </si>
  <si>
    <t>SCTFFM</t>
  </si>
  <si>
    <t>SCTFSA</t>
  </si>
  <si>
    <t>UTCSFM</t>
  </si>
  <si>
    <t>UTCSSA</t>
  </si>
  <si>
    <t>UTTFFM</t>
  </si>
  <si>
    <t>UTTFSA</t>
  </si>
  <si>
    <t>Any changes to the data or formulas will impact the analysis and may invalidate the model results.</t>
  </si>
  <si>
    <t>Project Data</t>
  </si>
  <si>
    <t>Default Values - Based on Cost Per KW from Project Data sheet</t>
  </si>
  <si>
    <t>Very Small</t>
  </si>
  <si>
    <t>Small</t>
  </si>
  <si>
    <t>Medium</t>
  </si>
  <si>
    <t>Large</t>
  </si>
  <si>
    <t>Percent</t>
  </si>
  <si>
    <t>State</t>
  </si>
  <si>
    <t>County</t>
  </si>
  <si>
    <t>Locally</t>
  </si>
  <si>
    <t>Typically 100 kW - 1 MW</t>
  </si>
  <si>
    <t>Typically less than 10 kW</t>
  </si>
  <si>
    <t>Typically 10 kW - 100 kW</t>
  </si>
  <si>
    <t>Typically 1 MW or larger</t>
  </si>
  <si>
    <t>Typically 100 KW - 2 MW</t>
  </si>
  <si>
    <t xml:space="preserve">  Materials &amp; Equipment</t>
  </si>
  <si>
    <t>Per KW</t>
  </si>
  <si>
    <t>of Cost</t>
  </si>
  <si>
    <t>To view the data and formulas simply scroll over to the adjacent columns to the right.</t>
  </si>
  <si>
    <t xml:space="preserve">  Labor</t>
  </si>
  <si>
    <t xml:space="preserve"> Labor</t>
  </si>
  <si>
    <t xml:space="preserve">  Total</t>
  </si>
  <si>
    <t>Permitting, Fees, and Taxes</t>
  </si>
  <si>
    <t xml:space="preserve">  Other Costs</t>
  </si>
  <si>
    <t xml:space="preserve">  Permitting</t>
  </si>
  <si>
    <t xml:space="preserve">  Business Overhead</t>
  </si>
  <si>
    <t xml:space="preserve">  Subtotal</t>
  </si>
  <si>
    <t>Used to be taxes - no longer used</t>
  </si>
  <si>
    <t>Base system cost</t>
  </si>
  <si>
    <t xml:space="preserve">Operations and Maintenance </t>
  </si>
  <si>
    <t xml:space="preserve">  Services</t>
  </si>
  <si>
    <t>O&amp;M Cost</t>
  </si>
  <si>
    <t>Simple Avg Cost</t>
  </si>
  <si>
    <t xml:space="preserve">  Average Annual Payment (Interest and Principal)</t>
  </si>
  <si>
    <t>New Jersey</t>
  </si>
  <si>
    <t>South Carolina</t>
  </si>
  <si>
    <t>Tennessee</t>
  </si>
  <si>
    <t>Texas</t>
  </si>
  <si>
    <t>Wyoming</t>
  </si>
  <si>
    <t>0-10 kw</t>
  </si>
  <si>
    <t>10-100 kw</t>
  </si>
  <si>
    <t>100-1000 kw</t>
  </si>
  <si>
    <t>1000+ kW</t>
  </si>
  <si>
    <t>System Size</t>
  </si>
  <si>
    <t>Offset</t>
  </si>
  <si>
    <t>Margins</t>
  </si>
  <si>
    <t>Base Cost</t>
  </si>
  <si>
    <t>State Cost</t>
  </si>
  <si>
    <t>Sales Tax Rate - Res</t>
  </si>
  <si>
    <t>Comm</t>
  </si>
  <si>
    <t>PropertyTax Exemption-Res</t>
  </si>
  <si>
    <t>Indus</t>
  </si>
  <si>
    <t>Prop Tax Exemption</t>
  </si>
  <si>
    <t>Tax Rate</t>
  </si>
  <si>
    <t>Sales Tax Rate</t>
  </si>
  <si>
    <t>Sales Tax Exemption - Res</t>
  </si>
  <si>
    <t>Sales and Property Tax Rates updated 2010</t>
  </si>
  <si>
    <t>Sales Tax Exemption</t>
  </si>
  <si>
    <t xml:space="preserve">Economic Impact Analysis for </t>
  </si>
  <si>
    <t xml:space="preserve">Project Construction Costs </t>
  </si>
  <si>
    <t>Local $ Spending</t>
  </si>
  <si>
    <t>Mfg Share</t>
  </si>
  <si>
    <t>To Wholesale</t>
  </si>
  <si>
    <t>To Mfg.</t>
  </si>
  <si>
    <t xml:space="preserve">Construction Costs </t>
  </si>
  <si>
    <t>Payroll expense</t>
  </si>
  <si>
    <t>User Revised</t>
  </si>
  <si>
    <t>Govt</t>
  </si>
  <si>
    <t>Health/Ins/Misc</t>
  </si>
  <si>
    <t>User</t>
  </si>
  <si>
    <t>Revised Data</t>
  </si>
  <si>
    <t xml:space="preserve"> Payroll Cost</t>
  </si>
  <si>
    <t>wage/hour</t>
  </si>
  <si>
    <t>Default</t>
  </si>
  <si>
    <t xml:space="preserve">  Construction Labor</t>
  </si>
  <si>
    <t xml:space="preserve">  Construction workers / Installers</t>
  </si>
  <si>
    <t>Eng., Prof., &amp; Misc. Svcs.</t>
  </si>
  <si>
    <t>Eng. &amp; Prof. Svcs.</t>
  </si>
  <si>
    <t>Other Sectors (not Construction)</t>
  </si>
  <si>
    <t>Manufacturing Jobs</t>
  </si>
  <si>
    <t>Mfg W&amp;S Earnings</t>
  </si>
  <si>
    <t>Mfg Output</t>
  </si>
  <si>
    <t>Year</t>
  </si>
  <si>
    <t>Installation Costs Local Demand - margined</t>
  </si>
  <si>
    <t>Dollars</t>
  </si>
  <si>
    <t>Demand</t>
  </si>
  <si>
    <t>Adj Demand</t>
  </si>
  <si>
    <t xml:space="preserve">     Project Development and Onsite Labor Impacts</t>
  </si>
  <si>
    <t>Direct</t>
  </si>
  <si>
    <t>Indirect</t>
  </si>
  <si>
    <t>Induced</t>
  </si>
  <si>
    <t xml:space="preserve">       Construction and Installation Labor</t>
  </si>
  <si>
    <t xml:space="preserve">       Construction and Installation Related Services</t>
  </si>
  <si>
    <t xml:space="preserve">     Module and Supply Chain Impacts</t>
  </si>
  <si>
    <t xml:space="preserve">     Induced Impacts</t>
  </si>
  <si>
    <t xml:space="preserve">     Total Impacts (Direct, Indirect, Induced)</t>
  </si>
  <si>
    <t xml:space="preserve">  During operating years (annual)</t>
  </si>
  <si>
    <t>Inflator to</t>
  </si>
  <si>
    <t>Wholesale Share</t>
  </si>
  <si>
    <t>Debt Pmt - Local share Avg Ann Interest</t>
  </si>
  <si>
    <t>Total (without debt, equity,taxes, lease pmts)</t>
  </si>
  <si>
    <t>Total cost per KW</t>
  </si>
  <si>
    <t>Without Plant Employees</t>
  </si>
  <si>
    <t>Annual Operations and Maintenance Costs Local Demand - margined</t>
  </si>
  <si>
    <t>Adj Demand - Million</t>
  </si>
  <si>
    <t>Plant Employees</t>
  </si>
  <si>
    <t xml:space="preserve">Earnings - Gross </t>
  </si>
  <si>
    <t>Employee - (SSI, Med, Inc Tax)</t>
  </si>
  <si>
    <t xml:space="preserve">Inflate to </t>
  </si>
  <si>
    <t>Other benefits</t>
  </si>
  <si>
    <t>Earnings (minus taxes, benefits, etc)</t>
  </si>
  <si>
    <t>With Plant Employees</t>
  </si>
  <si>
    <t>Plant Employees Only</t>
  </si>
  <si>
    <t>Plant Employee Spending</t>
  </si>
  <si>
    <t xml:space="preserve">PCE </t>
  </si>
  <si>
    <t>Plant Emp</t>
  </si>
  <si>
    <t>Annual O&amp;M Costs Local Demand</t>
  </si>
  <si>
    <t>Construction Costs Local Demand</t>
  </si>
  <si>
    <t>From DefaultData</t>
  </si>
  <si>
    <t>Debt - Loan Repayment Schedule</t>
  </si>
  <si>
    <t>Interest Pmt</t>
  </si>
  <si>
    <t>Principal Pmt</t>
  </si>
  <si>
    <t>Total Pmt</t>
  </si>
  <si>
    <t>AvgAnn</t>
  </si>
  <si>
    <t>User Modified (from Project Data worksheet - based on loan parameters)</t>
  </si>
  <si>
    <t>Loan Repayment Schedule</t>
  </si>
  <si>
    <t xml:space="preserve">  Year of Multiplier Data</t>
  </si>
  <si>
    <t>Region of Analysis</t>
  </si>
  <si>
    <t xml:space="preserve">  Year of Construction $s</t>
  </si>
  <si>
    <t>Deflator</t>
  </si>
  <si>
    <t>Inflator</t>
  </si>
  <si>
    <t>2007$</t>
  </si>
  <si>
    <t>2008$</t>
  </si>
  <si>
    <t>2009$</t>
  </si>
  <si>
    <t>2010$</t>
  </si>
  <si>
    <t>2011$</t>
  </si>
  <si>
    <t>2012$</t>
  </si>
  <si>
    <t>2013$</t>
  </si>
  <si>
    <t>2014$</t>
  </si>
  <si>
    <t>2015$</t>
  </si>
  <si>
    <t>2016$</t>
  </si>
  <si>
    <t>2017$</t>
  </si>
  <si>
    <t>2018$</t>
  </si>
  <si>
    <t>2019$</t>
  </si>
  <si>
    <t>2020$</t>
  </si>
  <si>
    <t xml:space="preserve">Source:  Deflators and Inflators derived from data contained in the Budget of the United States Government: Table 10.1 - Gross Domestic Product and Deflators Used in the Historical Tables 1940-2020.  </t>
  </si>
  <si>
    <t>https://www.whitehouse.gov/omb/budget/Historicals</t>
  </si>
  <si>
    <t>Updated November 2016.  Deflators for 2021-2040 assume average annual inflation rate derived from 2014-2020 GDP values.</t>
  </si>
  <si>
    <t xml:space="preserve">Personal Consumption Expenditures </t>
  </si>
  <si>
    <t>United States</t>
  </si>
  <si>
    <t>State Specific Multipliers</t>
  </si>
  <si>
    <t>PCE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</si>
</sst>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64" formatCode="&quot;$&quot;#,##0_);\(&quot;$&quot;#,##0\)"/>
    <numFmt numFmtId="165" formatCode="&quot;$&quot;#,##0.00_);\(&quot;$&quot;#,##0.00\)"/>
    <numFmt numFmtId="166" formatCode="&quot;$&quot;#,##0.00_);[Red]\(&quot;$&quot;#,##0.00\)"/>
    <numFmt numFmtId="167" formatCode="_(&quot;$&quot;* #,##0.00_);_(&quot;$&quot;* \(#,##0.00\);_(&quot;$&quot;* &quot;-&quot;??_);_(@_)"/>
    <numFmt numFmtId="168" formatCode="_(* #,##0.00_);_(* \(#,##0.00\);_(* &quot;-&quot;??_);_(@_)"/>
    <numFmt numFmtId="169" formatCode="0.0"/>
    <numFmt numFmtId="170" formatCode="&quot;$&quot;#,##0"/>
    <numFmt numFmtId="171" formatCode="#,##0.0"/>
    <numFmt numFmtId="172" formatCode="&quot;$&quot;#,##0.0"/>
    <numFmt numFmtId="173" formatCode="0.000"/>
    <numFmt numFmtId="174" formatCode="&quot;$&quot;#,##0.00"/>
    <numFmt numFmtId="175" formatCode="&quot;$&quot;#,##0.000"/>
    <numFmt numFmtId="176" formatCode="0.0%"/>
    <numFmt numFmtId="177" formatCode="0.0000"/>
    <numFmt numFmtId="178" formatCode="&quot;$&quot;#,##0.0000"/>
    <numFmt numFmtId="179" formatCode="_(&quot;$&quot;* #,##0_);_(&quot;$&quot;* \(#,##0\);_(&quot;$&quot;* &quot;-&quot;??_);_(@_)"/>
    <numFmt numFmtId="180" formatCode="_(* #,##0_);_(* \(#,##0\);_(* &quot;-&quot;??_);_(@_)"/>
    <numFmt numFmtId="181" formatCode="0.000%"/>
    <numFmt numFmtId="182" formatCode="#,##0.000000"/>
    <numFmt numFmtId="183" formatCode="0.0000%"/>
    <numFmt numFmtId="184" formatCode="0.000000"/>
    <numFmt numFmtId="185" formatCode="0.00000"/>
    <numFmt numFmtId="186" formatCode="_(* #,##0.00000_);_(* \(#,##0.00000\);_(* &quot;-&quot;??_);_(@_)"/>
    <numFmt numFmtId="187" formatCode="#,##0.0_);\(#,##0.0\)"/>
    <numFmt numFmtId="188" formatCode="#,##0.0000"/>
  </numFmts>
  <fonts count="51">
    <font>
      <sz val="10"/>
      <name val="Arial"/>
    </font>
    <font>
      <sz val="10"/>
      <name val="Arial"/>
      <family val="2"/>
    </font>
    <font>
      <b/>
      <sz val="10"/>
      <name val="Arial"/>
      <family val="2"/>
    </font>
    <font>
      <b/>
      <sz val="20"/>
      <name val="Arial"/>
      <family val="2"/>
    </font>
    <font>
      <sz val="10"/>
      <name val="Arial"/>
      <family val="2"/>
    </font>
    <font>
      <b/>
      <sz val="11"/>
      <name val="Arial"/>
      <family val="2"/>
    </font>
    <font>
      <b/>
      <sz val="12"/>
      <name val="Arial"/>
      <family val="2"/>
    </font>
    <font>
      <sz val="10"/>
      <name val="Arial Unicode MS"/>
      <family val="2"/>
    </font>
    <font>
      <sz val="8"/>
      <color indexed="81"/>
      <name val="Tahoma"/>
      <family val="2"/>
    </font>
    <font>
      <b/>
      <sz val="8"/>
      <color indexed="81"/>
      <name val="Tahoma"/>
      <family val="2"/>
    </font>
    <font>
      <b/>
      <sz val="8"/>
      <color indexed="10"/>
      <name val="Tahoma"/>
      <family val="2"/>
    </font>
    <font>
      <b/>
      <sz val="10"/>
      <color indexed="10"/>
      <name val="Arial"/>
      <family val="2"/>
    </font>
    <font>
      <sz val="8"/>
      <name val="Arial"/>
      <family val="2"/>
    </font>
    <font>
      <sz val="6"/>
      <name val="Arial"/>
      <family val="2"/>
    </font>
    <font>
      <b/>
      <sz val="9"/>
      <name val="Arial"/>
      <family val="2"/>
    </font>
    <font>
      <b/>
      <sz val="14"/>
      <name val="Arial"/>
      <family val="2"/>
    </font>
    <font>
      <b/>
      <sz val="11"/>
      <color indexed="10"/>
      <name val="Arial"/>
      <family val="2"/>
    </font>
    <font>
      <sz val="10"/>
      <color indexed="10"/>
      <name val="Arial"/>
      <family val="2"/>
    </font>
    <font>
      <b/>
      <sz val="48"/>
      <name val="Arial"/>
      <family val="2"/>
    </font>
    <font>
      <b/>
      <sz val="18"/>
      <name val="Arial"/>
      <family val="2"/>
    </font>
    <font>
      <b/>
      <sz val="16"/>
      <name val="Arial"/>
      <family val="2"/>
    </font>
    <font>
      <i/>
      <sz val="10"/>
      <name val="Arial"/>
      <family val="2"/>
    </font>
    <font>
      <b/>
      <i/>
      <sz val="18"/>
      <name val="Arial"/>
      <family val="2"/>
    </font>
    <font>
      <b/>
      <i/>
      <sz val="10"/>
      <name val="Arial"/>
      <family val="2"/>
    </font>
    <font>
      <sz val="10"/>
      <color indexed="9"/>
      <name val="Arial"/>
      <family val="2"/>
    </font>
    <font>
      <b/>
      <sz val="10"/>
      <color indexed="81"/>
      <name val="Tahoma"/>
      <family val="2"/>
    </font>
    <font>
      <sz val="12"/>
      <name val="Times New Roman"/>
      <family val="1"/>
    </font>
    <font>
      <sz val="10"/>
      <color indexed="8"/>
      <name val="Arial"/>
      <family val="2"/>
    </font>
    <font>
      <b/>
      <i/>
      <sz val="12"/>
      <name val="Arial"/>
      <family val="2"/>
    </font>
    <font>
      <sz val="12"/>
      <name val="Arial"/>
      <family val="2"/>
    </font>
    <font>
      <b/>
      <i/>
      <sz val="10"/>
      <color indexed="10"/>
      <name val="Arial"/>
      <family val="2"/>
    </font>
    <font>
      <b/>
      <sz val="18"/>
      <color indexed="10"/>
      <name val="Arial"/>
      <family val="2"/>
    </font>
    <font>
      <b/>
      <sz val="12"/>
      <color indexed="10"/>
      <name val="Arial"/>
      <family val="2"/>
    </font>
    <font>
      <b/>
      <i/>
      <sz val="9"/>
      <name val="Arial"/>
      <family val="2"/>
    </font>
    <font>
      <sz val="11"/>
      <name val="Arial"/>
      <family val="2"/>
    </font>
    <font>
      <b/>
      <u/>
      <sz val="12"/>
      <color indexed="8"/>
      <name val="Times New Roman"/>
      <family val="1"/>
    </font>
    <font>
      <b/>
      <vertAlign val="subscript"/>
      <sz val="10"/>
      <name val="Arial"/>
      <family val="2"/>
    </font>
    <font>
      <vertAlign val="subscript"/>
      <sz val="10"/>
      <name val="Arial"/>
      <family val="2"/>
    </font>
    <font>
      <sz val="11"/>
      <color indexed="8"/>
      <name val="Calibri"/>
      <family val="2"/>
    </font>
    <font>
      <sz val="12"/>
      <color indexed="8"/>
      <name val="Times New Roman"/>
      <family val="2"/>
    </font>
    <font>
      <sz val="12"/>
      <color indexed="8"/>
      <name val="Arial"/>
      <family val="2"/>
    </font>
    <font>
      <b/>
      <sz val="22"/>
      <color indexed="10"/>
      <name val="Arial"/>
      <family val="2"/>
    </font>
    <font>
      <b/>
      <i/>
      <sz val="8"/>
      <color indexed="81"/>
      <name val="Tahoma"/>
      <family val="2"/>
    </font>
    <font>
      <sz val="10"/>
      <color theme="1"/>
      <name val="Arial"/>
      <family val="2"/>
    </font>
    <font>
      <b/>
      <sz val="8"/>
      <color rgb="FF000000"/>
      <name val="Tahoma"/>
      <family val="2"/>
    </font>
    <font>
      <sz val="8"/>
      <color rgb="FF000000"/>
      <name val="Tahoma"/>
      <family val="2"/>
    </font>
    <font>
      <b/>
      <sz val="8"/>
      <color rgb="FFFF0000"/>
      <name val="Tahoma"/>
      <family val="2"/>
    </font>
    <font>
      <sz val="10"/>
      <color rgb="FF000000"/>
      <name val="Tahoma"/>
      <family val="2"/>
    </font>
    <font>
      <sz val="14"/>
      <color rgb="FF000000"/>
      <name val="Arial"/>
      <family val="2"/>
    </font>
    <font>
      <b/>
      <sz val="14"/>
      <color rgb="FF000000"/>
      <name val="Arial"/>
      <family val="2"/>
    </font>
    <font>
      <sz val="10"/>
      <color rgb="FF000000"/>
      <name val="Arial"/>
      <family val="2"/>
    </font>
  </fonts>
  <fills count="10">
    <fill>
      <patternFill patternType="none"/>
    </fill>
    <fill>
      <patternFill patternType="gray125"/>
    </fill>
    <fill>
      <patternFill patternType="solid">
        <fgColor indexed="15"/>
        <bgColor indexed="64"/>
      </patternFill>
    </fill>
    <fill>
      <patternFill patternType="solid">
        <fgColor indexed="35"/>
        <bgColor indexed="64"/>
      </patternFill>
    </fill>
    <fill>
      <patternFill patternType="solid">
        <fgColor indexed="46"/>
        <bgColor indexed="64"/>
      </patternFill>
    </fill>
    <fill>
      <patternFill patternType="solid">
        <fgColor indexed="13"/>
        <bgColor indexed="64"/>
      </patternFill>
    </fill>
    <fill>
      <patternFill patternType="solid">
        <fgColor indexed="9"/>
        <bgColor indexed="64"/>
      </patternFill>
    </fill>
    <fill>
      <patternFill patternType="solid">
        <fgColor theme="0"/>
        <bgColor indexed="64"/>
      </patternFill>
    </fill>
    <fill>
      <patternFill patternType="solid">
        <fgColor rgb="FF00FFFF"/>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5">
    <xf numFmtId="184" fontId="0" fillId="0" borderId="0">
      <alignment horizontal="left" wrapText="1"/>
    </xf>
    <xf numFmtId="168" fontId="1" fillId="0" borderId="0" applyFont="0" applyFill="0" applyBorder="0" applyAlignment="0" applyProtection="0"/>
    <xf numFmtId="167" fontId="1" fillId="0" borderId="0" applyFont="0" applyFill="0" applyBorder="0" applyAlignment="0" applyProtection="0"/>
    <xf numFmtId="0" fontId="38" fillId="0" borderId="0"/>
    <xf numFmtId="0" fontId="38" fillId="0" borderId="0"/>
    <xf numFmtId="0" fontId="27" fillId="0" borderId="0"/>
    <xf numFmtId="0" fontId="39" fillId="0" borderId="0"/>
    <xf numFmtId="0" fontId="39" fillId="0" borderId="0"/>
    <xf numFmtId="0" fontId="1" fillId="0" borderId="0"/>
    <xf numFmtId="172" fontId="4" fillId="0" borderId="0">
      <alignment horizontal="left" wrapText="1"/>
    </xf>
    <xf numFmtId="0" fontId="39" fillId="0" borderId="0"/>
    <xf numFmtId="0" fontId="39" fillId="0" borderId="0"/>
    <xf numFmtId="0" fontId="39" fillId="0" borderId="0"/>
    <xf numFmtId="184" fontId="1" fillId="0" borderId="0">
      <alignment horizontal="left" wrapText="1"/>
    </xf>
    <xf numFmtId="9" fontId="1" fillId="0" borderId="0" applyFont="0" applyFill="0" applyBorder="0" applyAlignment="0" applyProtection="0"/>
  </cellStyleXfs>
  <cellXfs count="423">
    <xf numFmtId="1" fontId="0" fillId="0" borderId="0" xfId="0" applyNumberFormat="1" applyAlignment="1"/>
    <xf numFmtId="1" fontId="2" fillId="0" borderId="0" xfId="0" applyNumberFormat="1" applyFont="1" applyAlignment="1"/>
    <xf numFmtId="1" fontId="5" fillId="0" borderId="0" xfId="0" applyNumberFormat="1" applyFont="1" applyAlignment="1"/>
    <xf numFmtId="1" fontId="7" fillId="0" borderId="0" xfId="0" applyNumberFormat="1" applyFont="1" applyAlignment="1">
      <alignment horizontal="left" vertical="top" wrapText="1"/>
    </xf>
    <xf numFmtId="9" fontId="0" fillId="0" borderId="0" xfId="0" applyNumberFormat="1" applyAlignment="1"/>
    <xf numFmtId="170" fontId="0" fillId="0" borderId="0" xfId="0" applyNumberFormat="1" applyAlignment="1"/>
    <xf numFmtId="172" fontId="0" fillId="0" borderId="0" xfId="0" applyNumberFormat="1" applyAlignment="1"/>
    <xf numFmtId="1" fontId="0" fillId="0" borderId="0" xfId="0" applyNumberFormat="1" applyAlignment="1">
      <alignment horizontal="center"/>
    </xf>
    <xf numFmtId="1" fontId="2" fillId="0" borderId="0" xfId="0" applyNumberFormat="1" applyFont="1" applyAlignment="1">
      <alignment horizontal="center"/>
    </xf>
    <xf numFmtId="3" fontId="0" fillId="0" borderId="0" xfId="0" applyNumberFormat="1" applyAlignment="1"/>
    <xf numFmtId="2" fontId="0" fillId="0" borderId="0" xfId="0" applyNumberFormat="1" applyAlignment="1"/>
    <xf numFmtId="9" fontId="0" fillId="0" borderId="0" xfId="0" applyNumberFormat="1" applyAlignment="1">
      <alignment horizontal="center"/>
    </xf>
    <xf numFmtId="173" fontId="0" fillId="0" borderId="0" xfId="0" applyNumberFormat="1" applyAlignment="1">
      <alignment horizontal="center"/>
    </xf>
    <xf numFmtId="1" fontId="2" fillId="0" borderId="0" xfId="0" quotePrefix="1" applyNumberFormat="1" applyFont="1" applyAlignment="1">
      <alignment horizontal="left"/>
    </xf>
    <xf numFmtId="175" fontId="0" fillId="0" borderId="0" xfId="0" applyNumberFormat="1" applyAlignment="1"/>
    <xf numFmtId="1" fontId="0" fillId="0" borderId="0" xfId="0" quotePrefix="1" applyNumberFormat="1" applyAlignment="1">
      <alignment horizontal="center"/>
    </xf>
    <xf numFmtId="174" fontId="0" fillId="0" borderId="0" xfId="0" applyNumberFormat="1" applyAlignment="1"/>
    <xf numFmtId="171" fontId="0" fillId="0" borderId="0" xfId="0" applyNumberFormat="1" applyAlignment="1"/>
    <xf numFmtId="169" fontId="0" fillId="0" borderId="0" xfId="0" applyNumberFormat="1" applyAlignment="1"/>
    <xf numFmtId="1" fontId="0" fillId="0" borderId="0" xfId="0" quotePrefix="1" applyNumberFormat="1" applyAlignment="1">
      <alignment horizontal="left"/>
    </xf>
    <xf numFmtId="1" fontId="0" fillId="0" borderId="0" xfId="0" applyNumberFormat="1" applyAlignment="1">
      <alignment horizontal="right"/>
    </xf>
    <xf numFmtId="2" fontId="0" fillId="0" borderId="0" xfId="0" applyNumberFormat="1" applyAlignment="1">
      <alignment horizontal="left"/>
    </xf>
    <xf numFmtId="1" fontId="0" fillId="0" borderId="0" xfId="0" quotePrefix="1" applyNumberFormat="1" applyAlignment="1">
      <alignment horizontal="right"/>
    </xf>
    <xf numFmtId="2" fontId="0" fillId="0" borderId="0" xfId="0" applyNumberFormat="1" applyAlignment="1">
      <alignment horizontal="center"/>
    </xf>
    <xf numFmtId="1" fontId="5" fillId="0" borderId="0" xfId="0" quotePrefix="1" applyNumberFormat="1" applyFont="1" applyAlignment="1">
      <alignment horizontal="left"/>
    </xf>
    <xf numFmtId="1" fontId="2" fillId="0" borderId="0" xfId="0" applyNumberFormat="1" applyFont="1" applyAlignment="1">
      <alignment horizontal="left"/>
    </xf>
    <xf numFmtId="1" fontId="0" fillId="0" borderId="0" xfId="0" applyNumberFormat="1" applyAlignment="1">
      <alignment horizontal="left"/>
    </xf>
    <xf numFmtId="4" fontId="0" fillId="0" borderId="0" xfId="0" applyNumberFormat="1" applyAlignment="1"/>
    <xf numFmtId="1" fontId="7" fillId="0" borderId="0" xfId="0" quotePrefix="1" applyNumberFormat="1" applyFont="1" applyAlignment="1">
      <alignment horizontal="left" vertical="top" wrapText="1"/>
    </xf>
    <xf numFmtId="173" fontId="0" fillId="0" borderId="0" xfId="0" applyNumberFormat="1" applyAlignment="1"/>
    <xf numFmtId="1" fontId="6" fillId="2" borderId="0" xfId="0" quotePrefix="1" applyNumberFormat="1" applyFont="1" applyFill="1" applyAlignment="1">
      <alignment horizontal="left"/>
    </xf>
    <xf numFmtId="1" fontId="5" fillId="2" borderId="0" xfId="0" applyNumberFormat="1" applyFont="1" applyFill="1" applyAlignment="1"/>
    <xf numFmtId="1" fontId="2" fillId="2" borderId="0" xfId="0" applyNumberFormat="1" applyFont="1" applyFill="1" applyAlignment="1">
      <alignment horizontal="center"/>
    </xf>
    <xf numFmtId="171" fontId="0" fillId="2" borderId="0" xfId="0" applyNumberFormat="1" applyFill="1" applyAlignment="1">
      <alignment horizontal="center"/>
    </xf>
    <xf numFmtId="170" fontId="0" fillId="2" borderId="0" xfId="0" applyNumberFormat="1" applyFill="1" applyAlignment="1">
      <alignment horizontal="center"/>
    </xf>
    <xf numFmtId="1" fontId="0" fillId="2" borderId="0" xfId="0" applyNumberFormat="1" applyFill="1" applyAlignment="1">
      <alignment horizontal="center"/>
    </xf>
    <xf numFmtId="170" fontId="0" fillId="2" borderId="0" xfId="0" applyNumberFormat="1" applyFill="1" applyAlignment="1"/>
    <xf numFmtId="9" fontId="0" fillId="2" borderId="0" xfId="0" applyNumberFormat="1" applyFill="1" applyAlignment="1"/>
    <xf numFmtId="1" fontId="0" fillId="2" borderId="0" xfId="0" quotePrefix="1" applyNumberFormat="1" applyFill="1" applyAlignment="1">
      <alignment horizontal="left"/>
    </xf>
    <xf numFmtId="3" fontId="0" fillId="2" borderId="0" xfId="0" applyNumberFormat="1" applyFill="1" applyAlignment="1">
      <alignment horizontal="center"/>
    </xf>
    <xf numFmtId="172" fontId="0" fillId="2" borderId="0" xfId="0" applyNumberFormat="1" applyFill="1" applyAlignment="1">
      <alignment horizontal="center"/>
    </xf>
    <xf numFmtId="175" fontId="0" fillId="2" borderId="0" xfId="0" applyNumberFormat="1" applyFill="1" applyAlignment="1">
      <alignment horizontal="center"/>
    </xf>
    <xf numFmtId="1" fontId="2" fillId="0" borderId="0" xfId="0" applyNumberFormat="1" applyFont="1" applyAlignment="1" applyProtection="1">
      <alignment horizontal="center"/>
      <protection locked="0"/>
    </xf>
    <xf numFmtId="171" fontId="2" fillId="0" borderId="0" xfId="0" applyNumberFormat="1" applyFont="1" applyAlignment="1" applyProtection="1">
      <alignment horizontal="center"/>
      <protection locked="0"/>
    </xf>
    <xf numFmtId="3" fontId="2" fillId="0" borderId="0" xfId="0" applyNumberFormat="1" applyFont="1" applyAlignment="1" applyProtection="1">
      <alignment horizontal="center"/>
      <protection locked="0"/>
    </xf>
    <xf numFmtId="9" fontId="0" fillId="0" borderId="0" xfId="0" applyNumberFormat="1" applyAlignment="1" applyProtection="1">
      <alignment horizontal="center"/>
      <protection locked="0"/>
    </xf>
    <xf numFmtId="1" fontId="0" fillId="0" borderId="0" xfId="0" applyNumberFormat="1" applyAlignment="1" applyProtection="1">
      <alignment horizontal="center"/>
      <protection locked="0"/>
    </xf>
    <xf numFmtId="1" fontId="12" fillId="2" borderId="0" xfId="0" quotePrefix="1" applyNumberFormat="1" applyFont="1" applyFill="1" applyAlignment="1">
      <alignment horizontal="left"/>
    </xf>
    <xf numFmtId="170" fontId="13" fillId="2" borderId="0" xfId="0" applyNumberFormat="1" applyFont="1" applyFill="1" applyAlignment="1">
      <alignment horizontal="center"/>
    </xf>
    <xf numFmtId="1" fontId="0" fillId="2" borderId="0" xfId="0" applyNumberFormat="1" applyFill="1" applyAlignment="1"/>
    <xf numFmtId="1" fontId="11" fillId="2" borderId="0" xfId="0" applyNumberFormat="1" applyFont="1" applyFill="1" applyAlignment="1">
      <alignment horizontal="center"/>
    </xf>
    <xf numFmtId="1" fontId="0" fillId="2" borderId="0" xfId="0" applyNumberFormat="1" applyFill="1" applyAlignment="1" applyProtection="1">
      <protection locked="0"/>
    </xf>
    <xf numFmtId="177" fontId="0" fillId="0" borderId="0" xfId="0" applyNumberFormat="1" applyAlignment="1"/>
    <xf numFmtId="1" fontId="2" fillId="2" borderId="0" xfId="0" applyNumberFormat="1" applyFont="1" applyFill="1" applyAlignment="1"/>
    <xf numFmtId="1" fontId="2" fillId="2" borderId="0" xfId="0" quotePrefix="1" applyNumberFormat="1" applyFont="1" applyFill="1" applyAlignment="1">
      <alignment horizontal="left"/>
    </xf>
    <xf numFmtId="1" fontId="6" fillId="2" borderId="0" xfId="0" applyNumberFormat="1" applyFont="1" applyFill="1" applyAlignment="1"/>
    <xf numFmtId="178" fontId="0" fillId="0" borderId="0" xfId="0" applyNumberFormat="1" applyAlignment="1">
      <alignment horizontal="center"/>
    </xf>
    <xf numFmtId="170" fontId="0" fillId="0" borderId="0" xfId="0" applyNumberFormat="1" applyAlignment="1">
      <alignment horizontal="center"/>
    </xf>
    <xf numFmtId="174" fontId="0" fillId="2" borderId="0" xfId="0" applyNumberFormat="1" applyFill="1" applyAlignment="1">
      <alignment horizontal="center"/>
    </xf>
    <xf numFmtId="1" fontId="6" fillId="0" borderId="0" xfId="0" quotePrefix="1" applyNumberFormat="1" applyFont="1" applyAlignment="1">
      <alignment horizontal="left"/>
    </xf>
    <xf numFmtId="1" fontId="6" fillId="0" borderId="0" xfId="0" applyNumberFormat="1" applyFont="1" applyAlignment="1"/>
    <xf numFmtId="176" fontId="0" fillId="0" borderId="0" xfId="0" applyNumberFormat="1" applyAlignment="1">
      <alignment horizontal="center"/>
    </xf>
    <xf numFmtId="1" fontId="0" fillId="2" borderId="0" xfId="0" applyNumberFormat="1" applyFill="1" applyAlignment="1">
      <alignment horizontal="left"/>
    </xf>
    <xf numFmtId="175" fontId="0" fillId="0" borderId="0" xfId="0" applyNumberFormat="1" applyAlignment="1">
      <alignment horizontal="center"/>
    </xf>
    <xf numFmtId="4" fontId="0" fillId="2" borderId="0" xfId="0" applyNumberFormat="1" applyFill="1" applyAlignment="1">
      <alignment horizontal="center"/>
    </xf>
    <xf numFmtId="174" fontId="2" fillId="2" borderId="0" xfId="0" applyNumberFormat="1" applyFont="1" applyFill="1" applyAlignment="1">
      <alignment horizontal="center"/>
    </xf>
    <xf numFmtId="9" fontId="0" fillId="0" borderId="0" xfId="0" applyNumberFormat="1" applyAlignment="1">
      <alignment horizontal="right"/>
    </xf>
    <xf numFmtId="179" fontId="0" fillId="0" borderId="0" xfId="2" applyNumberFormat="1" applyFont="1" applyAlignment="1">
      <alignment horizontal="center"/>
    </xf>
    <xf numFmtId="179" fontId="0" fillId="0" borderId="0" xfId="2" applyNumberFormat="1" applyFont="1"/>
    <xf numFmtId="9" fontId="0" fillId="0" borderId="0" xfId="14" applyFont="1"/>
    <xf numFmtId="10" fontId="0" fillId="0" borderId="0" xfId="14" applyNumberFormat="1" applyFont="1"/>
    <xf numFmtId="9" fontId="0" fillId="0" borderId="0" xfId="14" applyFont="1" applyAlignment="1">
      <alignment horizontal="center"/>
    </xf>
    <xf numFmtId="1" fontId="7" fillId="0" borderId="0" xfId="0" applyNumberFormat="1" applyFont="1" applyAlignment="1" applyProtection="1">
      <alignment horizontal="left" vertical="top" wrapText="1"/>
      <protection locked="0" hidden="1"/>
    </xf>
    <xf numFmtId="165" fontId="0" fillId="0" borderId="0" xfId="2" applyNumberFormat="1" applyFont="1" applyAlignment="1">
      <alignment horizontal="center"/>
    </xf>
    <xf numFmtId="176" fontId="0" fillId="3" borderId="0" xfId="14" applyNumberFormat="1" applyFont="1" applyFill="1" applyAlignment="1">
      <alignment horizontal="center"/>
    </xf>
    <xf numFmtId="176" fontId="0" fillId="2" borderId="0" xfId="14" applyNumberFormat="1" applyFont="1" applyFill="1" applyAlignment="1">
      <alignment horizontal="center"/>
    </xf>
    <xf numFmtId="1" fontId="0" fillId="3" borderId="0" xfId="0" applyNumberFormat="1" applyFill="1" applyAlignment="1"/>
    <xf numFmtId="1" fontId="2" fillId="3" borderId="0" xfId="0" applyNumberFormat="1" applyFont="1" applyFill="1" applyAlignment="1">
      <alignment horizontal="center"/>
    </xf>
    <xf numFmtId="9" fontId="0" fillId="3" borderId="0" xfId="0" applyNumberFormat="1" applyFill="1" applyAlignment="1"/>
    <xf numFmtId="174" fontId="2" fillId="2" borderId="0" xfId="0" applyNumberFormat="1" applyFont="1" applyFill="1" applyAlignment="1"/>
    <xf numFmtId="170" fontId="0" fillId="3" borderId="0" xfId="0" applyNumberFormat="1" applyFill="1" applyAlignment="1"/>
    <xf numFmtId="1" fontId="0" fillId="3" borderId="0" xfId="0" quotePrefix="1" applyNumberFormat="1" applyFill="1" applyAlignment="1">
      <alignment horizontal="left"/>
    </xf>
    <xf numFmtId="170" fontId="0" fillId="0" borderId="0" xfId="2" applyNumberFormat="1" applyFont="1"/>
    <xf numFmtId="181" fontId="0" fillId="0" borderId="0" xfId="14" applyNumberFormat="1" applyFont="1"/>
    <xf numFmtId="166" fontId="0" fillId="0" borderId="0" xfId="14" applyNumberFormat="1" applyFont="1"/>
    <xf numFmtId="0" fontId="2" fillId="0" borderId="0" xfId="0" applyNumberFormat="1" applyFont="1" applyAlignment="1">
      <alignment horizontal="center"/>
    </xf>
    <xf numFmtId="3" fontId="0" fillId="0" borderId="0" xfId="0" applyNumberFormat="1" applyAlignment="1">
      <alignment horizontal="center"/>
    </xf>
    <xf numFmtId="165" fontId="0" fillId="0" borderId="0" xfId="2" applyNumberFormat="1" applyFont="1"/>
    <xf numFmtId="174" fontId="0" fillId="0" borderId="0" xfId="0" applyNumberFormat="1" applyAlignment="1">
      <alignment horizontal="center"/>
    </xf>
    <xf numFmtId="1" fontId="15" fillId="2" borderId="0" xfId="0" quotePrefix="1" applyNumberFormat="1" applyFont="1" applyFill="1" applyAlignment="1">
      <alignment horizontal="left"/>
    </xf>
    <xf numFmtId="170" fontId="0" fillId="3" borderId="0" xfId="0" applyNumberFormat="1" applyFill="1" applyAlignment="1">
      <alignment horizontal="center"/>
    </xf>
    <xf numFmtId="174" fontId="0" fillId="3" borderId="0" xfId="0" applyNumberFormat="1" applyFill="1" applyAlignment="1">
      <alignment horizontal="center"/>
    </xf>
    <xf numFmtId="1" fontId="2" fillId="3" borderId="0" xfId="0" quotePrefix="1" applyNumberFormat="1" applyFont="1" applyFill="1" applyAlignment="1">
      <alignment horizontal="left"/>
    </xf>
    <xf numFmtId="1" fontId="0" fillId="4" borderId="0" xfId="0" applyNumberFormat="1" applyFill="1" applyAlignment="1"/>
    <xf numFmtId="170" fontId="0" fillId="0" borderId="0" xfId="2" applyNumberFormat="1" applyFont="1" applyAlignment="1">
      <alignment horizontal="center"/>
    </xf>
    <xf numFmtId="168" fontId="0" fillId="0" borderId="0" xfId="1" applyFont="1" applyAlignment="1">
      <alignment horizontal="center"/>
    </xf>
    <xf numFmtId="164" fontId="0" fillId="0" borderId="0" xfId="1" applyNumberFormat="1" applyFont="1" applyAlignment="1">
      <alignment horizontal="center"/>
    </xf>
    <xf numFmtId="174" fontId="2" fillId="0" borderId="0" xfId="2" applyNumberFormat="1" applyFont="1" applyFill="1" applyBorder="1" applyAlignment="1" applyProtection="1">
      <alignment horizontal="center"/>
      <protection locked="0"/>
    </xf>
    <xf numFmtId="173" fontId="0" fillId="0" borderId="0" xfId="0" applyNumberFormat="1" applyAlignment="1" applyProtection="1">
      <protection locked="0"/>
    </xf>
    <xf numFmtId="1" fontId="6" fillId="3" borderId="0" xfId="0" applyNumberFormat="1" applyFont="1" applyFill="1" applyAlignment="1"/>
    <xf numFmtId="1" fontId="14" fillId="3" borderId="0" xfId="0" quotePrefix="1" applyNumberFormat="1" applyFont="1" applyFill="1" applyAlignment="1">
      <alignment horizontal="left"/>
    </xf>
    <xf numFmtId="1" fontId="7" fillId="3" borderId="0" xfId="0" applyNumberFormat="1" applyFont="1" applyFill="1" applyAlignment="1">
      <alignment horizontal="left" vertical="top" wrapText="1"/>
    </xf>
    <xf numFmtId="1" fontId="14" fillId="3" borderId="0" xfId="0" quotePrefix="1" applyNumberFormat="1" applyFont="1" applyFill="1" applyAlignment="1">
      <alignment horizontal="center" vertical="top" wrapText="1"/>
    </xf>
    <xf numFmtId="1" fontId="7" fillId="3" borderId="0" xfId="0" applyNumberFormat="1" applyFont="1" applyFill="1" applyAlignment="1">
      <alignment horizontal="center" vertical="top" wrapText="1"/>
    </xf>
    <xf numFmtId="1" fontId="14" fillId="3" borderId="0" xfId="0" quotePrefix="1" applyNumberFormat="1" applyFont="1" applyFill="1" applyAlignment="1">
      <alignment horizontal="left" vertical="top" wrapText="1"/>
    </xf>
    <xf numFmtId="1" fontId="2" fillId="3" borderId="0" xfId="0" quotePrefix="1" applyNumberFormat="1" applyFont="1" applyFill="1" applyAlignment="1"/>
    <xf numFmtId="1" fontId="0" fillId="3" borderId="0" xfId="0" applyNumberFormat="1" applyFill="1" applyAlignment="1">
      <alignment horizontal="right"/>
    </xf>
    <xf numFmtId="177" fontId="0" fillId="3" borderId="0" xfId="0" applyNumberFormat="1" applyFill="1" applyAlignment="1"/>
    <xf numFmtId="173" fontId="0" fillId="3" borderId="0" xfId="0" applyNumberFormat="1" applyFill="1" applyAlignment="1"/>
    <xf numFmtId="173" fontId="0" fillId="3" borderId="0" xfId="0" applyNumberFormat="1" applyFill="1" applyAlignment="1" applyProtection="1">
      <protection locked="0"/>
    </xf>
    <xf numFmtId="1" fontId="0" fillId="3" borderId="0" xfId="0" applyNumberFormat="1" applyFill="1" applyAlignment="1" applyProtection="1">
      <protection locked="0"/>
    </xf>
    <xf numFmtId="1" fontId="2" fillId="0" borderId="0" xfId="0" applyNumberFormat="1" applyFont="1" applyAlignment="1">
      <alignment horizontal="right"/>
    </xf>
    <xf numFmtId="1" fontId="0" fillId="3" borderId="0" xfId="0" applyNumberFormat="1" applyFill="1" applyAlignment="1" applyProtection="1">
      <alignment horizontal="right"/>
      <protection locked="0"/>
    </xf>
    <xf numFmtId="1" fontId="2" fillId="0" borderId="0" xfId="0" quotePrefix="1" applyNumberFormat="1" applyFont="1" applyAlignment="1">
      <alignment horizontal="center"/>
    </xf>
    <xf numFmtId="165" fontId="0" fillId="0" borderId="0" xfId="1" applyNumberFormat="1" applyFont="1" applyFill="1" applyAlignment="1">
      <alignment horizontal="center"/>
    </xf>
    <xf numFmtId="1" fontId="0" fillId="0" borderId="0" xfId="0" applyNumberFormat="1" applyAlignment="1" applyProtection="1">
      <protection locked="0"/>
    </xf>
    <xf numFmtId="1" fontId="17" fillId="3" borderId="0" xfId="0" applyNumberFormat="1" applyFont="1" applyFill="1" applyAlignment="1"/>
    <xf numFmtId="1" fontId="17" fillId="0" borderId="0" xfId="0" applyNumberFormat="1" applyFont="1" applyAlignment="1"/>
    <xf numFmtId="9" fontId="2" fillId="2" borderId="0" xfId="14" applyFont="1" applyFill="1" applyAlignment="1">
      <alignment horizontal="center"/>
    </xf>
    <xf numFmtId="9" fontId="0" fillId="2" borderId="0" xfId="14" applyFont="1" applyFill="1" applyAlignment="1">
      <alignment horizontal="center"/>
    </xf>
    <xf numFmtId="170" fontId="2" fillId="2" borderId="0" xfId="0" applyNumberFormat="1" applyFont="1" applyFill="1" applyAlignment="1">
      <alignment horizontal="center"/>
    </xf>
    <xf numFmtId="169" fontId="0" fillId="0" borderId="0" xfId="0" applyNumberFormat="1" applyAlignment="1">
      <alignment horizontal="center"/>
    </xf>
    <xf numFmtId="1" fontId="2" fillId="3" borderId="0" xfId="0" applyNumberFormat="1" applyFont="1" applyFill="1" applyAlignment="1"/>
    <xf numFmtId="1" fontId="16" fillId="3" borderId="0" xfId="0" applyNumberFormat="1" applyFont="1" applyFill="1" applyAlignment="1">
      <alignment horizontal="center"/>
    </xf>
    <xf numFmtId="1" fontId="11" fillId="2" borderId="0" xfId="0" applyNumberFormat="1" applyFont="1" applyFill="1" applyAlignment="1"/>
    <xf numFmtId="180" fontId="2" fillId="0" borderId="0" xfId="1" applyNumberFormat="1" applyFont="1" applyAlignment="1">
      <alignment horizontal="center"/>
    </xf>
    <xf numFmtId="1" fontId="2" fillId="0" borderId="0" xfId="0" applyNumberFormat="1" applyFont="1" applyAlignment="1" applyProtection="1">
      <alignment horizontal="left"/>
      <protection locked="0"/>
    </xf>
    <xf numFmtId="1" fontId="22" fillId="2" borderId="0" xfId="0" applyNumberFormat="1" applyFont="1" applyFill="1" applyAlignment="1">
      <alignment horizontal="center"/>
    </xf>
    <xf numFmtId="1" fontId="20" fillId="2" borderId="0" xfId="0" applyNumberFormat="1" applyFont="1" applyFill="1" applyAlignment="1">
      <alignment horizontal="center"/>
    </xf>
    <xf numFmtId="1" fontId="24" fillId="0" borderId="0" xfId="0" applyNumberFormat="1" applyFont="1" applyAlignment="1"/>
    <xf numFmtId="1" fontId="2" fillId="0" borderId="0" xfId="0" applyNumberFormat="1" applyFont="1" applyAlignment="1" applyProtection="1">
      <protection locked="0"/>
    </xf>
    <xf numFmtId="1" fontId="7" fillId="0" borderId="0" xfId="0" quotePrefix="1" applyNumberFormat="1" applyFont="1" applyAlignment="1">
      <alignment horizontal="left" vertical="top"/>
    </xf>
    <xf numFmtId="1" fontId="11" fillId="0" borderId="0" xfId="0" applyNumberFormat="1" applyFont="1" applyAlignment="1"/>
    <xf numFmtId="3" fontId="2" fillId="0" borderId="0" xfId="0" applyNumberFormat="1" applyFont="1" applyAlignment="1">
      <alignment horizontal="center"/>
    </xf>
    <xf numFmtId="174" fontId="2" fillId="0" borderId="0" xfId="0" applyNumberFormat="1" applyFont="1" applyAlignment="1">
      <alignment horizontal="center"/>
    </xf>
    <xf numFmtId="1" fontId="12" fillId="0" borderId="0" xfId="0" quotePrefix="1" applyNumberFormat="1" applyFont="1" applyAlignment="1">
      <alignment horizontal="left"/>
    </xf>
    <xf numFmtId="9" fontId="2" fillId="0" borderId="0" xfId="14" applyFont="1" applyFill="1" applyAlignment="1">
      <alignment horizontal="center"/>
    </xf>
    <xf numFmtId="9" fontId="0" fillId="0" borderId="0" xfId="14" applyFont="1" applyFill="1" applyAlignment="1">
      <alignment horizontal="center"/>
    </xf>
    <xf numFmtId="1" fontId="0" fillId="0" borderId="0" xfId="14" applyNumberFormat="1" applyFont="1" applyFill="1" applyAlignment="1">
      <alignment horizontal="center"/>
    </xf>
    <xf numFmtId="176" fontId="0" fillId="0" borderId="0" xfId="14" applyNumberFormat="1" applyFont="1" applyFill="1" applyAlignment="1">
      <alignment horizontal="center"/>
    </xf>
    <xf numFmtId="170" fontId="0" fillId="0" borderId="0" xfId="14" applyNumberFormat="1" applyFont="1" applyFill="1" applyAlignment="1">
      <alignment horizontal="center"/>
    </xf>
    <xf numFmtId="174" fontId="0" fillId="0" borderId="0" xfId="14" applyNumberFormat="1" applyFont="1" applyFill="1" applyAlignment="1">
      <alignment horizontal="center"/>
    </xf>
    <xf numFmtId="1" fontId="21" fillId="2" borderId="0" xfId="0" applyNumberFormat="1" applyFont="1" applyFill="1" applyAlignment="1"/>
    <xf numFmtId="1" fontId="11" fillId="2" borderId="0" xfId="0" applyNumberFormat="1" applyFont="1" applyFill="1" applyAlignment="1">
      <alignment horizontal="left"/>
    </xf>
    <xf numFmtId="1" fontId="1" fillId="2" borderId="0" xfId="0" applyNumberFormat="1" applyFont="1" applyFill="1" applyAlignment="1"/>
    <xf numFmtId="1" fontId="2" fillId="2" borderId="0" xfId="0" applyNumberFormat="1" applyFont="1" applyFill="1" applyAlignment="1">
      <alignment horizontal="left"/>
    </xf>
    <xf numFmtId="170" fontId="2" fillId="0" borderId="0" xfId="0" applyNumberFormat="1" applyFont="1" applyAlignment="1"/>
    <xf numFmtId="10" fontId="0" fillId="0" borderId="0" xfId="14" applyNumberFormat="1" applyFont="1" applyAlignment="1">
      <alignment horizontal="center"/>
    </xf>
    <xf numFmtId="1" fontId="0" fillId="2" borderId="0" xfId="0" quotePrefix="1" applyNumberFormat="1" applyFill="1" applyAlignment="1">
      <alignment horizontal="center"/>
    </xf>
    <xf numFmtId="0" fontId="0" fillId="2" borderId="0" xfId="2" applyNumberFormat="1" applyFont="1" applyFill="1" applyAlignment="1">
      <alignment horizontal="center"/>
    </xf>
    <xf numFmtId="164" fontId="0" fillId="2" borderId="0" xfId="2" quotePrefix="1" applyNumberFormat="1" applyFont="1" applyFill="1" applyAlignment="1">
      <alignment horizontal="center"/>
    </xf>
    <xf numFmtId="3" fontId="0" fillId="2" borderId="0" xfId="0" quotePrefix="1" applyNumberFormat="1" applyFill="1" applyAlignment="1">
      <alignment horizontal="center"/>
    </xf>
    <xf numFmtId="174" fontId="0" fillId="2" borderId="0" xfId="0" quotePrefix="1" applyNumberFormat="1" applyFill="1" applyAlignment="1">
      <alignment horizontal="center"/>
    </xf>
    <xf numFmtId="1" fontId="5" fillId="0" borderId="0" xfId="0" applyNumberFormat="1" applyFont="1" applyAlignment="1">
      <alignment horizontal="left"/>
    </xf>
    <xf numFmtId="3" fontId="2" fillId="0" borderId="0" xfId="1" applyNumberFormat="1" applyFont="1" applyAlignment="1">
      <alignment horizontal="center"/>
    </xf>
    <xf numFmtId="168" fontId="0" fillId="0" borderId="0" xfId="0" applyNumberFormat="1" applyAlignment="1"/>
    <xf numFmtId="1" fontId="0" fillId="0" borderId="0" xfId="0" applyNumberFormat="1" applyAlignment="1" applyProtection="1">
      <protection hidden="1"/>
    </xf>
    <xf numFmtId="3" fontId="2" fillId="2" borderId="0" xfId="0" applyNumberFormat="1" applyFont="1" applyFill="1" applyAlignment="1" applyProtection="1">
      <alignment horizontal="center"/>
      <protection locked="0"/>
    </xf>
    <xf numFmtId="1" fontId="2" fillId="2" borderId="0" xfId="0" applyNumberFormat="1" applyFont="1" applyFill="1" applyAlignment="1" applyProtection="1">
      <protection hidden="1"/>
    </xf>
    <xf numFmtId="9" fontId="0" fillId="2" borderId="0" xfId="0" applyNumberFormat="1" applyFill="1" applyAlignment="1" applyProtection="1">
      <protection hidden="1"/>
    </xf>
    <xf numFmtId="1" fontId="0" fillId="2" borderId="0" xfId="0" applyNumberFormat="1" applyFill="1" applyAlignment="1" applyProtection="1">
      <alignment horizontal="center"/>
      <protection hidden="1"/>
    </xf>
    <xf numFmtId="180" fontId="0" fillId="0" borderId="0" xfId="1" applyNumberFormat="1" applyFont="1" applyAlignment="1">
      <alignment horizontal="center"/>
    </xf>
    <xf numFmtId="176" fontId="0" fillId="0" borderId="0" xfId="0" applyNumberFormat="1" applyAlignment="1"/>
    <xf numFmtId="170" fontId="2" fillId="0" borderId="0" xfId="0" applyNumberFormat="1" applyFont="1" applyAlignment="1">
      <alignment horizontal="center"/>
    </xf>
    <xf numFmtId="172" fontId="2" fillId="2" borderId="0" xfId="0" applyNumberFormat="1" applyFont="1" applyFill="1" applyAlignment="1">
      <alignment horizontal="center"/>
    </xf>
    <xf numFmtId="1" fontId="11" fillId="2" borderId="0" xfId="0" applyNumberFormat="1" applyFont="1" applyFill="1" applyAlignment="1">
      <alignment vertical="top"/>
    </xf>
    <xf numFmtId="171" fontId="2" fillId="2" borderId="0" xfId="0" applyNumberFormat="1" applyFont="1" applyFill="1" applyAlignment="1">
      <alignment horizontal="center"/>
    </xf>
    <xf numFmtId="1" fontId="28" fillId="2" borderId="0" xfId="0" applyNumberFormat="1" applyFont="1" applyFill="1" applyAlignment="1">
      <alignment horizontal="left"/>
    </xf>
    <xf numFmtId="170" fontId="2" fillId="2" borderId="0" xfId="0" applyNumberFormat="1" applyFont="1" applyFill="1" applyAlignment="1">
      <alignment horizontal="left"/>
    </xf>
    <xf numFmtId="174" fontId="2" fillId="2" borderId="0" xfId="0" applyNumberFormat="1" applyFont="1" applyFill="1" applyAlignment="1">
      <alignment horizontal="left"/>
    </xf>
    <xf numFmtId="1" fontId="2" fillId="2" borderId="0" xfId="0" quotePrefix="1" applyNumberFormat="1" applyFont="1" applyFill="1" applyAlignment="1">
      <alignment horizontal="center"/>
    </xf>
    <xf numFmtId="172" fontId="0" fillId="0" borderId="0" xfId="0" applyNumberFormat="1" applyAlignment="1">
      <alignment horizontal="center"/>
    </xf>
    <xf numFmtId="1" fontId="11" fillId="3" borderId="0" xfId="0" applyNumberFormat="1" applyFont="1" applyFill="1" applyAlignment="1"/>
    <xf numFmtId="1" fontId="2" fillId="2" borderId="0" xfId="0" applyNumberFormat="1" applyFont="1" applyFill="1" applyAlignment="1" applyProtection="1">
      <protection locked="0"/>
    </xf>
    <xf numFmtId="184" fontId="1" fillId="5" borderId="0" xfId="0" applyFont="1" applyFill="1">
      <alignment horizontal="left" wrapText="1"/>
    </xf>
    <xf numFmtId="184" fontId="31" fillId="5" borderId="0" xfId="0" applyFont="1" applyFill="1" applyAlignment="1">
      <alignment horizontal="center"/>
    </xf>
    <xf numFmtId="184" fontId="32" fillId="5" borderId="0" xfId="0" applyFont="1" applyFill="1" applyAlignment="1">
      <alignment horizontal="center"/>
    </xf>
    <xf numFmtId="184" fontId="29" fillId="5" borderId="0" xfId="0" applyFont="1" applyFill="1">
      <alignment horizontal="left" wrapText="1"/>
    </xf>
    <xf numFmtId="184" fontId="1" fillId="0" borderId="0" xfId="0" applyFont="1">
      <alignment horizontal="left" wrapText="1"/>
    </xf>
    <xf numFmtId="173" fontId="1" fillId="0" borderId="0" xfId="0" applyNumberFormat="1" applyFont="1">
      <alignment horizontal="left" wrapText="1"/>
    </xf>
    <xf numFmtId="177" fontId="1" fillId="0" borderId="0" xfId="0" applyNumberFormat="1" applyFont="1">
      <alignment horizontal="left" wrapText="1"/>
    </xf>
    <xf numFmtId="1" fontId="1" fillId="0" borderId="0" xfId="0" applyNumberFormat="1" applyFont="1">
      <alignment horizontal="left" wrapText="1"/>
    </xf>
    <xf numFmtId="177" fontId="1" fillId="0" borderId="0" xfId="0" applyNumberFormat="1" applyFont="1" applyAlignment="1">
      <alignment horizontal="right" wrapText="1"/>
    </xf>
    <xf numFmtId="171" fontId="2" fillId="0" borderId="0" xfId="0" applyNumberFormat="1" applyFont="1" applyAlignment="1">
      <alignment horizontal="center"/>
    </xf>
    <xf numFmtId="1" fontId="6" fillId="2" borderId="0" xfId="0" applyNumberFormat="1" applyFont="1" applyFill="1" applyAlignment="1" applyProtection="1">
      <alignment horizontal="left"/>
      <protection hidden="1"/>
    </xf>
    <xf numFmtId="1" fontId="11" fillId="2" borderId="0" xfId="0" applyNumberFormat="1" applyFont="1" applyFill="1" applyAlignment="1" applyProtection="1">
      <alignment horizontal="left"/>
      <protection hidden="1"/>
    </xf>
    <xf numFmtId="9" fontId="0" fillId="2" borderId="0" xfId="0" applyNumberFormat="1" applyFill="1" applyAlignment="1">
      <alignment horizontal="center"/>
    </xf>
    <xf numFmtId="170" fontId="0" fillId="0" borderId="0" xfId="0" applyNumberFormat="1" applyAlignment="1" applyProtection="1">
      <alignment horizontal="center"/>
      <protection locked="0"/>
    </xf>
    <xf numFmtId="174" fontId="0" fillId="0" borderId="0" xfId="0" applyNumberFormat="1" applyAlignment="1" applyProtection="1">
      <alignment horizontal="center"/>
      <protection locked="0"/>
    </xf>
    <xf numFmtId="9" fontId="0" fillId="0" borderId="0" xfId="14" applyFont="1" applyFill="1" applyAlignment="1" applyProtection="1">
      <alignment horizontal="center"/>
      <protection locked="0"/>
    </xf>
    <xf numFmtId="37" fontId="0" fillId="0" borderId="0" xfId="1" applyNumberFormat="1" applyFont="1" applyFill="1" applyAlignment="1" applyProtection="1">
      <alignment horizontal="center"/>
      <protection locked="0"/>
    </xf>
    <xf numFmtId="176" fontId="0" fillId="0" borderId="0" xfId="14" applyNumberFormat="1" applyFont="1" applyFill="1" applyAlignment="1" applyProtection="1">
      <alignment horizontal="center"/>
      <protection locked="0"/>
    </xf>
    <xf numFmtId="170" fontId="0" fillId="0" borderId="0" xfId="0" applyNumberFormat="1" applyAlignment="1" applyProtection="1">
      <protection locked="0"/>
    </xf>
    <xf numFmtId="9" fontId="0" fillId="0" borderId="0" xfId="0" applyNumberFormat="1" applyAlignment="1" applyProtection="1">
      <protection locked="0"/>
    </xf>
    <xf numFmtId="1" fontId="2" fillId="0" borderId="0" xfId="0" quotePrefix="1" applyNumberFormat="1" applyFont="1" applyAlignment="1" applyProtection="1">
      <alignment horizontal="left"/>
      <protection locked="0"/>
    </xf>
    <xf numFmtId="174" fontId="2" fillId="0" borderId="0" xfId="0" applyNumberFormat="1" applyFont="1" applyAlignment="1" applyProtection="1">
      <protection locked="0"/>
    </xf>
    <xf numFmtId="184" fontId="5" fillId="0" borderId="0" xfId="0" applyFont="1">
      <alignment horizontal="left" wrapText="1"/>
    </xf>
    <xf numFmtId="185" fontId="0" fillId="0" borderId="0" xfId="0" applyNumberFormat="1" applyAlignment="1"/>
    <xf numFmtId="185" fontId="34" fillId="0" borderId="0" xfId="0" applyNumberFormat="1" applyFont="1">
      <alignment horizontal="left" wrapText="1"/>
    </xf>
    <xf numFmtId="186" fontId="1" fillId="0" borderId="0" xfId="1" applyNumberFormat="1" applyFill="1" applyAlignment="1">
      <alignment horizontal="left" wrapText="1"/>
    </xf>
    <xf numFmtId="186" fontId="1" fillId="0" borderId="0" xfId="1" applyNumberFormat="1" applyAlignment="1">
      <alignment horizontal="left" wrapText="1"/>
    </xf>
    <xf numFmtId="187" fontId="2" fillId="2" borderId="0" xfId="1" applyNumberFormat="1" applyFont="1" applyFill="1" applyAlignment="1">
      <alignment horizontal="center"/>
    </xf>
    <xf numFmtId="184" fontId="1" fillId="2" borderId="0" xfId="0" applyFont="1" applyFill="1" applyAlignment="1">
      <alignment horizontal="left"/>
    </xf>
    <xf numFmtId="10" fontId="0" fillId="0" borderId="0" xfId="14" applyNumberFormat="1" applyFont="1" applyFill="1" applyAlignment="1" applyProtection="1">
      <alignment horizontal="center"/>
      <protection locked="0"/>
    </xf>
    <xf numFmtId="184" fontId="1" fillId="0" borderId="0" xfId="0" applyFont="1" applyAlignment="1">
      <alignment horizontal="left"/>
    </xf>
    <xf numFmtId="184" fontId="35" fillId="0" borderId="1" xfId="0" applyFont="1" applyBorder="1">
      <alignment horizontal="left" wrapText="1"/>
    </xf>
    <xf numFmtId="184" fontId="5" fillId="0" borderId="0" xfId="0" applyFont="1" applyAlignment="1">
      <alignment horizontal="left"/>
    </xf>
    <xf numFmtId="184" fontId="1" fillId="0" borderId="0" xfId="0" quotePrefix="1" applyFont="1" applyAlignment="1">
      <alignment horizontal="left"/>
    </xf>
    <xf numFmtId="174" fontId="1" fillId="0" borderId="0" xfId="1" applyNumberFormat="1" applyAlignment="1">
      <alignment horizontal="center" wrapText="1"/>
    </xf>
    <xf numFmtId="3" fontId="2" fillId="2" borderId="0" xfId="0" applyNumberFormat="1" applyFont="1" applyFill="1" applyAlignment="1" applyProtection="1">
      <alignment horizontal="center"/>
      <protection locked="0" hidden="1"/>
    </xf>
    <xf numFmtId="184" fontId="2" fillId="0" borderId="0" xfId="0" applyFont="1" applyAlignment="1">
      <alignment horizontal="left"/>
    </xf>
    <xf numFmtId="174" fontId="1" fillId="0" borderId="0" xfId="0" applyNumberFormat="1" applyFont="1">
      <alignment horizontal="left" wrapText="1"/>
    </xf>
    <xf numFmtId="166" fontId="1" fillId="0" borderId="0" xfId="0" applyNumberFormat="1" applyFont="1" applyAlignment="1">
      <alignment horizontal="center" wrapText="1"/>
    </xf>
    <xf numFmtId="9" fontId="1" fillId="0" borderId="0" xfId="0" applyNumberFormat="1" applyFont="1">
      <alignment horizontal="left" wrapText="1"/>
    </xf>
    <xf numFmtId="2" fontId="1" fillId="0" borderId="0" xfId="0" applyNumberFormat="1" applyFont="1">
      <alignment horizontal="left" wrapText="1"/>
    </xf>
    <xf numFmtId="174" fontId="1" fillId="0" borderId="0" xfId="0" applyNumberFormat="1" applyFont="1" applyAlignment="1">
      <alignment horizontal="center" wrapText="1"/>
    </xf>
    <xf numFmtId="176" fontId="1" fillId="0" borderId="0" xfId="0" applyNumberFormat="1" applyFont="1">
      <alignment horizontal="left" wrapText="1"/>
    </xf>
    <xf numFmtId="184" fontId="2" fillId="2" borderId="0" xfId="0" applyFont="1" applyFill="1" applyAlignment="1">
      <alignment horizontal="left"/>
    </xf>
    <xf numFmtId="3" fontId="2" fillId="2" borderId="0" xfId="0" applyNumberFormat="1" applyFont="1" applyFill="1" applyAlignment="1">
      <alignment horizontal="center"/>
    </xf>
    <xf numFmtId="170" fontId="1" fillId="0" borderId="0" xfId="0" applyNumberFormat="1" applyFont="1">
      <alignment horizontal="left" wrapText="1"/>
    </xf>
    <xf numFmtId="2" fontId="1" fillId="0" borderId="0" xfId="0" applyNumberFormat="1" applyFont="1" applyAlignment="1">
      <alignment horizontal="center" wrapText="1"/>
    </xf>
    <xf numFmtId="178" fontId="0" fillId="0" borderId="0" xfId="0" applyNumberFormat="1" applyAlignment="1"/>
    <xf numFmtId="172" fontId="2" fillId="2" borderId="0" xfId="0" quotePrefix="1" applyNumberFormat="1" applyFont="1" applyFill="1" applyAlignment="1">
      <alignment horizontal="center"/>
    </xf>
    <xf numFmtId="1" fontId="2" fillId="3" borderId="0" xfId="0" applyNumberFormat="1" applyFont="1" applyFill="1" applyAlignment="1">
      <alignment horizontal="left"/>
    </xf>
    <xf numFmtId="1" fontId="11" fillId="3" borderId="0" xfId="0" applyNumberFormat="1" applyFont="1" applyFill="1" applyAlignment="1">
      <alignment horizontal="left"/>
    </xf>
    <xf numFmtId="10" fontId="0" fillId="0" borderId="0" xfId="14" applyNumberFormat="1" applyFont="1" applyBorder="1"/>
    <xf numFmtId="176" fontId="27" fillId="0" borderId="0" xfId="14" applyNumberFormat="1" applyFont="1" applyFill="1" applyBorder="1" applyAlignment="1">
      <alignment horizontal="center" wrapText="1"/>
    </xf>
    <xf numFmtId="1" fontId="32" fillId="5" borderId="0" xfId="0" applyNumberFormat="1" applyFont="1" applyFill="1" applyAlignment="1">
      <alignment horizontal="center"/>
    </xf>
    <xf numFmtId="184" fontId="2" fillId="2" borderId="0" xfId="0" applyFont="1" applyFill="1" applyAlignment="1">
      <alignment horizontal="center"/>
    </xf>
    <xf numFmtId="176" fontId="0" fillId="0" borderId="0" xfId="14" applyNumberFormat="1" applyFont="1" applyAlignment="1">
      <alignment horizontal="left"/>
    </xf>
    <xf numFmtId="184" fontId="1" fillId="0" borderId="0" xfId="0" applyFont="1" applyAlignment="1">
      <alignment horizontal="center" wrapText="1"/>
    </xf>
    <xf numFmtId="10" fontId="0" fillId="0" borderId="0" xfId="14" applyNumberFormat="1" applyFont="1" applyFill="1" applyAlignment="1">
      <alignment horizontal="center"/>
    </xf>
    <xf numFmtId="2" fontId="1" fillId="0" borderId="0" xfId="0" applyNumberFormat="1" applyFont="1" applyAlignment="1"/>
    <xf numFmtId="184" fontId="1" fillId="0" borderId="0" xfId="0" applyFont="1" applyAlignment="1"/>
    <xf numFmtId="169" fontId="1" fillId="0" borderId="0" xfId="0" applyNumberFormat="1" applyFont="1" applyAlignment="1">
      <alignment horizontal="right" wrapText="1"/>
    </xf>
    <xf numFmtId="10" fontId="2" fillId="0" borderId="0" xfId="14" applyNumberFormat="1" applyFont="1" applyFill="1" applyBorder="1"/>
    <xf numFmtId="10" fontId="0" fillId="0" borderId="0" xfId="14" applyNumberFormat="1" applyFont="1" applyFill="1" applyBorder="1"/>
    <xf numFmtId="176" fontId="27" fillId="0" borderId="0" xfId="14" applyNumberFormat="1" applyFont="1" applyFill="1" applyBorder="1" applyAlignment="1">
      <alignment horizontal="right" wrapText="1"/>
    </xf>
    <xf numFmtId="170" fontId="27" fillId="0" borderId="0" xfId="0" applyNumberFormat="1" applyFont="1" applyAlignment="1">
      <alignment horizontal="right" wrapText="1"/>
    </xf>
    <xf numFmtId="183" fontId="27" fillId="0" borderId="0" xfId="14" applyNumberFormat="1" applyFont="1" applyFill="1" applyBorder="1" applyAlignment="1">
      <alignment horizontal="center" wrapText="1"/>
    </xf>
    <xf numFmtId="175" fontId="1" fillId="0" borderId="0" xfId="0" applyNumberFormat="1" applyFont="1" applyAlignment="1"/>
    <xf numFmtId="172" fontId="1" fillId="0" borderId="0" xfId="0" applyNumberFormat="1" applyFont="1" applyAlignment="1"/>
    <xf numFmtId="184" fontId="29" fillId="0" borderId="0" xfId="0" quotePrefix="1" applyFont="1" applyAlignment="1"/>
    <xf numFmtId="184" fontId="2" fillId="0" borderId="0" xfId="0" applyFont="1" applyAlignment="1"/>
    <xf numFmtId="171" fontId="1" fillId="0" borderId="0" xfId="0" applyNumberFormat="1" applyFont="1" applyAlignment="1"/>
    <xf numFmtId="169" fontId="1" fillId="0" borderId="0" xfId="0" applyNumberFormat="1" applyFont="1" applyAlignment="1"/>
    <xf numFmtId="170" fontId="1" fillId="0" borderId="0" xfId="0" applyNumberFormat="1" applyFont="1" applyAlignment="1">
      <alignment horizontal="right" wrapText="1"/>
    </xf>
    <xf numFmtId="184" fontId="12" fillId="0" borderId="0" xfId="0" quotePrefix="1" applyFont="1" applyAlignment="1">
      <alignment horizontal="left"/>
    </xf>
    <xf numFmtId="184" fontId="12" fillId="0" borderId="0" xfId="0" applyFont="1" applyAlignment="1">
      <alignment horizontal="left"/>
    </xf>
    <xf numFmtId="3" fontId="2" fillId="0" borderId="0" xfId="0" applyNumberFormat="1" applyFont="1" applyAlignment="1">
      <alignment horizontal="left"/>
    </xf>
    <xf numFmtId="170" fontId="0" fillId="0" borderId="0" xfId="0" applyNumberFormat="1" applyAlignment="1">
      <alignment horizontal="right"/>
    </xf>
    <xf numFmtId="170" fontId="2" fillId="0" borderId="0" xfId="0" applyNumberFormat="1" applyFont="1" applyAlignment="1">
      <alignment horizontal="right"/>
    </xf>
    <xf numFmtId="170" fontId="2" fillId="0" borderId="0" xfId="0" applyNumberFormat="1" applyFont="1" applyAlignment="1">
      <alignment horizontal="left"/>
    </xf>
    <xf numFmtId="174" fontId="2" fillId="0" borderId="0" xfId="0" applyNumberFormat="1" applyFont="1" applyAlignment="1">
      <alignment horizontal="left"/>
    </xf>
    <xf numFmtId="1" fontId="0" fillId="0" borderId="0" xfId="0" applyNumberFormat="1" applyAlignment="1">
      <alignment vertical="top" wrapText="1"/>
    </xf>
    <xf numFmtId="9" fontId="2" fillId="0" borderId="0" xfId="0" applyNumberFormat="1" applyFont="1" applyAlignment="1">
      <alignment horizontal="center"/>
    </xf>
    <xf numFmtId="1" fontId="7" fillId="0" borderId="0" xfId="0" applyNumberFormat="1" applyFont="1" applyAlignment="1" applyProtection="1">
      <alignment horizontal="center" wrapText="1"/>
      <protection locked="0"/>
    </xf>
    <xf numFmtId="164" fontId="7" fillId="0" borderId="0" xfId="2" applyNumberFormat="1" applyFont="1" applyFill="1" applyAlignment="1" applyProtection="1">
      <alignment horizontal="center" wrapText="1"/>
      <protection locked="0"/>
    </xf>
    <xf numFmtId="174" fontId="7" fillId="0" borderId="0" xfId="0" applyNumberFormat="1" applyFont="1" applyAlignment="1" applyProtection="1">
      <alignment horizontal="center" wrapText="1"/>
      <protection locked="0"/>
    </xf>
    <xf numFmtId="1" fontId="29" fillId="0" borderId="0" xfId="0" applyNumberFormat="1" applyFont="1" applyAlignment="1">
      <alignment vertical="top" wrapText="1"/>
    </xf>
    <xf numFmtId="172" fontId="2" fillId="0" borderId="0" xfId="0" applyNumberFormat="1" applyFont="1" applyAlignment="1">
      <alignment horizontal="center"/>
    </xf>
    <xf numFmtId="184" fontId="1" fillId="2" borderId="0" xfId="0" applyFont="1" applyFill="1">
      <alignment horizontal="left" wrapText="1"/>
    </xf>
    <xf numFmtId="184" fontId="1" fillId="2" borderId="0" xfId="0" quotePrefix="1" applyFont="1" applyFill="1" applyAlignment="1">
      <alignment horizontal="left"/>
    </xf>
    <xf numFmtId="1" fontId="1" fillId="0" borderId="0" xfId="0" applyNumberFormat="1" applyFont="1" applyAlignment="1">
      <alignment horizontal="right" wrapText="1"/>
    </xf>
    <xf numFmtId="1" fontId="7" fillId="0" borderId="0" xfId="0" applyNumberFormat="1" applyFont="1" applyAlignment="1" applyProtection="1">
      <alignment horizontal="left"/>
      <protection locked="0"/>
    </xf>
    <xf numFmtId="179" fontId="0" fillId="0" borderId="0" xfId="2" applyNumberFormat="1" applyFont="1" applyBorder="1"/>
    <xf numFmtId="177" fontId="39" fillId="0" borderId="0" xfId="7" applyNumberFormat="1"/>
    <xf numFmtId="176" fontId="0" fillId="0" borderId="0" xfId="14" applyNumberFormat="1" applyFont="1" applyAlignment="1"/>
    <xf numFmtId="2" fontId="1" fillId="0" borderId="0" xfId="0" applyNumberFormat="1" applyFont="1" applyAlignment="1">
      <alignment horizontal="right" wrapText="1"/>
    </xf>
    <xf numFmtId="173" fontId="0" fillId="0" borderId="0" xfId="14" applyNumberFormat="1" applyFont="1" applyAlignment="1" applyProtection="1"/>
    <xf numFmtId="184" fontId="1" fillId="0" borderId="0" xfId="0" applyFont="1" applyAlignment="1">
      <alignment wrapText="1"/>
    </xf>
    <xf numFmtId="9" fontId="0" fillId="0" borderId="0" xfId="14" applyFont="1" applyAlignment="1"/>
    <xf numFmtId="1" fontId="7" fillId="0" borderId="0" xfId="0" applyNumberFormat="1" applyFont="1" applyAlignment="1" applyProtection="1">
      <alignment horizontal="center"/>
      <protection locked="0"/>
    </xf>
    <xf numFmtId="2" fontId="1" fillId="0" borderId="0" xfId="8" applyNumberFormat="1"/>
    <xf numFmtId="0" fontId="1" fillId="0" borderId="0" xfId="8"/>
    <xf numFmtId="170" fontId="1" fillId="0" borderId="0" xfId="8" applyNumberFormat="1"/>
    <xf numFmtId="1" fontId="2" fillId="2" borderId="0" xfId="0" applyNumberFormat="1" applyFont="1" applyFill="1">
      <alignment horizontal="left" wrapText="1"/>
    </xf>
    <xf numFmtId="165" fontId="0" fillId="0" borderId="0" xfId="2" applyNumberFormat="1" applyFont="1" applyAlignment="1"/>
    <xf numFmtId="171" fontId="0" fillId="2" borderId="0" xfId="0" quotePrefix="1" applyNumberFormat="1" applyFill="1" applyAlignment="1">
      <alignment horizontal="center"/>
    </xf>
    <xf numFmtId="10" fontId="1" fillId="0" borderId="0" xfId="0" applyNumberFormat="1" applyFont="1">
      <alignment horizontal="left" wrapText="1"/>
    </xf>
    <xf numFmtId="171" fontId="0" fillId="2" borderId="0" xfId="1" quotePrefix="1" applyNumberFormat="1" applyFont="1" applyFill="1" applyAlignment="1">
      <alignment horizontal="center"/>
    </xf>
    <xf numFmtId="1" fontId="1" fillId="0" borderId="0" xfId="13" applyNumberFormat="1" applyAlignment="1"/>
    <xf numFmtId="0" fontId="39" fillId="0" borderId="0" xfId="12"/>
    <xf numFmtId="1" fontId="4" fillId="0" borderId="0" xfId="9" applyNumberFormat="1" applyAlignment="1"/>
    <xf numFmtId="1" fontId="4" fillId="0" borderId="0" xfId="9" applyNumberFormat="1" applyAlignment="1">
      <alignment horizontal="right"/>
    </xf>
    <xf numFmtId="0" fontId="26" fillId="0" borderId="0" xfId="9" applyNumberFormat="1" applyFont="1">
      <alignment horizontal="left" wrapText="1"/>
    </xf>
    <xf numFmtId="173" fontId="4" fillId="0" borderId="0" xfId="9" applyNumberFormat="1" applyAlignment="1"/>
    <xf numFmtId="1" fontId="4" fillId="0" borderId="0" xfId="9" quotePrefix="1" applyNumberFormat="1" applyAlignment="1">
      <alignment horizontal="left"/>
    </xf>
    <xf numFmtId="2" fontId="4" fillId="0" borderId="0" xfId="9" applyNumberFormat="1" applyAlignment="1"/>
    <xf numFmtId="170" fontId="2" fillId="0" borderId="0" xfId="2" applyNumberFormat="1" applyFont="1" applyFill="1" applyBorder="1" applyAlignment="1" applyProtection="1">
      <alignment horizontal="center"/>
      <protection locked="0"/>
    </xf>
    <xf numFmtId="1" fontId="1" fillId="0" borderId="0" xfId="0" applyNumberFormat="1" applyFont="1" applyAlignment="1"/>
    <xf numFmtId="174" fontId="1" fillId="0" borderId="0" xfId="1" applyNumberFormat="1" applyAlignment="1">
      <alignment horizontal="right" wrapText="1"/>
    </xf>
    <xf numFmtId="173" fontId="0" fillId="7" borderId="0" xfId="0" applyNumberFormat="1" applyFill="1" applyAlignment="1">
      <alignment horizontal="left"/>
    </xf>
    <xf numFmtId="9" fontId="2" fillId="0" borderId="0" xfId="14" applyFont="1" applyFill="1" applyAlignment="1" applyProtection="1">
      <alignment horizontal="center" vertical="center"/>
      <protection locked="0"/>
    </xf>
    <xf numFmtId="1" fontId="2" fillId="0" borderId="0" xfId="0" applyNumberFormat="1" applyFont="1" applyAlignment="1" applyProtection="1">
      <alignment horizontal="center" vertical="center"/>
      <protection locked="0"/>
    </xf>
    <xf numFmtId="1" fontId="2" fillId="0" borderId="0" xfId="0" applyNumberFormat="1" applyFont="1" applyAlignment="1" applyProtection="1">
      <alignment horizontal="center" vertical="center" wrapText="1"/>
      <protection locked="0"/>
    </xf>
    <xf numFmtId="1" fontId="0" fillId="8" borderId="0" xfId="0" applyNumberFormat="1" applyFill="1" applyAlignment="1"/>
    <xf numFmtId="1" fontId="1" fillId="8" borderId="0" xfId="0" applyNumberFormat="1" applyFont="1" applyFill="1" applyAlignment="1"/>
    <xf numFmtId="172" fontId="0" fillId="0" borderId="0" xfId="2" applyNumberFormat="1" applyFont="1" applyAlignment="1"/>
    <xf numFmtId="172" fontId="0" fillId="0" borderId="0" xfId="2" applyNumberFormat="1" applyFont="1" applyAlignment="1">
      <alignment horizontal="right"/>
    </xf>
    <xf numFmtId="4" fontId="1" fillId="0" borderId="0" xfId="0" applyNumberFormat="1" applyFont="1" applyAlignment="1"/>
    <xf numFmtId="174" fontId="1" fillId="0" borderId="0" xfId="8" applyNumberFormat="1"/>
    <xf numFmtId="174" fontId="43" fillId="0" borderId="0" xfId="0" applyNumberFormat="1" applyFont="1" applyAlignment="1"/>
    <xf numFmtId="174" fontId="0" fillId="0" borderId="0" xfId="2" applyNumberFormat="1" applyFont="1" applyAlignment="1"/>
    <xf numFmtId="1" fontId="1" fillId="0" borderId="0" xfId="0" applyNumberFormat="1" applyFont="1" applyAlignment="1">
      <alignment horizontal="center"/>
    </xf>
    <xf numFmtId="1" fontId="15" fillId="8" borderId="0" xfId="0" applyNumberFormat="1" applyFont="1" applyFill="1" applyAlignment="1">
      <alignment horizontal="center"/>
    </xf>
    <xf numFmtId="1" fontId="19" fillId="8" borderId="0" xfId="0" applyNumberFormat="1" applyFont="1" applyFill="1" applyAlignment="1">
      <alignment horizontal="center"/>
    </xf>
    <xf numFmtId="1" fontId="41" fillId="8" borderId="0" xfId="0" applyNumberFormat="1" applyFont="1" applyFill="1" applyAlignment="1">
      <alignment horizontal="center"/>
    </xf>
    <xf numFmtId="1" fontId="18" fillId="3" borderId="0" xfId="0" applyNumberFormat="1" applyFont="1" applyFill="1" applyAlignment="1">
      <alignment horizontal="center"/>
    </xf>
    <xf numFmtId="1" fontId="3" fillId="2" borderId="0" xfId="0" quotePrefix="1" applyNumberFormat="1" applyFont="1" applyFill="1" applyAlignment="1">
      <alignment horizontal="center"/>
    </xf>
    <xf numFmtId="1" fontId="41" fillId="0" borderId="0" xfId="0" applyNumberFormat="1" applyFont="1" applyAlignment="1"/>
    <xf numFmtId="1" fontId="18" fillId="0" borderId="0" xfId="0" applyNumberFormat="1" applyFont="1" applyAlignment="1"/>
    <xf numFmtId="1" fontId="3" fillId="0" borderId="0" xfId="0" quotePrefix="1" applyNumberFormat="1" applyFont="1" applyAlignment="1">
      <alignment horizontal="left"/>
    </xf>
    <xf numFmtId="173" fontId="27" fillId="0" borderId="0" xfId="0" applyNumberFormat="1" applyFont="1" applyAlignment="1"/>
    <xf numFmtId="9" fontId="0" fillId="0" borderId="0" xfId="14" applyFont="1" applyFill="1"/>
    <xf numFmtId="177" fontId="1" fillId="5" borderId="0" xfId="0" applyNumberFormat="1" applyFont="1" applyFill="1">
      <alignment horizontal="left" wrapText="1"/>
    </xf>
    <xf numFmtId="177" fontId="1" fillId="9" borderId="0" xfId="0" applyNumberFormat="1" applyFont="1" applyFill="1">
      <alignment horizontal="left" wrapText="1"/>
    </xf>
    <xf numFmtId="177" fontId="6" fillId="0" borderId="0" xfId="0" applyNumberFormat="1" applyFont="1" applyAlignment="1"/>
    <xf numFmtId="177" fontId="2" fillId="0" borderId="0" xfId="0" applyNumberFormat="1" applyFont="1" applyAlignment="1"/>
    <xf numFmtId="177" fontId="2" fillId="0" borderId="0" xfId="0" quotePrefix="1" applyNumberFormat="1" applyFont="1" applyAlignment="1">
      <alignment horizontal="left"/>
    </xf>
    <xf numFmtId="177" fontId="14" fillId="0" borderId="0" xfId="0" quotePrefix="1" applyNumberFormat="1" applyFont="1" applyAlignment="1">
      <alignment horizontal="left"/>
    </xf>
    <xf numFmtId="177" fontId="1" fillId="0" borderId="0" xfId="0" applyNumberFormat="1" applyFont="1" applyAlignment="1"/>
    <xf numFmtId="177" fontId="31" fillId="5" borderId="0" xfId="0" applyNumberFormat="1" applyFont="1" applyFill="1" applyAlignment="1">
      <alignment horizontal="center"/>
    </xf>
    <xf numFmtId="177" fontId="31" fillId="9" borderId="0" xfId="0" applyNumberFormat="1" applyFont="1" applyFill="1" applyAlignment="1">
      <alignment horizontal="center"/>
    </xf>
    <xf numFmtId="177" fontId="1" fillId="0" borderId="0" xfId="0" applyNumberFormat="1" applyFont="1" applyAlignment="1">
      <alignment horizontal="right"/>
    </xf>
    <xf numFmtId="177" fontId="32" fillId="5" borderId="0" xfId="0" applyNumberFormat="1" applyFont="1" applyFill="1" applyAlignment="1">
      <alignment horizontal="center"/>
    </xf>
    <xf numFmtId="177" fontId="32" fillId="9" borderId="0" xfId="0" applyNumberFormat="1" applyFont="1" applyFill="1" applyAlignment="1">
      <alignment horizontal="center"/>
    </xf>
    <xf numFmtId="177" fontId="29" fillId="5" borderId="0" xfId="0" applyNumberFormat="1" applyFont="1" applyFill="1">
      <alignment horizontal="left" wrapText="1"/>
    </xf>
    <xf numFmtId="177" fontId="29" fillId="9" borderId="0" xfId="0" applyNumberFormat="1" applyFont="1" applyFill="1">
      <alignment horizontal="left" wrapText="1"/>
    </xf>
    <xf numFmtId="177" fontId="27" fillId="0" borderId="0" xfId="0" applyNumberFormat="1" applyFont="1" applyAlignment="1"/>
    <xf numFmtId="177" fontId="2" fillId="0" borderId="0" xfId="0" quotePrefix="1" applyNumberFormat="1" applyFont="1" applyAlignment="1"/>
    <xf numFmtId="177" fontId="2" fillId="0" borderId="0" xfId="0" applyNumberFormat="1" applyFont="1" applyAlignment="1">
      <alignment horizontal="center"/>
    </xf>
    <xf numFmtId="0" fontId="2" fillId="0" borderId="0" xfId="0" applyNumberFormat="1" applyFont="1" applyAlignment="1"/>
    <xf numFmtId="0" fontId="1" fillId="0" borderId="0" xfId="9" applyNumberFormat="1" applyFont="1">
      <alignment horizontal="left" wrapText="1"/>
    </xf>
    <xf numFmtId="188" fontId="1" fillId="0" borderId="0" xfId="9" applyNumberFormat="1" applyFont="1" applyAlignment="1">
      <alignment horizontal="right" wrapText="1"/>
    </xf>
    <xf numFmtId="173" fontId="1" fillId="0" borderId="0" xfId="9" applyNumberFormat="1" applyFont="1" applyAlignment="1">
      <alignment horizontal="right" wrapText="1"/>
    </xf>
    <xf numFmtId="1" fontId="1" fillId="0" borderId="0" xfId="9" quotePrefix="1" applyNumberFormat="1" applyFont="1" applyAlignment="1">
      <alignment horizontal="left"/>
    </xf>
    <xf numFmtId="1" fontId="0" fillId="9" borderId="0" xfId="0" applyNumberFormat="1" applyFill="1" applyAlignment="1"/>
    <xf numFmtId="9" fontId="1" fillId="0" borderId="0" xfId="14" applyFont="1" applyAlignment="1"/>
    <xf numFmtId="10" fontId="1" fillId="0" borderId="0" xfId="14" applyNumberFormat="1" applyFont="1" applyFill="1" applyBorder="1"/>
    <xf numFmtId="176" fontId="1" fillId="0" borderId="0" xfId="14" applyNumberFormat="1" applyFont="1" applyFill="1" applyBorder="1" applyAlignment="1">
      <alignment horizontal="center"/>
    </xf>
    <xf numFmtId="9" fontId="0" fillId="0" borderId="0" xfId="14" applyFont="1" applyBorder="1"/>
    <xf numFmtId="174" fontId="27" fillId="0" borderId="0" xfId="0" applyNumberFormat="1" applyFont="1" applyAlignment="1">
      <alignment horizontal="right" wrapText="1"/>
    </xf>
    <xf numFmtId="168" fontId="27" fillId="0" borderId="0" xfId="1" applyFont="1" applyFill="1" applyBorder="1" applyAlignment="1">
      <alignment horizontal="center" wrapText="1"/>
    </xf>
    <xf numFmtId="168" fontId="27" fillId="0" borderId="0" xfId="1" applyFont="1" applyFill="1" applyBorder="1" applyAlignment="1">
      <alignment horizontal="right" wrapText="1"/>
    </xf>
    <xf numFmtId="168" fontId="0" fillId="0" borderId="0" xfId="1" applyFont="1" applyBorder="1"/>
    <xf numFmtId="168" fontId="0" fillId="0" borderId="0" xfId="1" applyFont="1" applyBorder="1" applyAlignment="1"/>
    <xf numFmtId="168" fontId="2" fillId="0" borderId="0" xfId="1" applyFont="1" applyAlignment="1"/>
    <xf numFmtId="176" fontId="0" fillId="0" borderId="0" xfId="1" applyNumberFormat="1" applyFont="1" applyBorder="1" applyAlignment="1"/>
    <xf numFmtId="177" fontId="7" fillId="0" borderId="0" xfId="0" applyNumberFormat="1" applyFont="1" applyAlignment="1">
      <alignment horizontal="left" vertical="top"/>
    </xf>
    <xf numFmtId="177" fontId="14" fillId="0" borderId="0" xfId="0" quotePrefix="1" applyNumberFormat="1" applyFont="1" applyAlignment="1">
      <alignment horizontal="center" vertical="top"/>
    </xf>
    <xf numFmtId="177" fontId="7" fillId="0" borderId="0" xfId="0" applyNumberFormat="1" applyFont="1" applyAlignment="1">
      <alignment horizontal="center" vertical="top"/>
    </xf>
    <xf numFmtId="177" fontId="14" fillId="0" borderId="0" xfId="0" quotePrefix="1" applyNumberFormat="1" applyFont="1" applyAlignment="1">
      <alignment horizontal="left" vertical="top"/>
    </xf>
    <xf numFmtId="177" fontId="7" fillId="0" borderId="0" xfId="0" quotePrefix="1" applyNumberFormat="1" applyFont="1" applyAlignment="1">
      <alignment horizontal="left" vertical="top"/>
    </xf>
    <xf numFmtId="1" fontId="2" fillId="4" borderId="0" xfId="0" applyNumberFormat="1" applyFont="1" applyFill="1" applyAlignment="1">
      <alignment vertical="top" wrapText="1"/>
    </xf>
    <xf numFmtId="1" fontId="0" fillId="0" borderId="0" xfId="0" applyNumberFormat="1" applyAlignment="1">
      <alignment wrapText="1"/>
    </xf>
    <xf numFmtId="0" fontId="40" fillId="6" borderId="0" xfId="7" applyFont="1" applyFill="1" applyAlignment="1">
      <alignment horizontal="left" wrapText="1"/>
    </xf>
    <xf numFmtId="1" fontId="1" fillId="2" borderId="0" xfId="0" quotePrefix="1" applyNumberFormat="1" applyFont="1" applyFill="1" applyAlignment="1">
      <alignment horizontal="left"/>
    </xf>
    <xf numFmtId="1" fontId="1" fillId="0" borderId="0" xfId="0" quotePrefix="1" applyNumberFormat="1" applyFont="1" applyAlignment="1">
      <alignment horizontal="left"/>
    </xf>
    <xf numFmtId="1" fontId="1" fillId="2" borderId="0" xfId="0" applyNumberFormat="1" applyFont="1" applyFill="1" applyAlignment="1">
      <alignment horizontal="left"/>
    </xf>
    <xf numFmtId="1" fontId="1" fillId="0" borderId="0" xfId="0" applyNumberFormat="1" applyFont="1" applyAlignment="1">
      <alignment horizontal="left"/>
    </xf>
    <xf numFmtId="1" fontId="1" fillId="0" borderId="0" xfId="0" applyNumberFormat="1" applyFont="1" applyAlignment="1" applyProtection="1">
      <protection hidden="1"/>
    </xf>
    <xf numFmtId="1" fontId="1" fillId="0" borderId="0" xfId="0" applyNumberFormat="1" applyFont="1" applyAlignment="1" applyProtection="1">
      <protection locked="0"/>
    </xf>
    <xf numFmtId="170" fontId="1" fillId="0" borderId="0" xfId="0" applyNumberFormat="1" applyFont="1" applyAlignment="1">
      <alignment horizontal="center"/>
    </xf>
    <xf numFmtId="174" fontId="1" fillId="0" borderId="0" xfId="0" applyNumberFormat="1" applyFont="1" applyAlignment="1">
      <alignment horizontal="center"/>
    </xf>
    <xf numFmtId="170" fontId="1" fillId="0" borderId="0" xfId="0" applyNumberFormat="1" applyFont="1" applyAlignment="1"/>
    <xf numFmtId="1" fontId="1" fillId="0" borderId="0" xfId="0" applyNumberFormat="1" applyFont="1" applyAlignment="1">
      <alignment vertical="top" wrapText="1"/>
    </xf>
    <xf numFmtId="9" fontId="1" fillId="0" borderId="0" xfId="0" applyNumberFormat="1" applyFont="1" applyAlignment="1">
      <alignment horizontal="center"/>
    </xf>
    <xf numFmtId="171" fontId="1" fillId="0" borderId="0" xfId="0" applyNumberFormat="1" applyFont="1" applyAlignment="1">
      <alignment horizontal="center"/>
    </xf>
    <xf numFmtId="172" fontId="1" fillId="0" borderId="0" xfId="0" applyNumberFormat="1" applyFont="1" applyAlignment="1">
      <alignment horizontal="center"/>
    </xf>
    <xf numFmtId="9" fontId="1" fillId="0" borderId="0" xfId="14" applyFont="1" applyFill="1"/>
    <xf numFmtId="9" fontId="1" fillId="0" borderId="0" xfId="14" applyFont="1" applyFill="1" applyAlignment="1">
      <alignment horizontal="center"/>
    </xf>
    <xf numFmtId="1" fontId="1" fillId="0" borderId="0" xfId="14" applyNumberFormat="1" applyFont="1" applyFill="1"/>
    <xf numFmtId="1" fontId="12" fillId="2" borderId="0" xfId="0" applyNumberFormat="1" applyFont="1" applyFill="1" applyAlignment="1"/>
    <xf numFmtId="1" fontId="12" fillId="0" borderId="0" xfId="0" applyNumberFormat="1" applyFont="1" applyAlignment="1"/>
    <xf numFmtId="1" fontId="1" fillId="2" borderId="0" xfId="0" applyNumberFormat="1" applyFont="1" applyFill="1" applyAlignment="1">
      <alignment horizontal="center"/>
    </xf>
    <xf numFmtId="170" fontId="1" fillId="0" borderId="0" xfId="14" applyNumberFormat="1" applyFont="1" applyFill="1"/>
    <xf numFmtId="170" fontId="1" fillId="2" borderId="0" xfId="0" applyNumberFormat="1" applyFont="1" applyFill="1" applyAlignment="1">
      <alignment horizontal="center"/>
    </xf>
    <xf numFmtId="9" fontId="1" fillId="2" borderId="0" xfId="14" applyFont="1" applyFill="1" applyAlignment="1">
      <alignment horizontal="center"/>
    </xf>
    <xf numFmtId="176" fontId="1" fillId="0" borderId="0" xfId="14" applyNumberFormat="1" applyFont="1" applyFill="1"/>
    <xf numFmtId="170" fontId="1" fillId="0" borderId="0" xfId="0" applyNumberFormat="1" applyFont="1" applyAlignment="1">
      <alignment horizontal="right"/>
    </xf>
    <xf numFmtId="174" fontId="1" fillId="0" borderId="0" xfId="14" applyNumberFormat="1" applyFont="1" applyFill="1"/>
    <xf numFmtId="174" fontId="1" fillId="0" borderId="0" xfId="0" applyNumberFormat="1" applyFont="1" applyAlignment="1"/>
    <xf numFmtId="1" fontId="1" fillId="2" borderId="0" xfId="1" applyNumberFormat="1" applyFont="1" applyFill="1" applyAlignment="1">
      <alignment horizontal="center"/>
    </xf>
    <xf numFmtId="10" fontId="1" fillId="2" borderId="0" xfId="14" applyNumberFormat="1" applyFont="1" applyFill="1" applyAlignment="1">
      <alignment horizontal="center"/>
    </xf>
    <xf numFmtId="174" fontId="1" fillId="2" borderId="0" xfId="14" applyNumberFormat="1" applyFont="1" applyFill="1" applyAlignment="1">
      <alignment horizontal="center"/>
    </xf>
    <xf numFmtId="176" fontId="1" fillId="2" borderId="0" xfId="14" applyNumberFormat="1" applyFont="1" applyFill="1" applyAlignment="1">
      <alignment horizontal="right"/>
    </xf>
    <xf numFmtId="176" fontId="1" fillId="0" borderId="0" xfId="14" applyNumberFormat="1" applyFont="1" applyFill="1" applyAlignment="1">
      <alignment horizontal="center"/>
    </xf>
    <xf numFmtId="170" fontId="1" fillId="2" borderId="0" xfId="14" applyNumberFormat="1" applyFont="1" applyFill="1" applyAlignment="1">
      <alignment horizontal="center"/>
    </xf>
    <xf numFmtId="182" fontId="27" fillId="2" borderId="0" xfId="10" applyNumberFormat="1" applyFont="1" applyFill="1"/>
    <xf numFmtId="9" fontId="1" fillId="0" borderId="0" xfId="14" applyFont="1"/>
    <xf numFmtId="182" fontId="27" fillId="0" borderId="0" xfId="7" applyNumberFormat="1" applyFont="1"/>
    <xf numFmtId="1" fontId="1" fillId="0" borderId="0" xfId="0" quotePrefix="1" applyNumberFormat="1" applyFont="1" applyAlignment="1">
      <alignment horizontal="right"/>
    </xf>
    <xf numFmtId="182" fontId="27" fillId="0" borderId="0" xfId="6" applyNumberFormat="1" applyFont="1"/>
    <xf numFmtId="184" fontId="1" fillId="0" borderId="0" xfId="0" applyFont="1" applyAlignment="1">
      <alignment horizontal="center"/>
    </xf>
    <xf numFmtId="184" fontId="1" fillId="0" borderId="0" xfId="0" quotePrefix="1" applyFont="1" applyAlignment="1"/>
    <xf numFmtId="2" fontId="1" fillId="0" borderId="0" xfId="0" applyNumberFormat="1" applyFont="1" applyAlignment="1">
      <alignment horizontal="center"/>
    </xf>
    <xf numFmtId="175" fontId="1" fillId="0" borderId="0" xfId="0" applyNumberFormat="1" applyFont="1" applyAlignment="1">
      <alignment horizontal="center"/>
    </xf>
    <xf numFmtId="169" fontId="1" fillId="0" borderId="0" xfId="0" applyNumberFormat="1" applyFont="1" applyAlignment="1">
      <alignment horizontal="center"/>
    </xf>
    <xf numFmtId="173" fontId="1" fillId="0" borderId="0" xfId="0" applyNumberFormat="1" applyFont="1" applyAlignment="1">
      <alignment horizontal="center"/>
    </xf>
    <xf numFmtId="173" fontId="1" fillId="0" borderId="0" xfId="0" applyNumberFormat="1" applyFont="1" applyAlignment="1"/>
    <xf numFmtId="173" fontId="1" fillId="0" borderId="0" xfId="0" applyNumberFormat="1" applyFont="1" applyAlignment="1">
      <alignment horizontal="right" wrapText="1"/>
    </xf>
    <xf numFmtId="184" fontId="1" fillId="0" borderId="0" xfId="9" applyNumberFormat="1" applyFont="1">
      <alignment horizontal="left" wrapText="1"/>
    </xf>
    <xf numFmtId="1" fontId="1" fillId="0" borderId="0" xfId="0" applyNumberFormat="1" applyFont="1" applyAlignment="1">
      <alignment horizontal="center" wrapText="1"/>
    </xf>
    <xf numFmtId="1" fontId="1" fillId="0" borderId="0" xfId="9" applyNumberFormat="1" applyFont="1" applyAlignment="1">
      <alignment horizontal="center" wrapText="1"/>
    </xf>
    <xf numFmtId="173" fontId="1" fillId="0" borderId="0" xfId="9" applyNumberFormat="1" applyFont="1">
      <alignment horizontal="left" wrapText="1"/>
    </xf>
    <xf numFmtId="182" fontId="27" fillId="0" borderId="0" xfId="10" applyNumberFormat="1" applyFont="1"/>
    <xf numFmtId="177" fontId="1" fillId="0" borderId="0" xfId="13" applyNumberFormat="1" applyAlignment="1"/>
    <xf numFmtId="177" fontId="27" fillId="0" borderId="0" xfId="11" applyNumberFormat="1" applyFont="1"/>
    <xf numFmtId="1" fontId="6" fillId="2" borderId="0" xfId="0" applyNumberFormat="1" applyFont="1" applyFill="1" applyAlignment="1">
      <alignment vertical="top" wrapText="1"/>
    </xf>
    <xf numFmtId="1" fontId="0" fillId="2" borderId="0" xfId="0" applyNumberFormat="1" applyFill="1" applyAlignment="1">
      <alignment vertical="top" wrapText="1"/>
    </xf>
    <xf numFmtId="1" fontId="0" fillId="2" borderId="0" xfId="0" applyNumberFormat="1" applyFill="1" applyAlignment="1"/>
    <xf numFmtId="1" fontId="11" fillId="2" borderId="0" xfId="0" applyNumberFormat="1" applyFont="1" applyFill="1" applyAlignment="1">
      <alignment vertical="top" wrapText="1"/>
    </xf>
    <xf numFmtId="1" fontId="0" fillId="0" borderId="0" xfId="0" applyNumberFormat="1" applyAlignment="1">
      <alignment vertical="top" wrapText="1"/>
    </xf>
    <xf numFmtId="1" fontId="2" fillId="4" borderId="0" xfId="0" quotePrefix="1" applyNumberFormat="1" applyFont="1" applyFill="1" applyAlignment="1">
      <alignment horizontal="left" vertical="top" wrapText="1"/>
    </xf>
    <xf numFmtId="1" fontId="2" fillId="4" borderId="0" xfId="0" applyNumberFormat="1" applyFont="1" applyFill="1" applyAlignment="1">
      <alignment vertical="top" wrapText="1"/>
    </xf>
    <xf numFmtId="184" fontId="2" fillId="4" borderId="0" xfId="0" applyFont="1" applyFill="1" applyAlignment="1">
      <alignment vertical="top" wrapText="1"/>
    </xf>
    <xf numFmtId="184" fontId="1" fillId="0" borderId="0" xfId="0" applyFont="1" applyAlignment="1">
      <alignment vertical="top" wrapText="1"/>
    </xf>
    <xf numFmtId="1" fontId="2" fillId="4" borderId="0" xfId="0" applyNumberFormat="1" applyFont="1" applyFill="1" applyAlignment="1">
      <alignment wrapText="1"/>
    </xf>
    <xf numFmtId="1" fontId="0" fillId="0" borderId="0" xfId="0" applyNumberFormat="1" applyAlignment="1">
      <alignment wrapText="1"/>
    </xf>
    <xf numFmtId="1" fontId="1" fillId="0" borderId="0" xfId="0" applyNumberFormat="1" applyFont="1" applyAlignment="1">
      <alignment vertical="top" wrapText="1"/>
    </xf>
    <xf numFmtId="1" fontId="1" fillId="0" borderId="0" xfId="0" applyNumberFormat="1" applyFont="1" applyAlignment="1"/>
    <xf numFmtId="0" fontId="40" fillId="6" borderId="0" xfId="7" applyFont="1" applyFill="1" applyAlignment="1">
      <alignment horizontal="left" wrapText="1"/>
    </xf>
  </cellXfs>
  <cellStyles count="15">
    <cellStyle name="Comma" xfId="1" builtinId="3"/>
    <cellStyle name="Currency" xfId="2" builtinId="4"/>
    <cellStyle name="Normal" xfId="0" builtinId="0"/>
    <cellStyle name="Normal 2" xfId="3" xr:uid="{00000000-0005-0000-0000-000003000000}"/>
    <cellStyle name="Normal 3" xfId="4" xr:uid="{00000000-0005-0000-0000-000004000000}"/>
    <cellStyle name="Normal 4" xfId="5" xr:uid="{00000000-0005-0000-0000-000005000000}"/>
    <cellStyle name="Normal_Calculations" xfId="6" xr:uid="{00000000-0005-0000-0000-000006000000}"/>
    <cellStyle name="Normal_DefaultData" xfId="7" xr:uid="{00000000-0005-0000-0000-000007000000}"/>
    <cellStyle name="Normal_DefaultData_1" xfId="8" xr:uid="{00000000-0005-0000-0000-000008000000}"/>
    <cellStyle name="Normal_Deflators" xfId="9" xr:uid="{00000000-0005-0000-0000-000009000000}"/>
    <cellStyle name="Normal_Household Exp" xfId="10" xr:uid="{00000000-0005-0000-0000-00000A000000}"/>
    <cellStyle name="Normal_Multipliers" xfId="11" xr:uid="{00000000-0005-0000-0000-00000B000000}"/>
    <cellStyle name="Normal_ProjectData" xfId="12" xr:uid="{00000000-0005-0000-0000-00000C000000}"/>
    <cellStyle name="Normal_Sheet1" xfId="13" xr:uid="{00000000-0005-0000-0000-00000D000000}"/>
    <cellStyle name="Percent" xfId="14" builtinId="5"/>
  </cellStyles>
  <dxfs count="24">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rgb="FF00FFFF"/>
      </font>
      <fill>
        <patternFill>
          <bgColor rgb="FF00FFFF"/>
        </patternFill>
      </fill>
    </dxf>
    <dxf>
      <font>
        <color theme="0" tint="-0.24994659260841701"/>
        <name val="Cambria"/>
        <scheme val="none"/>
      </font>
      <fill>
        <patternFill>
          <bgColor theme="0" tint="-0.24994659260841701"/>
        </patternFill>
      </fill>
    </dxf>
  </dxfs>
  <tableStyles count="0" defaultTableStyle="TableStyleMedium9" defaultPivotStyle="PivotStyleLight16"/>
  <colors>
    <mruColors>
      <color rgb="FF00FF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2352674</xdr:colOff>
      <xdr:row>6</xdr:row>
      <xdr:rowOff>247651</xdr:rowOff>
    </xdr:from>
    <xdr:to>
      <xdr:col>0</xdr:col>
      <xdr:colOff>11468099</xdr:colOff>
      <xdr:row>49</xdr:row>
      <xdr:rowOff>66676</xdr:rowOff>
    </xdr:to>
    <xdr:sp macro="" textlink="">
      <xdr:nvSpPr>
        <xdr:cNvPr id="2" name="Text Box 1">
          <a:extLst>
            <a:ext uri="{FF2B5EF4-FFF2-40B4-BE49-F238E27FC236}">
              <a16:creationId xmlns:a16="http://schemas.microsoft.com/office/drawing/2014/main" id="{00000000-0008-0000-0100-000002000000}"/>
            </a:ext>
          </a:extLst>
        </xdr:cNvPr>
        <xdr:cNvSpPr txBox="1">
          <a:spLocks noChangeArrowheads="1"/>
        </xdr:cNvSpPr>
      </xdr:nvSpPr>
      <xdr:spPr bwMode="auto">
        <a:xfrm>
          <a:off x="2352674" y="1685926"/>
          <a:ext cx="9115425" cy="6962775"/>
        </a:xfrm>
        <a:prstGeom prst="rect">
          <a:avLst/>
        </a:prstGeom>
        <a:solidFill>
          <a:schemeClr val="bg1"/>
        </a:solidFill>
        <a:ln w="12700">
          <a:solidFill>
            <a:srgbClr val="000000"/>
          </a:solidFill>
          <a:miter lim="800000"/>
          <a:headEnd/>
          <a:tailEnd/>
        </a:ln>
      </xdr:spPr>
      <xdr:txBody>
        <a:bodyPr vertOverflow="clip" wrap="square" lIns="27432" tIns="22860" rIns="228600" bIns="0" anchor="t" upright="1"/>
        <a:lstStyle/>
        <a:p>
          <a:pPr algn="l" rtl="0">
            <a:defRPr sz="1000"/>
          </a:pPr>
          <a:endParaRPr lang="en-US" sz="1000" b="0" i="0" u="none" strike="noStrike" baseline="0">
            <a:solidFill>
              <a:srgbClr val="000000"/>
            </a:solidFill>
            <a:latin typeface="Helv"/>
          </a:endParaRPr>
        </a:p>
        <a:p>
          <a:pPr marL="228600" lvl="0" algn="l" rtl="0">
            <a:defRPr sz="1000"/>
          </a:pPr>
          <a:r>
            <a:rPr lang="en-US" sz="1200" b="0" i="0" u="none" strike="noStrike">
              <a:latin typeface="Times New Roman" pitchFamily="18" charset="0"/>
              <a:ea typeface="+mn-ea"/>
              <a:cs typeface="Times New Roman" pitchFamily="18" charset="0"/>
            </a:rPr>
            <a:t>The Jobs and Economic Development Impact Model (JEDI) was developed to demonstrate the economic benefits associated with photovoltaic systems</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in the United States.  The primary goal in developing the state level model was to provide a tool for system developers, renewable energy advocates,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government officials, decision makers and other potential users, to easily identify the local economic impacts associated with constructing and operating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these systems as part of a scenario, that is, more than one individual project. The second goal was to facilitate broad access and usage of the model by making it</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adaptable to a web based application that can be put on a web site.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l" rtl="0">
            <a:defRPr sz="1000"/>
          </a:pPr>
          <a:r>
            <a:rPr lang="en-US" sz="1200" b="0" i="0" u="none" strike="noStrike">
              <a:latin typeface="Times New Roman" pitchFamily="18" charset="0"/>
              <a:ea typeface="+mn-ea"/>
              <a:cs typeface="Times New Roman" pitchFamily="18" charset="0"/>
            </a:rPr>
            <a:t>Consistent with these goals, a strong emphasis was placed on designing the model in a user-friendly format that could be easily modified - reflecting different levels of project specific information and user skill. This insures the greatest flexibility, for inexperienced spreadsheet users, those unfamiliar with economic impact analysis, and more experienced and knowledgeable users who have a need for this specific type of analysis.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l" rtl="0">
            <a:defRPr sz="1000"/>
          </a:pPr>
          <a:r>
            <a:rPr lang="en-US" sz="1200" b="0" i="0" u="none" strike="noStrike">
              <a:latin typeface="Times New Roman" pitchFamily="18" charset="0"/>
              <a:ea typeface="+mn-ea"/>
              <a:cs typeface="Times New Roman" pitchFamily="18" charset="0"/>
            </a:rPr>
            <a:t>Persons wishing more information on how and/or where the model is being used or the role of the National Renewable Energy Laboratory in analyzing photovoltaics and other renewable technologies should contact jedi supoport at:</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ctr" rtl="0">
            <a:defRPr sz="1000"/>
          </a:pPr>
          <a:r>
            <a:rPr lang="en-US" sz="1200" b="0" i="0" u="none" strike="noStrike">
              <a:latin typeface="Times New Roman" pitchFamily="18" charset="0"/>
              <a:ea typeface="+mn-ea"/>
              <a:cs typeface="Times New Roman" pitchFamily="18" charset="0"/>
            </a:rPr>
            <a:t>National Renewable Energy Laboratory</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15013 Denver West Parkway</a:t>
          </a:r>
          <a:r>
            <a:rPr lang="en-US" sz="1200" b="0" i="0" u="none" strike="noStrike" baseline="0">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Golden, CO. 80401</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Email: jedisupport@nrel.gov</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l" rtl="0">
            <a:defRPr sz="1000"/>
          </a:pPr>
          <a:r>
            <a:rPr lang="en-US" sz="1200" b="0" i="0" u="none" strike="noStrike">
              <a:latin typeface="Times New Roman" pitchFamily="18" charset="0"/>
              <a:ea typeface="+mn-ea"/>
              <a:cs typeface="Times New Roman" pitchFamily="18" charset="0"/>
            </a:rPr>
            <a:t>The model was developed by Marshall Goldberg of MRG &amp; Associates, under contract with the National Renewable Energy Laboratory.  Persons wishing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more information on the methodology or data in the model should contact him at: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ctr" rtl="0">
            <a:defRPr sz="1000"/>
          </a:pPr>
          <a:r>
            <a:rPr lang="en-US" sz="1200" b="0" i="0" u="none" strike="noStrike">
              <a:latin typeface="Times New Roman" pitchFamily="18" charset="0"/>
              <a:ea typeface="+mn-ea"/>
              <a:cs typeface="Times New Roman" pitchFamily="18" charset="0"/>
            </a:rPr>
            <a:t>MRG &amp; Associates</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17935 Starduster Dr.</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Nevada City, California, 95959</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Tel.: 530.432.9373</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Email: MRGAssociates@earthlink.net</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l" rtl="0">
            <a:defRPr sz="1000"/>
          </a:pPr>
          <a:r>
            <a:rPr lang="en-US" sz="1200" b="0" i="0" u="none" strike="noStrike">
              <a:latin typeface="Times New Roman" pitchFamily="18" charset="0"/>
              <a:ea typeface="+mn-ea"/>
              <a:cs typeface="Times New Roman" pitchFamily="18" charset="0"/>
            </a:rPr>
            <a:t>The JEDI model utilizes multipliers derived from IMPLAN data using IMPLAN Version 3</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Software.  Persons wishing more information on the IMPLAN data or the software should contact the IMPLAN Group.</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ctr" rtl="0">
            <a:defRPr sz="1000"/>
          </a:pPr>
          <a:endParaRPr lang="en-US" sz="1200" b="0" i="0" u="none" strike="noStrike">
            <a:latin typeface="Times New Roman" pitchFamily="18" charset="0"/>
            <a:ea typeface="+mn-ea"/>
            <a:cs typeface="Times New Roman" pitchFamily="18" charset="0"/>
          </a:endParaRPr>
        </a:p>
        <a:p>
          <a:pPr marL="228600" lvl="0" algn="ctr" rtl="0">
            <a:defRPr sz="1000"/>
          </a:pPr>
          <a:r>
            <a:rPr lang="en-US" sz="1200" b="0" i="0" u="none" strike="noStrike">
              <a:latin typeface="Times New Roman" pitchFamily="18" charset="0"/>
              <a:ea typeface="+mn-ea"/>
              <a:cs typeface="Times New Roman" pitchFamily="18" charset="0"/>
            </a:rPr>
            <a:t>IMPLAN Group, LLC</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16740 Birkdale Commons Parkway Suite 206</a:t>
          </a:r>
          <a:endParaRPr lang="en-US" sz="1200">
            <a:latin typeface="Times New Roman" pitchFamily="18" charset="0"/>
            <a:cs typeface="Times New Roman" pitchFamily="18" charset="0"/>
          </a:endParaRPr>
        </a:p>
        <a:p>
          <a:pPr marL="228600" lvl="0" algn="ctr" rtl="0">
            <a:defRPr sz="1000"/>
          </a:pPr>
          <a:r>
            <a:rPr lang="en-US" sz="1200" b="0" i="0" u="none" strike="noStrike">
              <a:latin typeface="Times New Roman" pitchFamily="18" charset="0"/>
              <a:ea typeface="+mn-ea"/>
              <a:cs typeface="Times New Roman" pitchFamily="18" charset="0"/>
            </a:rPr>
            <a:t>Huntersville,</a:t>
          </a:r>
          <a:r>
            <a:rPr lang="en-US" sz="1200" b="0" i="0" u="none" strike="noStrike" baseline="0">
              <a:latin typeface="Times New Roman" pitchFamily="18" charset="0"/>
              <a:ea typeface="+mn-ea"/>
              <a:cs typeface="Times New Roman" pitchFamily="18" charset="0"/>
            </a:rPr>
            <a:t> North Carolina 28078</a:t>
          </a:r>
          <a:endParaRPr lang="en-US" sz="1200">
            <a:latin typeface="Times New Roman" pitchFamily="18" charset="0"/>
            <a:cs typeface="Times New Roman" pitchFamily="18" charset="0"/>
          </a:endParaRPr>
        </a:p>
        <a:p>
          <a:pPr marL="228600" lvl="0" algn="ctr" rtl="0">
            <a:defRPr sz="1000"/>
          </a:pPr>
          <a:r>
            <a:rPr lang="en-US" sz="1200" b="0" i="0" u="none" strike="noStrike">
              <a:latin typeface="Times New Roman" pitchFamily="18" charset="0"/>
              <a:ea typeface="+mn-ea"/>
              <a:cs typeface="Times New Roman" pitchFamily="18" charset="0"/>
            </a:rPr>
            <a:t>Tel: 651.439.4421</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www.implan.com</a:t>
          </a:r>
          <a:r>
            <a:rPr lang="en-US" sz="1200">
              <a:latin typeface="Times New Roman" pitchFamily="18" charset="0"/>
              <a:cs typeface="Times New Roman" pitchFamily="18" charset="0"/>
            </a:rPr>
            <a:t> </a:t>
          </a:r>
          <a:endParaRPr lang="en-US" sz="1200" b="0" i="0" u="none" strike="noStrike" baseline="0">
            <a:solidFill>
              <a:srgbClr val="000000"/>
            </a:solidFill>
            <a:latin typeface="Times New Roman" pitchFamily="18" charset="0"/>
            <a:cs typeface="Times New Roman" pitchFamily="18" charset="0"/>
          </a:endParaRPr>
        </a:p>
        <a:p>
          <a:pPr algn="l" rtl="0">
            <a:defRPr sz="1000"/>
          </a:pPr>
          <a:endParaRPr lang="en-US" sz="1000" b="0" i="0" u="none" strike="noStrike" baseline="0">
            <a:solidFill>
              <a:srgbClr val="000000"/>
            </a:solidFill>
            <a:latin typeface="Helv"/>
          </a:endParaRPr>
        </a:p>
        <a:p>
          <a:pPr algn="l" rtl="0">
            <a:defRPr sz="1000"/>
          </a:pPr>
          <a:r>
            <a:rPr lang="en-US" sz="1000" b="0" i="0" u="none" strike="noStrike" baseline="0">
              <a:solidFill>
                <a:srgbClr val="000000"/>
              </a:solidFill>
              <a:latin typeface="Helv"/>
            </a:rPr>
            <a:t>          </a:t>
          </a:r>
        </a:p>
        <a:p>
          <a:pPr algn="l" rtl="0">
            <a:defRPr sz="1000"/>
          </a:pPr>
          <a:r>
            <a:rPr lang="en-US" sz="1000" b="0" i="0" u="none" strike="noStrike" baseline="0">
              <a:solidFill>
                <a:srgbClr val="000000"/>
              </a:solidFill>
              <a:latin typeface="Helv"/>
            </a:rPr>
            <a:t>                                                                                        </a:t>
          </a:r>
          <a:r>
            <a:rPr lang="en-US" sz="1000" b="1" i="0" u="none" strike="noStrike" baseline="0">
              <a:solidFill>
                <a:srgbClr val="000000"/>
              </a:solidFill>
              <a:latin typeface="Helv"/>
            </a:rPr>
            <a:t> </a:t>
          </a: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2457449</xdr:colOff>
      <xdr:row>6</xdr:row>
      <xdr:rowOff>114300</xdr:rowOff>
    </xdr:from>
    <xdr:to>
      <xdr:col>0</xdr:col>
      <xdr:colOff>11439524</xdr:colOff>
      <xdr:row>102</xdr:row>
      <xdr:rowOff>104776</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flipH="1">
          <a:off x="2457449" y="1581150"/>
          <a:ext cx="8982075" cy="156591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How can I determine which version of the JEDI model I have?</a:t>
          </a:r>
          <a:r>
            <a:rPr lang="en-US"/>
            <a:t> </a:t>
          </a:r>
        </a:p>
        <a:p>
          <a:r>
            <a:rPr lang="en-US" sz="1100" b="1" i="0" u="none" strike="noStrike">
              <a:solidFill>
                <a:srgbClr val="002060"/>
              </a:solidFill>
              <a:latin typeface="+mn-lt"/>
              <a:ea typeface="+mn-ea"/>
              <a:cs typeface="+mn-cs"/>
            </a:rPr>
            <a:t>The version (release number) of the model you are currently using is listed in the "About JEDI" worksheet contained in this model.  </a:t>
          </a:r>
          <a:r>
            <a:rPr lang="en-US" b="1">
              <a:solidFill>
                <a:srgbClr val="002060"/>
              </a:solidFill>
            </a:rPr>
            <a:t> </a:t>
          </a:r>
          <a:r>
            <a:rPr lang="en-US" sz="1100" b="0" i="0" u="none" strike="noStrike">
              <a:solidFill>
                <a:schemeClr val="dk1"/>
              </a:solidFill>
              <a:latin typeface="+mn-lt"/>
              <a:ea typeface="+mn-ea"/>
              <a:cs typeface="+mn-cs"/>
            </a:rPr>
            <a:t> </a:t>
          </a:r>
          <a:r>
            <a:rPr lang="en-US"/>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When I open up the model I receive a security alert message stating "the macros in the file have been disabled," how do I change the security setting so I </a:t>
          </a:r>
          <a:r>
            <a:rPr lang="en-US"/>
            <a:t> </a:t>
          </a:r>
          <a:r>
            <a:rPr lang="en-US" sz="1100" b="1" i="1" u="none" strike="noStrike">
              <a:solidFill>
                <a:schemeClr val="dk1"/>
              </a:solidFill>
              <a:latin typeface="+mn-lt"/>
              <a:ea typeface="+mn-ea"/>
              <a:cs typeface="+mn-cs"/>
            </a:rPr>
            <a:t>can run the model with the macros enabled?  </a:t>
          </a:r>
          <a:r>
            <a:rPr lang="en-US"/>
            <a:t> </a:t>
          </a:r>
        </a:p>
        <a:p>
          <a:r>
            <a:rPr lang="en-US" sz="1100" b="1" i="0" u="none" strike="noStrike">
              <a:solidFill>
                <a:srgbClr val="002060"/>
              </a:solidFill>
              <a:latin typeface="+mn-lt"/>
              <a:ea typeface="+mn-ea"/>
              <a:cs typeface="+mn-cs"/>
            </a:rPr>
            <a:t>The message you are receiving is related to the level of security you have chosen in your Excel™ set up.  To change the setting for opening files, click the Microsoft</a:t>
          </a:r>
          <a:r>
            <a:rPr lang="en-US" b="1">
              <a:solidFill>
                <a:srgbClr val="002060"/>
              </a:solidFill>
            </a:rPr>
            <a:t> </a:t>
          </a:r>
          <a:r>
            <a:rPr lang="en-US" sz="1100" b="1" i="0" u="none" strike="noStrike">
              <a:solidFill>
                <a:srgbClr val="002060"/>
              </a:solidFill>
              <a:latin typeface="+mn-lt"/>
              <a:ea typeface="+mn-ea"/>
              <a:cs typeface="+mn-cs"/>
            </a:rPr>
            <a:t>Office Button (on the top left of the toolbar), click on "Excel Options," then "Trust Center," then "Trust Center Settings," then "Macros Settings."  Reset the security level</a:t>
          </a:r>
          <a:r>
            <a:rPr lang="en-US" b="1">
              <a:solidFill>
                <a:srgbClr val="002060"/>
              </a:solidFill>
            </a:rPr>
            <a:t> </a:t>
          </a:r>
          <a:r>
            <a:rPr lang="en-US" sz="1100" b="1" i="0" u="none" strike="noStrike">
              <a:solidFill>
                <a:srgbClr val="002060"/>
              </a:solidFill>
              <a:latin typeface="+mn-lt"/>
              <a:ea typeface="+mn-ea"/>
              <a:cs typeface="+mn-cs"/>
            </a:rPr>
            <a:t> to "Enable" or "Disable with notification."  The reset method may vary with different versions of Excel™.  Alternately, the model can be successfully run with the macros</a:t>
          </a:r>
          <a:r>
            <a:rPr lang="en-US" b="1">
              <a:solidFill>
                <a:srgbClr val="002060"/>
              </a:solidFill>
            </a:rPr>
            <a:t> </a:t>
          </a:r>
          <a:r>
            <a:rPr lang="en-US" sz="1100" b="1" i="0" u="none" strike="noStrike">
              <a:solidFill>
                <a:srgbClr val="002060"/>
              </a:solidFill>
              <a:latin typeface="+mn-lt"/>
              <a:ea typeface="+mn-ea"/>
              <a:cs typeface="+mn-cs"/>
            </a:rPr>
            <a:t>disabled.  If you choose this option, the print and save results buttons will not function.  Similarly, you will need to navigate using the worksheet tabs rather than buttons.</a:t>
          </a:r>
          <a:r>
            <a:rPr lang="en-US" b="1">
              <a:solidFill>
                <a:srgbClr val="002060"/>
              </a:solidFill>
            </a:rPr>
            <a:t> </a:t>
          </a:r>
          <a:r>
            <a:rPr lang="en-US" sz="1100" b="1" i="0" u="none" strike="noStrike">
              <a:solidFill>
                <a:srgbClr val="002060"/>
              </a:solidFill>
              <a:latin typeface="+mn-lt"/>
              <a:ea typeface="+mn-ea"/>
              <a:cs typeface="+mn-cs"/>
            </a:rPr>
            <a:t> </a:t>
          </a:r>
          <a:r>
            <a:rPr lang="en-US"/>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How do I run a county or regional level analysis?</a:t>
          </a:r>
          <a:r>
            <a:rPr lang="en-US"/>
            <a:t> </a:t>
          </a:r>
        </a:p>
        <a:p>
          <a:r>
            <a:rPr lang="en-US" sz="1100" b="1" i="0" u="none" strike="noStrike">
              <a:solidFill>
                <a:srgbClr val="002060"/>
              </a:solidFill>
              <a:latin typeface="+mn-lt"/>
              <a:ea typeface="+mn-ea"/>
              <a:cs typeface="+mn-cs"/>
            </a:rPr>
            <a:t>Running a county or regional level analysis is similar to running a state level analysis, although there are two key differences users must keep in mind.  First, the model </a:t>
          </a:r>
          <a:r>
            <a:rPr lang="en-US" b="1">
              <a:solidFill>
                <a:srgbClr val="002060"/>
              </a:solidFill>
            </a:rPr>
            <a:t> </a:t>
          </a:r>
          <a:r>
            <a:rPr lang="en-US" sz="1100" b="1" i="0" u="none" strike="noStrike">
              <a:solidFill>
                <a:srgbClr val="002060"/>
              </a:solidFill>
              <a:latin typeface="+mn-lt"/>
              <a:ea typeface="+mn-ea"/>
              <a:cs typeface="+mn-cs"/>
            </a:rPr>
            <a:t>does not contain county or regional level multipliers, thus users must obtain these and add them into the model. (See FAQ on obtaining county or regional level</a:t>
          </a:r>
          <a:r>
            <a:rPr lang="en-US" b="1">
              <a:solidFill>
                <a:srgbClr val="002060"/>
              </a:solidFill>
            </a:rPr>
            <a:t> </a:t>
          </a:r>
          <a:r>
            <a:rPr lang="en-US" sz="1100" b="1" i="0" u="none" strike="noStrike">
              <a:solidFill>
                <a:srgbClr val="002060"/>
              </a:solidFill>
              <a:latin typeface="+mn-lt"/>
              <a:ea typeface="+mn-ea"/>
              <a:cs typeface="+mn-cs"/>
            </a:rPr>
            <a:t>multipliers and how to add in the data)  Second, to run a county or regional level analysis users must choose "MyCounty" or "MyRegion" as the location in the</a:t>
          </a:r>
          <a:r>
            <a:rPr lang="en-US" b="1">
              <a:solidFill>
                <a:srgbClr val="002060"/>
              </a:solidFill>
            </a:rPr>
            <a:t> </a:t>
          </a:r>
          <a:r>
            <a:rPr lang="en-US" sz="1100" b="1" i="0" u="none" strike="noStrike">
              <a:solidFill>
                <a:srgbClr val="002060"/>
              </a:solidFill>
              <a:latin typeface="+mn-lt"/>
              <a:ea typeface="+mn-ea"/>
              <a:cs typeface="+mn-cs"/>
            </a:rPr>
            <a:t>Project Description section in the ProjectData worksheet and then enter the county or regional population. The population provides a reference for the model to </a:t>
          </a:r>
          <a:r>
            <a:rPr lang="en-US" b="1">
              <a:solidFill>
                <a:srgbClr val="002060"/>
              </a:solidFill>
            </a:rPr>
            <a:t> </a:t>
          </a:r>
          <a:r>
            <a:rPr lang="en-US" sz="1100" b="1" i="0" u="none" strike="noStrike">
              <a:solidFill>
                <a:srgbClr val="002060"/>
              </a:solidFill>
              <a:latin typeface="+mn-lt"/>
              <a:ea typeface="+mn-ea"/>
              <a:cs typeface="+mn-cs"/>
            </a:rPr>
            <a:t>automatically insert 'local share" defaults for the analysis.  As with other defaults, these can be adjusted by the user.</a:t>
          </a:r>
          <a:r>
            <a:rPr lang="en-US" b="1">
              <a:solidFill>
                <a:srgbClr val="002060"/>
              </a:solidFill>
            </a:rPr>
            <a:t> </a:t>
          </a:r>
          <a:r>
            <a:rPr lang="en-US" sz="1100" b="1" i="0" u="none" strike="noStrike">
              <a:solidFill>
                <a:srgbClr val="002060"/>
              </a:solidFill>
              <a:latin typeface="+mn-lt"/>
              <a:ea typeface="+mn-ea"/>
              <a:cs typeface="+mn-cs"/>
            </a:rPr>
            <a:t> The</a:t>
          </a:r>
          <a:r>
            <a:rPr lang="en-US" sz="1100" b="1" i="0" u="none" strike="noStrike" baseline="0">
              <a:solidFill>
                <a:srgbClr val="002060"/>
              </a:solidFill>
              <a:latin typeface="+mn-lt"/>
              <a:ea typeface="+mn-ea"/>
              <a:cs typeface="+mn-cs"/>
            </a:rPr>
            <a:t> model does contain several defined regions, see reference question below for more detail on these.</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Where can I get county or regional level data to add-in to the model to run a county or region specific analysis?</a:t>
          </a:r>
          <a:r>
            <a:rPr lang="en-US"/>
            <a:t> </a:t>
          </a:r>
        </a:p>
        <a:p>
          <a:r>
            <a:rPr lang="en-US" sz="1100" b="1" i="0" u="none" strike="noStrike">
              <a:solidFill>
                <a:srgbClr val="002060"/>
              </a:solidFill>
              <a:latin typeface="+mn-lt"/>
              <a:ea typeface="+mn-ea"/>
              <a:cs typeface="+mn-cs"/>
            </a:rPr>
            <a:t>County level multipliers and personal consumption expenditure patterns are available from a number of sources.  Users familiar with IMPLAN or input-output modeling can </a:t>
          </a:r>
          <a:r>
            <a:rPr lang="en-US" b="1">
              <a:solidFill>
                <a:srgbClr val="002060"/>
              </a:solidFill>
            </a:rPr>
            <a:t> </a:t>
          </a:r>
          <a:r>
            <a:rPr lang="en-US" sz="1100" b="1" i="0" u="none" strike="noStrike">
              <a:solidFill>
                <a:srgbClr val="002060"/>
              </a:solidFill>
              <a:latin typeface="+mn-lt"/>
              <a:ea typeface="+mn-ea"/>
              <a:cs typeface="+mn-cs"/>
            </a:rPr>
            <a:t>purchase the raw county level data and derive the multipliers themselves, purchase them from someone familiar with input-output modeling, purchase them directly from</a:t>
          </a:r>
          <a:r>
            <a:rPr lang="en-US" b="1">
              <a:solidFill>
                <a:srgbClr val="002060"/>
              </a:solidFill>
            </a:rPr>
            <a:t> </a:t>
          </a:r>
          <a:r>
            <a:rPr lang="en-US" sz="1100" b="1" i="0" u="none" strike="noStrike">
              <a:solidFill>
                <a:srgbClr val="002060"/>
              </a:solidFill>
              <a:latin typeface="+mn-lt"/>
              <a:ea typeface="+mn-ea"/>
              <a:cs typeface="+mn-cs"/>
            </a:rPr>
            <a:t> IMPLAN (www.implan.com), or contact MRG &amp; Associates (mrgassociates@earthlink.net), the model developer.</a:t>
          </a:r>
          <a:r>
            <a:rPr lang="en-US" b="1">
              <a:solidFill>
                <a:srgbClr val="002060"/>
              </a:solidFill>
            </a:rPr>
            <a:t> </a:t>
          </a:r>
          <a:r>
            <a:rPr lang="en-US" sz="1100" b="1" i="0"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How do I add in county or regional level multipliers and the personal consumption expenditure data?</a:t>
          </a:r>
          <a:r>
            <a:rPr lang="en-US"/>
            <a:t> </a:t>
          </a:r>
        </a:p>
        <a:p>
          <a:r>
            <a:rPr lang="en-US" sz="1100" b="1" i="0" u="none" strike="noStrike">
              <a:solidFill>
                <a:srgbClr val="002060"/>
              </a:solidFill>
              <a:latin typeface="+mn-lt"/>
              <a:ea typeface="+mn-ea"/>
              <a:cs typeface="+mn-cs"/>
            </a:rPr>
            <a:t>Adding-in county or regional level multipliers and personal consumption expenditure data involves going to the "User Add-in Location" worksheet in this model and </a:t>
          </a:r>
          <a:r>
            <a:rPr lang="en-US" b="1">
              <a:solidFill>
                <a:srgbClr val="002060"/>
              </a:solidFill>
            </a:rPr>
            <a:t> </a:t>
          </a:r>
          <a:r>
            <a:rPr lang="en-US" sz="1100" b="1" i="0" u="none" strike="noStrike">
              <a:solidFill>
                <a:srgbClr val="002060"/>
              </a:solidFill>
              <a:latin typeface="+mn-lt"/>
              <a:ea typeface="+mn-ea"/>
              <a:cs typeface="+mn-cs"/>
            </a:rPr>
            <a:t>cutting and pasting the data into their respective locations.  The personal consumption expenditures reflect each industries share of the total.  The sum must equal </a:t>
          </a:r>
          <a:r>
            <a:rPr lang="en-US" b="1">
              <a:solidFill>
                <a:srgbClr val="002060"/>
              </a:solidFill>
            </a:rPr>
            <a:t> </a:t>
          </a:r>
          <a:r>
            <a:rPr lang="en-US" sz="1100" b="1" i="0" u="none" strike="noStrike">
              <a:solidFill>
                <a:srgbClr val="002060"/>
              </a:solidFill>
              <a:latin typeface="+mn-lt"/>
              <a:ea typeface="+mn-ea"/>
              <a:cs typeface="+mn-cs"/>
            </a:rPr>
            <a:t>1.00 (100 percent).  For example, if spending in the retail sector accounts for 20 percent of personal spending, enter 0.20.  With the data installed in all the appropriate</a:t>
          </a:r>
          <a:r>
            <a:rPr lang="en-US" b="1">
              <a:solidFill>
                <a:srgbClr val="002060"/>
              </a:solidFill>
            </a:rPr>
            <a:t> </a:t>
          </a:r>
          <a:r>
            <a:rPr lang="en-US" sz="1100" b="1" i="0" u="none" strike="noStrike">
              <a:solidFill>
                <a:srgbClr val="002060"/>
              </a:solidFill>
              <a:latin typeface="+mn-lt"/>
              <a:ea typeface="+mn-ea"/>
              <a:cs typeface="+mn-cs"/>
            </a:rPr>
            <a:t>cells it is also necessary to insert the county or region name and the year of the data at the top of the worksheet.</a:t>
          </a:r>
          <a:r>
            <a:rPr lang="en-US" b="1">
              <a:solidFill>
                <a:srgbClr val="002060"/>
              </a:solidFill>
            </a:rPr>
            <a:t> </a:t>
          </a:r>
          <a:r>
            <a:rPr lang="en-US" sz="1100" b="1" i="0"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What does the "local share" refer to?</a:t>
          </a:r>
          <a:r>
            <a:rPr lang="en-US"/>
            <a:t> </a:t>
          </a:r>
        </a:p>
        <a:p>
          <a:r>
            <a:rPr lang="en-US" sz="1100" b="1" i="0" u="none" strike="noStrike">
              <a:solidFill>
                <a:srgbClr val="002060"/>
              </a:solidFill>
              <a:latin typeface="+mn-lt"/>
              <a:ea typeface="+mn-ea"/>
              <a:cs typeface="+mn-cs"/>
            </a:rPr>
            <a:t>The "local share" refers to the percentage of each expenditure that is actually spent locally (i.e., in the state, county or region being analyzed).  For example, if $1 million</a:t>
          </a:r>
          <a:r>
            <a:rPr lang="en-US" b="1">
              <a:solidFill>
                <a:srgbClr val="002060"/>
              </a:solidFill>
            </a:rPr>
            <a:t> </a:t>
          </a:r>
          <a:r>
            <a:rPr lang="en-US" sz="1100" b="1" i="0" u="none" strike="noStrike">
              <a:solidFill>
                <a:srgbClr val="002060"/>
              </a:solidFill>
              <a:latin typeface="+mn-lt"/>
              <a:ea typeface="+mn-ea"/>
              <a:cs typeface="+mn-cs"/>
            </a:rPr>
            <a:t>is going to be spent on construction materials and half ($500,000) of this total will be purchased from local suppliers, we say the "local share" is 50 percent.</a:t>
          </a:r>
          <a:r>
            <a:rPr lang="en-US" b="1">
              <a:solidFill>
                <a:srgbClr val="002060"/>
              </a:solidFill>
            </a:rPr>
            <a:t> </a:t>
          </a:r>
          <a:r>
            <a:rPr lang="en-US" sz="1100" b="1" i="0" u="none" strike="noStrike">
              <a:solidFill>
                <a:srgbClr val="002060"/>
              </a:solidFill>
              <a:latin typeface="+mn-lt"/>
              <a:ea typeface="+mn-ea"/>
              <a:cs typeface="+mn-cs"/>
            </a:rPr>
            <a:t> </a:t>
          </a:r>
          <a:r>
            <a:rPr lang="en-US"/>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I want to make my analysis as accurate as possible, where can I get information to adjust the default "local share" values (in the ProjectData worksheet) </a:t>
          </a:r>
          <a:r>
            <a:rPr lang="en-US"/>
            <a:t> </a:t>
          </a:r>
          <a:r>
            <a:rPr lang="en-US" sz="1100" b="1" i="1" u="none" strike="noStrike">
              <a:solidFill>
                <a:schemeClr val="dk1"/>
              </a:solidFill>
              <a:latin typeface="+mn-lt"/>
              <a:ea typeface="+mn-ea"/>
              <a:cs typeface="+mn-cs"/>
            </a:rPr>
            <a:t>for my state or county?</a:t>
          </a:r>
          <a:r>
            <a:rPr lang="en-US"/>
            <a:t> </a:t>
          </a:r>
        </a:p>
        <a:p>
          <a:r>
            <a:rPr lang="en-US" sz="1100" b="1" i="0" u="none" strike="noStrike">
              <a:solidFill>
                <a:srgbClr val="002060"/>
              </a:solidFill>
              <a:latin typeface="+mn-lt"/>
              <a:ea typeface="+mn-ea"/>
              <a:cs typeface="+mn-cs"/>
            </a:rPr>
            <a:t>Since the "local share" is directly related to the availability of local businesses and services and their ability to meet the construction and annual operating demands</a:t>
          </a:r>
          <a:r>
            <a:rPr lang="en-US" b="1">
              <a:solidFill>
                <a:srgbClr val="002060"/>
              </a:solidFill>
            </a:rPr>
            <a:t> </a:t>
          </a:r>
          <a:r>
            <a:rPr lang="en-US" sz="1100" b="1" i="0" u="none" strike="noStrike">
              <a:solidFill>
                <a:srgbClr val="002060"/>
              </a:solidFill>
              <a:latin typeface="+mn-lt"/>
              <a:ea typeface="+mn-ea"/>
              <a:cs typeface="+mn-cs"/>
            </a:rPr>
            <a:t>of the project, it is important to have an accurate picture of these local resources.  This can be obtained in a number of ways: contacting experienced and knowlegeable </a:t>
          </a:r>
          <a:r>
            <a:rPr lang="en-US" b="1">
              <a:solidFill>
                <a:srgbClr val="002060"/>
              </a:solidFill>
            </a:rPr>
            <a:t> </a:t>
          </a:r>
          <a:r>
            <a:rPr lang="en-US" sz="1100" b="1" i="0" u="none" strike="noStrike">
              <a:solidFill>
                <a:srgbClr val="002060"/>
              </a:solidFill>
              <a:latin typeface="+mn-lt"/>
              <a:ea typeface="+mn-ea"/>
              <a:cs typeface="+mn-cs"/>
            </a:rPr>
            <a:t>persons in the area, contacting local business and contractor organizations and/or the local chamber of commerce, among others.</a:t>
          </a:r>
          <a:r>
            <a:rPr lang="en-US" b="1">
              <a:solidFill>
                <a:srgbClr val="002060"/>
              </a:solidFill>
            </a:rPr>
            <a:t> </a:t>
          </a:r>
          <a:r>
            <a:rPr lang="en-US" sz="1100" b="1" i="0"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I want to make my property tax estimates as accurate as possible, where can I get information to modify the tax rates in the ProjectData worksheet</a:t>
          </a:r>
          <a:r>
            <a:rPr lang="en-US"/>
            <a:t> </a:t>
          </a:r>
          <a:r>
            <a:rPr lang="en-US" sz="1100" b="1" i="1" u="none" strike="noStrike">
              <a:solidFill>
                <a:schemeClr val="dk1"/>
              </a:solidFill>
              <a:latin typeface="+mn-lt"/>
              <a:ea typeface="+mn-ea"/>
              <a:cs typeface="+mn-cs"/>
            </a:rPr>
            <a:t>for my state or county?</a:t>
          </a:r>
          <a:r>
            <a:rPr lang="en-US"/>
            <a:t> </a:t>
          </a:r>
          <a:r>
            <a:rPr lang="en-US" sz="1100" b="1" i="0" u="none" strike="noStrike">
              <a:solidFill>
                <a:srgbClr val="002060"/>
              </a:solidFill>
              <a:latin typeface="+mn-lt"/>
              <a:ea typeface="+mn-ea"/>
              <a:cs typeface="+mn-cs"/>
            </a:rPr>
            <a:t>Calculating annual property taxes is different in every state and typically a complex formula.  The default methodology used in the model incorporates a generic formula</a:t>
          </a:r>
          <a:r>
            <a:rPr lang="en-US" b="1">
              <a:solidFill>
                <a:srgbClr val="002060"/>
              </a:solidFill>
            </a:rPr>
            <a:t> </a:t>
          </a:r>
          <a:r>
            <a:rPr lang="en-US" sz="1100" b="1" i="0" u="none" strike="noStrike">
              <a:solidFill>
                <a:srgbClr val="002060"/>
              </a:solidFill>
              <a:latin typeface="+mn-lt"/>
              <a:ea typeface="+mn-ea"/>
              <a:cs typeface="+mn-cs"/>
            </a:rPr>
            <a:t> that derives the taxes from the product of the assessed value (percentage of construction cost), the taxable value (percentage of assessed value) and the tax rate </a:t>
          </a:r>
          <a:r>
            <a:rPr lang="en-US" b="1">
              <a:solidFill>
                <a:srgbClr val="002060"/>
              </a:solidFill>
            </a:rPr>
            <a:t> </a:t>
          </a:r>
          <a:r>
            <a:rPr lang="en-US" sz="1100" b="1" i="0" u="none" strike="noStrike">
              <a:solidFill>
                <a:srgbClr val="002060"/>
              </a:solidFill>
              <a:latin typeface="+mn-lt"/>
              <a:ea typeface="+mn-ea"/>
              <a:cs typeface="+mn-cs"/>
            </a:rPr>
            <a:t>(percentage of taxable value).  Alternately, users may input a know tax payment.  Information on tax rates and formulas for calculating property taxes can often be found</a:t>
          </a:r>
          <a:r>
            <a:rPr lang="en-US" b="1">
              <a:solidFill>
                <a:srgbClr val="002060"/>
              </a:solidFill>
            </a:rPr>
            <a:t> </a:t>
          </a:r>
          <a:r>
            <a:rPr lang="en-US" sz="1100" b="1" i="0" u="none" strike="noStrike">
              <a:solidFill>
                <a:srgbClr val="002060"/>
              </a:solidFill>
              <a:latin typeface="+mn-lt"/>
              <a:ea typeface="+mn-ea"/>
              <a:cs typeface="+mn-cs"/>
            </a:rPr>
            <a:t>by contacting the state Dept. of Revenue or Taxation, or the local taxation authority.</a:t>
          </a:r>
          <a:r>
            <a:rPr lang="en-US" b="1">
              <a:solidFill>
                <a:srgbClr val="002060"/>
              </a:solidFill>
            </a:rPr>
            <a:t> </a:t>
          </a:r>
          <a:r>
            <a:rPr lang="en-US" sz="1100" b="1" i="1"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I am interested in viewing and possibly editting internal formulas within the model, how do I access them?  </a:t>
          </a:r>
          <a:r>
            <a:rPr lang="en-US"/>
            <a:t> </a:t>
          </a:r>
        </a:p>
        <a:p>
          <a:r>
            <a:rPr lang="en-US" sz="1100" b="1" i="0" u="none" strike="noStrike">
              <a:solidFill>
                <a:srgbClr val="002060"/>
              </a:solidFill>
              <a:latin typeface="+mn-lt"/>
              <a:ea typeface="+mn-ea"/>
              <a:cs typeface="+mn-cs"/>
            </a:rPr>
            <a:t>The JEDI model contains numerous intermediate worksheets that are an integral part of the model analysis. These worksheets are not designed to be changed by users.</a:t>
          </a:r>
          <a:r>
            <a:rPr lang="en-US" b="1">
              <a:solidFill>
                <a:srgbClr val="002060"/>
              </a:solidFill>
            </a:rPr>
            <a:t> </a:t>
          </a:r>
          <a:r>
            <a:rPr lang="en-US" sz="1100" b="1" i="0" u="none" strike="noStrike">
              <a:solidFill>
                <a:srgbClr val="002060"/>
              </a:solidFill>
              <a:latin typeface="+mn-lt"/>
              <a:ea typeface="+mn-ea"/>
              <a:cs typeface="+mn-cs"/>
            </a:rPr>
            <a:t>Most of these worksheets</a:t>
          </a:r>
          <a:r>
            <a:rPr lang="en-US" sz="1100" b="1" i="0" u="none" strike="noStrike" baseline="0">
              <a:solidFill>
                <a:srgbClr val="002060"/>
              </a:solidFill>
              <a:latin typeface="+mn-lt"/>
              <a:ea typeface="+mn-ea"/>
              <a:cs typeface="+mn-cs"/>
            </a:rPr>
            <a:t> </a:t>
          </a:r>
          <a:r>
            <a:rPr lang="en-US" sz="1100" b="1" i="0" u="none" strike="noStrike">
              <a:solidFill>
                <a:srgbClr val="002060"/>
              </a:solidFill>
              <a:latin typeface="+mn-lt"/>
              <a:ea typeface="+mn-ea"/>
              <a:cs typeface="+mn-cs"/>
            </a:rPr>
            <a:t>may be viewed by merely clicking on the respective worksheet and scrolling to the right.</a:t>
          </a:r>
          <a:r>
            <a:rPr lang="en-US" b="1">
              <a:solidFill>
                <a:srgbClr val="002060"/>
              </a:solidFill>
            </a:rPr>
            <a:t> </a:t>
          </a:r>
          <a:r>
            <a:rPr lang="en-US" sz="1100" b="1" i="0" u="none" strike="noStrike">
              <a:solidFill>
                <a:srgbClr val="002060"/>
              </a:solidFill>
              <a:latin typeface="+mn-lt"/>
              <a:ea typeface="+mn-ea"/>
              <a:cs typeface="+mn-cs"/>
            </a:rPr>
            <a:t>Although these sheets may be viewed by users they are protected and can not be editted.  The model contains two additional hidden worksheets: multipliers and household</a:t>
          </a:r>
          <a:r>
            <a:rPr lang="en-US" b="1">
              <a:solidFill>
                <a:srgbClr val="002060"/>
              </a:solidFill>
            </a:rPr>
            <a:t> </a:t>
          </a:r>
          <a:r>
            <a:rPr lang="en-US" sz="1100" b="1" i="0" u="none" strike="noStrike">
              <a:solidFill>
                <a:srgbClr val="002060"/>
              </a:solidFill>
              <a:latin typeface="+mn-lt"/>
              <a:ea typeface="+mn-ea"/>
              <a:cs typeface="+mn-cs"/>
            </a:rPr>
            <a:t>expenditures.  These worksheets are hidden to protect proprietary data derived from IMPLAN (Minnesota Implan Group).</a:t>
          </a:r>
          <a:r>
            <a:rPr lang="en-US" b="1">
              <a:solidFill>
                <a:srgbClr val="002060"/>
              </a:solidFill>
            </a:rPr>
            <a:t> </a:t>
          </a:r>
          <a:r>
            <a:rPr lang="en-US" sz="1100" b="1" i="0"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I noticed defined regions in the list of geographic locations to analyze, which states are included in each region?  </a:t>
          </a:r>
          <a:r>
            <a:rPr lang="en-US"/>
            <a:t> </a:t>
          </a:r>
        </a:p>
        <a:p>
          <a:r>
            <a:rPr lang="en-US" sz="1100" b="1" i="0" u="none" strike="noStrike">
              <a:solidFill>
                <a:srgbClr val="002060"/>
              </a:solidFill>
              <a:latin typeface="+mn-lt"/>
              <a:ea typeface="+mn-ea"/>
              <a:cs typeface="+mn-cs"/>
            </a:rPr>
            <a:t>Region 1 includes Connecticut, Maine, Massachusetts, New Hampshire, New York, Rhode Island, and Vermont.</a:t>
          </a:r>
          <a:r>
            <a:rPr lang="en-US" b="1">
              <a:solidFill>
                <a:srgbClr val="002060"/>
              </a:solidFill>
            </a:rPr>
            <a:t> </a:t>
          </a:r>
        </a:p>
        <a:p>
          <a:r>
            <a:rPr lang="en-US" sz="1100" b="1" i="0" u="none" strike="noStrike">
              <a:solidFill>
                <a:srgbClr val="002060"/>
              </a:solidFill>
              <a:latin typeface="+mn-lt"/>
              <a:ea typeface="+mn-ea"/>
              <a:cs typeface="+mn-cs"/>
            </a:rPr>
            <a:t>Region 2 includes Delaware, New Jersey, Pennsylvania, and West Virginia.</a:t>
          </a:r>
          <a:r>
            <a:rPr lang="en-US" b="1">
              <a:solidFill>
                <a:srgbClr val="002060"/>
              </a:solidFill>
            </a:rPr>
            <a:t> </a:t>
          </a:r>
        </a:p>
        <a:p>
          <a:r>
            <a:rPr lang="en-US" sz="1100" b="1" i="0" u="none" strike="noStrike">
              <a:solidFill>
                <a:srgbClr val="002060"/>
              </a:solidFill>
              <a:latin typeface="+mn-lt"/>
              <a:ea typeface="+mn-ea"/>
              <a:cs typeface="+mn-cs"/>
            </a:rPr>
            <a:t>Region 3 includes District of Columbia, Maryland, North Carolina, South Carolina, and Virginia.</a:t>
          </a:r>
          <a:r>
            <a:rPr lang="en-US" b="1">
              <a:solidFill>
                <a:srgbClr val="002060"/>
              </a:solidFill>
            </a:rPr>
            <a:t> </a:t>
          </a:r>
        </a:p>
        <a:p>
          <a:r>
            <a:rPr lang="en-US" sz="1100" b="1" i="0" u="none" strike="noStrike">
              <a:solidFill>
                <a:srgbClr val="002060"/>
              </a:solidFill>
              <a:latin typeface="+mn-lt"/>
              <a:ea typeface="+mn-ea"/>
              <a:cs typeface="+mn-cs"/>
            </a:rPr>
            <a:t>Region 4 includes Alabama, Florida, Georgia, Kentucky, Mississippi, and Tennessee.</a:t>
          </a:r>
          <a:r>
            <a:rPr lang="en-US" b="1">
              <a:solidFill>
                <a:srgbClr val="002060"/>
              </a:solidFill>
            </a:rPr>
            <a:t> </a:t>
          </a:r>
        </a:p>
        <a:p>
          <a:r>
            <a:rPr lang="en-US" sz="1100" b="1" i="0" u="none" strike="noStrike">
              <a:solidFill>
                <a:srgbClr val="002060"/>
              </a:solidFill>
              <a:latin typeface="+mn-lt"/>
              <a:ea typeface="+mn-ea"/>
              <a:cs typeface="+mn-cs"/>
            </a:rPr>
            <a:t>Region 5 includes Illinois, Indiana, Iowa, Michigan, Minnesota, Ohio, and Wisconsin.</a:t>
          </a:r>
          <a:r>
            <a:rPr lang="en-US" b="1">
              <a:solidFill>
                <a:srgbClr val="002060"/>
              </a:solidFill>
            </a:rPr>
            <a:t> </a:t>
          </a:r>
        </a:p>
        <a:p>
          <a:r>
            <a:rPr lang="en-US" sz="1100" b="1" i="0" u="none" strike="noStrike">
              <a:solidFill>
                <a:srgbClr val="002060"/>
              </a:solidFill>
              <a:latin typeface="+mn-lt"/>
              <a:ea typeface="+mn-ea"/>
              <a:cs typeface="+mn-cs"/>
            </a:rPr>
            <a:t>Region 6 includes Arkansas, Louisiana, Missouri, New Mexico, Oklahoma, and Texas.</a:t>
          </a:r>
          <a:r>
            <a:rPr lang="en-US" b="1">
              <a:solidFill>
                <a:srgbClr val="002060"/>
              </a:solidFill>
            </a:rPr>
            <a:t> </a:t>
          </a:r>
        </a:p>
        <a:p>
          <a:r>
            <a:rPr lang="en-US" sz="1100" b="1" i="0" u="none" strike="noStrike">
              <a:solidFill>
                <a:srgbClr val="002060"/>
              </a:solidFill>
              <a:latin typeface="+mn-lt"/>
              <a:ea typeface="+mn-ea"/>
              <a:cs typeface="+mn-cs"/>
            </a:rPr>
            <a:t>Region 7 includes Alaska, Arizona, Colorado, Idaho, Kansas, Montana, Nebraska, Nevada, North Dakota, Oregon, South Dakota, Utah, Washington, and Wyoming.</a:t>
          </a:r>
          <a:r>
            <a:rPr lang="en-US" b="1">
              <a:solidFill>
                <a:srgbClr val="002060"/>
              </a:solidFill>
            </a:rPr>
            <a:t> </a:t>
          </a:r>
        </a:p>
        <a:p>
          <a:r>
            <a:rPr lang="en-US" sz="1100" b="1" i="0" u="none" strike="noStrike">
              <a:solidFill>
                <a:srgbClr val="002060"/>
              </a:solidFill>
              <a:latin typeface="+mn-lt"/>
              <a:ea typeface="+mn-ea"/>
              <a:cs typeface="+mn-cs"/>
            </a:rPr>
            <a:t>Region 8 includes California and Hawaii.</a:t>
          </a:r>
          <a:r>
            <a:rPr lang="en-US" b="1">
              <a:solidFill>
                <a:srgbClr val="002060"/>
              </a:solidFill>
            </a:rPr>
            <a:t> </a:t>
          </a:r>
          <a:r>
            <a:rPr lang="en-US" sz="1100" b="1" i="0"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What is the source of the default system costs?  </a:t>
          </a:r>
          <a:r>
            <a:rPr lang="en-US"/>
            <a:t> </a:t>
          </a:r>
        </a:p>
        <a:p>
          <a:r>
            <a:rPr lang="en-US" sz="1100" b="1" i="0" u="none" strike="noStrike">
              <a:solidFill>
                <a:srgbClr val="002060"/>
              </a:solidFill>
              <a:latin typeface="+mn-lt"/>
              <a:ea typeface="+mn-ea"/>
              <a:cs typeface="+mn-cs"/>
            </a:rPr>
            <a:t>Default values for total installation costs for 2010 are based on analysis of program data from Barbose, G., Darghouth, N., Wiser, R, and Seel, J. 2011. </a:t>
          </a:r>
          <a:r>
            <a:rPr lang="en-US" sz="1100" b="1" i="1" u="none" strike="noStrike">
              <a:solidFill>
                <a:srgbClr val="002060"/>
              </a:solidFill>
              <a:latin typeface="+mn-lt"/>
              <a:ea typeface="+mn-ea"/>
              <a:cs typeface="+mn-cs"/>
            </a:rPr>
            <a:t>Tracking the Sun IV: The Installed Cost of </a:t>
          </a:r>
          <a:r>
            <a:rPr lang="en-US" b="1">
              <a:solidFill>
                <a:srgbClr val="002060"/>
              </a:solidFill>
            </a:rPr>
            <a:t> </a:t>
          </a:r>
          <a:r>
            <a:rPr lang="en-US" sz="1100" b="1" i="1" u="none" strike="noStrike">
              <a:solidFill>
                <a:srgbClr val="002060"/>
              </a:solidFill>
              <a:latin typeface="+mn-lt"/>
              <a:ea typeface="+mn-ea"/>
              <a:cs typeface="+mn-cs"/>
            </a:rPr>
            <a:t>Photovoltaics in the U.S. from 1998-2010</a:t>
          </a:r>
          <a:r>
            <a:rPr lang="en-US" sz="1100" b="1" i="0" u="none" strike="noStrike">
              <a:solidFill>
                <a:srgbClr val="002060"/>
              </a:solidFill>
              <a:latin typeface="+mn-lt"/>
              <a:ea typeface="+mn-ea"/>
              <a:cs typeface="+mn-cs"/>
            </a:rPr>
            <a:t>. Berkeley, CA: Lawrence Berkeley National Laboratory, provided in May 2011 (prior to the report being published). </a:t>
          </a:r>
          <a:r>
            <a:rPr lang="en-US" sz="1100" b="1" i="0" u="none" strike="noStrike" baseline="0">
              <a:solidFill>
                <a:srgbClr val="002060"/>
              </a:solidFill>
              <a:latin typeface="+mn-lt"/>
              <a:ea typeface="+mn-ea"/>
              <a:cs typeface="+mn-cs"/>
            </a:rPr>
            <a:t> </a:t>
          </a:r>
          <a:r>
            <a:rPr lang="en-US" sz="1100" b="1" i="0" u="none" strike="noStrike">
              <a:solidFill>
                <a:srgbClr val="002060"/>
              </a:solidFill>
              <a:latin typeface="+mn-lt"/>
              <a:ea typeface="+mn-ea"/>
              <a:cs typeface="+mn-cs"/>
            </a:rPr>
            <a:t>Detailed cost data for modules, inverters, and balance of system hardware</a:t>
          </a:r>
          <a:r>
            <a:rPr lang="en-US" sz="1100" b="1" i="0" u="none" strike="noStrike" baseline="0">
              <a:solidFill>
                <a:srgbClr val="002060"/>
              </a:solidFill>
              <a:latin typeface="+mn-lt"/>
              <a:ea typeface="+mn-ea"/>
              <a:cs typeface="+mn-cs"/>
            </a:rPr>
            <a:t> and </a:t>
          </a:r>
          <a:r>
            <a:rPr lang="en-US" sz="1100" b="1" i="0" u="none" strike="noStrike">
              <a:solidFill>
                <a:srgbClr val="002060"/>
              </a:solidFill>
              <a:latin typeface="+mn-lt"/>
              <a:ea typeface="+mn-ea"/>
              <a:cs typeface="+mn-cs"/>
            </a:rPr>
            <a:t>O&amp;M cost data is derived from data provided by John Bartlett, U.S. Dept. of Energy, Sept. 2010. Additonal system cost data is based on analysis of proprietary data provided by project installers.  In those </a:t>
          </a:r>
          <a:r>
            <a:rPr lang="en-US" b="1">
              <a:solidFill>
                <a:srgbClr val="002060"/>
              </a:solidFill>
            </a:rPr>
            <a:t> </a:t>
          </a:r>
          <a:r>
            <a:rPr lang="en-US" sz="1100" b="1" i="0" u="none" strike="noStrike">
              <a:solidFill>
                <a:srgbClr val="002060"/>
              </a:solidFill>
              <a:latin typeface="+mn-lt"/>
              <a:ea typeface="+mn-ea"/>
              <a:cs typeface="+mn-cs"/>
            </a:rPr>
            <a:t>instances where data from the sources was not an exact match for the system parameters we utilized the best available information to derive appropriate values.</a:t>
          </a:r>
          <a:r>
            <a:rPr lang="en-US" sz="1100" b="1" i="0" u="none" strike="noStrike" baseline="0">
              <a:solidFill>
                <a:srgbClr val="002060"/>
              </a:solidFill>
              <a:latin typeface="+mn-lt"/>
              <a:ea typeface="+mn-ea"/>
              <a:cs typeface="+mn-cs"/>
            </a:rPr>
            <a:t> W</a:t>
          </a:r>
          <a:r>
            <a:rPr lang="en-US" sz="1100" b="1" i="0" u="none" strike="noStrike">
              <a:solidFill>
                <a:srgbClr val="002060"/>
              </a:solidFill>
              <a:latin typeface="+mn-lt"/>
              <a:ea typeface="+mn-ea"/>
              <a:cs typeface="+mn-cs"/>
            </a:rPr>
            <a:t>here the only cost data available was from a limited number of projects (less than 30), the values were either excluded, or when appropriate </a:t>
          </a:r>
          <a:r>
            <a:rPr lang="en-US" b="1">
              <a:solidFill>
                <a:srgbClr val="002060"/>
              </a:solidFill>
            </a:rPr>
            <a:t> </a:t>
          </a:r>
          <a:r>
            <a:rPr lang="en-US" sz="1100" b="1" i="0" u="none" strike="noStrike">
              <a:solidFill>
                <a:srgbClr val="002060"/>
              </a:solidFill>
              <a:latin typeface="+mn-lt"/>
              <a:ea typeface="+mn-ea"/>
              <a:cs typeface="+mn-cs"/>
            </a:rPr>
            <a:t>included with other data to derive average values.</a:t>
          </a:r>
          <a:r>
            <a:rPr lang="en-US" b="1">
              <a:solidFill>
                <a:srgbClr val="002060"/>
              </a:solidFill>
            </a:rPr>
            <a:t> </a:t>
          </a:r>
          <a:r>
            <a:rPr lang="en-US" sz="1100" b="1" i="0"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What is the source of the default hourly wage and employer overhead rates?  </a:t>
          </a:r>
          <a:r>
            <a:rPr lang="en-US"/>
            <a:t> </a:t>
          </a:r>
        </a:p>
        <a:p>
          <a:r>
            <a:rPr lang="en-US" sz="1100" b="1" i="0" u="none" strike="noStrike">
              <a:solidFill>
                <a:srgbClr val="002060"/>
              </a:solidFill>
              <a:latin typeface="+mn-lt"/>
              <a:ea typeface="+mn-ea"/>
              <a:cs typeface="+mn-cs"/>
            </a:rPr>
            <a:t>Default hourly wage and overhead rates for installation and O&amp;M are based on analysis of the most current data available from the U.S. Dept. of Labor, Bureau of Labor</a:t>
          </a:r>
          <a:r>
            <a:rPr lang="en-US" b="1">
              <a:solidFill>
                <a:srgbClr val="002060"/>
              </a:solidFill>
            </a:rPr>
            <a:t> </a:t>
          </a:r>
          <a:r>
            <a:rPr lang="en-US" sz="1100" b="1" i="0" u="none" strike="noStrike">
              <a:solidFill>
                <a:srgbClr val="002060"/>
              </a:solidFill>
              <a:latin typeface="+mn-lt"/>
              <a:ea typeface="+mn-ea"/>
              <a:cs typeface="+mn-cs"/>
            </a:rPr>
            <a:t>Statistics,  Employer Costs for Employee Compensation, for 2010. The mean hourly rate for Installation, Maintenance, and Repair Occupations was used. </a:t>
          </a:r>
          <a:r>
            <a:rPr lang="en-US" b="1">
              <a:solidFill>
                <a:srgbClr val="002060"/>
              </a:solidFill>
            </a:rPr>
            <a:t> </a:t>
          </a:r>
          <a:r>
            <a:rPr lang="en-US" sz="1100" b="1" i="0" u="none" strike="noStrike">
              <a:solidFill>
                <a:srgbClr val="002060"/>
              </a:solidFill>
              <a:latin typeface="+mn-lt"/>
              <a:ea typeface="+mn-ea"/>
              <a:cs typeface="+mn-cs"/>
            </a:rPr>
            <a:t> The occupations in this sector are not specific to the solar installation industry however, they include workers involved in these type of installations or ongoing </a:t>
          </a:r>
          <a:r>
            <a:rPr lang="en-US" b="1">
              <a:solidFill>
                <a:srgbClr val="002060"/>
              </a:solidFill>
            </a:rPr>
            <a:t> </a:t>
          </a:r>
          <a:r>
            <a:rPr lang="en-US" sz="1100" b="1" i="0" u="none" strike="noStrike">
              <a:solidFill>
                <a:srgbClr val="002060"/>
              </a:solidFill>
              <a:latin typeface="+mn-lt"/>
              <a:ea typeface="+mn-ea"/>
              <a:cs typeface="+mn-cs"/>
            </a:rPr>
            <a:t>maintenance of systems.  See http://data.bls.gov/pdq/SurveyOutputServlet;jsessionid=51E8D1D27F680C84E1DFABC68EC41815.tc_instance4. </a:t>
          </a:r>
          <a:r>
            <a:rPr lang="en-US" b="1">
              <a:solidFill>
                <a:srgbClr val="002060"/>
              </a:solidFill>
            </a:rPr>
            <a:t> </a:t>
          </a:r>
          <a:r>
            <a:rPr lang="en-US" sz="1100" b="1" i="0"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Is additional technical support available?</a:t>
          </a:r>
          <a:r>
            <a:rPr lang="en-US"/>
            <a:t> </a:t>
          </a:r>
        </a:p>
        <a:p>
          <a:r>
            <a:rPr lang="en-US" sz="1100" b="1" i="0" u="none" strike="noStrike">
              <a:solidFill>
                <a:srgbClr val="002060"/>
              </a:solidFill>
              <a:latin typeface="+mn-lt"/>
              <a:ea typeface="+mn-ea"/>
              <a:cs typeface="+mn-cs"/>
            </a:rPr>
            <a:t>Yes, technical support is available by contacting the National Renewable Energy Laboratory</a:t>
          </a:r>
          <a:r>
            <a:rPr lang="en-US" sz="1100" b="1" i="0" u="none" strike="noStrike" baseline="0">
              <a:solidFill>
                <a:srgbClr val="002060"/>
              </a:solidFill>
              <a:latin typeface="+mn-lt"/>
              <a:ea typeface="+mn-ea"/>
              <a:cs typeface="+mn-cs"/>
            </a:rPr>
            <a:t> </a:t>
          </a:r>
          <a:r>
            <a:rPr lang="en-US" sz="1100" b="1" i="0" u="none" strike="noStrike">
              <a:solidFill>
                <a:srgbClr val="002060"/>
              </a:solidFill>
              <a:latin typeface="+mn-lt"/>
              <a:ea typeface="+mn-ea"/>
              <a:cs typeface="+mn-cs"/>
            </a:rPr>
            <a:t>by email at jedisupport@nrel.gov.</a:t>
          </a:r>
          <a:r>
            <a:rPr lang="en-US" b="1">
              <a:solidFill>
                <a:srgbClr val="002060"/>
              </a:solidFil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2590800</xdr:colOff>
      <xdr:row>4</xdr:row>
      <xdr:rowOff>95250</xdr:rowOff>
    </xdr:from>
    <xdr:to>
      <xdr:col>0</xdr:col>
      <xdr:colOff>11220450</xdr:colOff>
      <xdr:row>24</xdr:row>
      <xdr:rowOff>66675</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2590800" y="1552575"/>
          <a:ext cx="8629650" cy="3209925"/>
        </a:xfrm>
        <a:prstGeom prst="rect">
          <a:avLst/>
        </a:prstGeom>
        <a:solidFill>
          <a:schemeClr val="bg1"/>
        </a:solidFill>
        <a:ln w="12700">
          <a:solidFill>
            <a:srgbClr val="000000"/>
          </a:solidFill>
          <a:miter lim="800000"/>
          <a:headEnd/>
          <a:tailEnd/>
        </a:ln>
      </xdr:spPr>
      <xdr:txBody>
        <a:bodyPr vertOverflow="clip" wrap="square" lIns="182880" tIns="228600" rIns="274320" bIns="228600" anchor="t" upright="1"/>
        <a:lstStyle/>
        <a:p>
          <a:pPr rtl="0"/>
          <a:r>
            <a:rPr lang="en-US" sz="1200" b="0" i="0" baseline="0">
              <a:latin typeface="Times New Roman" pitchFamily="18" charset="0"/>
              <a:ea typeface="+mn-ea"/>
              <a:cs typeface="Times New Roman" pitchFamily="18" charset="0"/>
            </a:rPr>
            <a:t>This demonstration model is designed to estimate the statewide economic impacts associated with developing photovoltaic systems for distributed generation capabilities.  The economic impacts identified include annual jobs, earnings, output and value added for the installation period and once the systems are up and running.  A user defined "add-in" location (e.g., county or region) option is also available.    </a:t>
          </a:r>
          <a:endParaRPr lang="en-US" sz="1200">
            <a:latin typeface="Times New Roman" pitchFamily="18" charset="0"/>
            <a:cs typeface="Times New Roman" pitchFamily="18" charset="0"/>
          </a:endParaRPr>
        </a:p>
        <a:p>
          <a:pPr rtl="0" fontAlgn="base"/>
          <a:endParaRPr lang="en-US" sz="1100" b="0" i="0" baseline="0">
            <a:latin typeface="Times New Roman" pitchFamily="18" charset="0"/>
            <a:ea typeface="+mn-ea"/>
            <a:cs typeface="Times New Roman" pitchFamily="18" charset="0"/>
          </a:endParaRPr>
        </a:p>
        <a:p>
          <a:pPr rtl="0" fontAlgn="base"/>
          <a:r>
            <a:rPr lang="en-US" sz="1200" b="1" i="0" baseline="0">
              <a:latin typeface="Times New Roman" pitchFamily="18" charset="0"/>
              <a:ea typeface="+mn-ea"/>
              <a:cs typeface="Times New Roman" pitchFamily="18" charset="0"/>
            </a:rPr>
            <a:t>Steps to complete an economic impact analysis:</a:t>
          </a:r>
        </a:p>
        <a:p>
          <a:pPr rtl="0" fontAlgn="base"/>
          <a:endParaRPr lang="en-US" sz="1200" b="0" i="0" baseline="0">
            <a:latin typeface="Times New Roman" pitchFamily="18" charset="0"/>
            <a:ea typeface="+mn-ea"/>
            <a:cs typeface="Times New Roman" pitchFamily="18" charset="0"/>
          </a:endParaRPr>
        </a:p>
        <a:p>
          <a:pPr rtl="0"/>
          <a:r>
            <a:rPr lang="en-US" sz="1200" b="0" i="0" baseline="0">
              <a:latin typeface="Times New Roman" pitchFamily="18" charset="0"/>
              <a:ea typeface="+mn-ea"/>
              <a:cs typeface="Times New Roman" pitchFamily="18" charset="0"/>
            </a:rPr>
            <a:t>   1.  Enter project descriptive data</a:t>
          </a:r>
          <a:endParaRPr lang="en-US" sz="1200">
            <a:latin typeface="Times New Roman" pitchFamily="18" charset="0"/>
            <a:cs typeface="Times New Roman" pitchFamily="18" charset="0"/>
          </a:endParaRPr>
        </a:p>
        <a:p>
          <a:pPr rtl="0"/>
          <a:r>
            <a:rPr lang="en-US" sz="1200" b="0" i="0" baseline="0">
              <a:latin typeface="Times New Roman" pitchFamily="18" charset="0"/>
              <a:ea typeface="+mn-ea"/>
              <a:cs typeface="Times New Roman" pitchFamily="18" charset="0"/>
            </a:rPr>
            <a:t>   2.  Choose to accept default project cost data (based on project description and average cost data for photovoltaic systems) or review and enter new project cost data.  </a:t>
          </a:r>
          <a:endParaRPr lang="en-US" sz="1200">
            <a:latin typeface="Times New Roman" pitchFamily="18" charset="0"/>
            <a:cs typeface="Times New Roman" pitchFamily="18" charset="0"/>
          </a:endParaRPr>
        </a:p>
        <a:p>
          <a:pPr rtl="0"/>
          <a:r>
            <a:rPr lang="en-US" sz="1200" b="0" i="0" baseline="0">
              <a:latin typeface="Times New Roman" pitchFamily="18" charset="0"/>
              <a:ea typeface="+mn-ea"/>
              <a:cs typeface="Times New Roman" pitchFamily="18" charset="0"/>
            </a:rPr>
            <a:t>   3.  If you accept default values go directly to SUMMARY RESULTS to view and/or print results.</a:t>
          </a:r>
          <a:endParaRPr lang="en-US" sz="1200">
            <a:latin typeface="Times New Roman" pitchFamily="18" charset="0"/>
            <a:cs typeface="Times New Roman" pitchFamily="18" charset="0"/>
          </a:endParaRPr>
        </a:p>
        <a:p>
          <a:r>
            <a:rPr lang="en-US" sz="1200" b="0" i="0" baseline="0">
              <a:latin typeface="Times New Roman" pitchFamily="18" charset="0"/>
              <a:ea typeface="+mn-ea"/>
              <a:cs typeface="Times New Roman" pitchFamily="18" charset="0"/>
            </a:rPr>
            <a:t>   4.  If you choose to enter new values make sure to enter an "N" in the designated cell before proceeding</a:t>
          </a:r>
          <a:endParaRPr lang="en-US" sz="1200" b="0" i="0" u="none" strike="noStrike" baseline="0">
            <a:solidFill>
              <a:srgbClr val="000000"/>
            </a:solidFill>
            <a:latin typeface="Times New Roman" pitchFamily="18" charset="0"/>
            <a:cs typeface="Times New Roman" pitchFamily="18" charset="0"/>
          </a:endParaRPr>
        </a:p>
        <a:p>
          <a:pPr algn="l" rtl="0">
            <a:defRPr sz="1000"/>
          </a:pPr>
          <a:endParaRPr lang="en-US" sz="1200" b="0" i="0" u="none" strike="noStrike" baseline="0">
            <a:solidFill>
              <a:srgbClr val="000000"/>
            </a:solidFill>
            <a:latin typeface="Times New Roman" pitchFamily="18" charset="0"/>
            <a:cs typeface="Times New Roman" pitchFamily="18" charset="0"/>
          </a:endParaRPr>
        </a:p>
        <a:p>
          <a:pPr algn="l" rtl="0">
            <a:defRPr sz="1000"/>
          </a:pPr>
          <a:r>
            <a:rPr lang="en-US" sz="1200" b="1" i="0" u="none" strike="noStrike" baseline="0">
              <a:solidFill>
                <a:srgbClr val="000000"/>
              </a:solidFill>
              <a:latin typeface="Times New Roman" pitchFamily="18" charset="0"/>
              <a:cs typeface="Times New Roman" pitchFamily="18" charset="0"/>
            </a:rPr>
            <a:t>To begin analysis press Start button</a:t>
          </a:r>
          <a:endParaRPr lang="en-US" sz="1200" b="0" i="0" u="none" strike="noStrike" baseline="0">
            <a:solidFill>
              <a:srgbClr val="000000"/>
            </a:solidFill>
            <a:latin typeface="Times New Roman" pitchFamily="18" charset="0"/>
            <a:cs typeface="Times New Roman" pitchFamily="18" charset="0"/>
          </a:endParaRPr>
        </a:p>
        <a:p>
          <a:pPr algn="l" rtl="0">
            <a:defRPr sz="1000"/>
          </a:pPr>
          <a:r>
            <a:rPr lang="en-US" sz="1000" b="0" i="0" u="none" strike="noStrike" baseline="0">
              <a:solidFill>
                <a:srgbClr val="000000"/>
              </a:solidFill>
              <a:latin typeface="Times New Roman" pitchFamily="18" charset="0"/>
              <a:cs typeface="Times New Roman" pitchFamily="18" charset="0"/>
            </a:rPr>
            <a:t>   </a:t>
          </a:r>
        </a:p>
        <a:p>
          <a:pPr algn="l" rtl="0">
            <a:defRPr sz="1000"/>
          </a:pPr>
          <a:endParaRPr lang="en-US" sz="1000" b="0" i="0" u="none" strike="noStrike" baseline="0">
            <a:solidFill>
              <a:srgbClr val="000000"/>
            </a:solidFill>
            <a:latin typeface="Helv"/>
          </a:endParaRPr>
        </a:p>
        <a:p>
          <a:pPr algn="l" rtl="0">
            <a:defRPr sz="1000"/>
          </a:pPr>
          <a:r>
            <a:rPr lang="en-US" sz="1000" b="0" i="0" u="none" strike="noStrike" baseline="0">
              <a:solidFill>
                <a:srgbClr val="000000"/>
              </a:solidFill>
              <a:latin typeface="Helv"/>
            </a:rPr>
            <a:t>          </a:t>
          </a:r>
        </a:p>
        <a:p>
          <a:pPr algn="l" rtl="0">
            <a:defRPr sz="1000"/>
          </a:pPr>
          <a:r>
            <a:rPr lang="en-US" sz="1000" b="0" i="0" u="none" strike="noStrike" baseline="0">
              <a:solidFill>
                <a:srgbClr val="000000"/>
              </a:solidFill>
              <a:latin typeface="Helv"/>
            </a:rPr>
            <a:t>                                                                                        </a:t>
          </a:r>
          <a:r>
            <a:rPr lang="en-US" sz="1000" b="1" i="0" u="none" strike="noStrike" baseline="0">
              <a:solidFill>
                <a:srgbClr val="000000"/>
              </a:solidFill>
              <a:latin typeface="Helv"/>
            </a:rPr>
            <a:t> </a:t>
          </a: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xdr:txBody>
    </xdr:sp>
    <xdr:clientData/>
  </xdr:twoCellAnchor>
  <mc:AlternateContent xmlns:mc="http://schemas.openxmlformats.org/markup-compatibility/2006">
    <mc:Choice xmlns:a14="http://schemas.microsoft.com/office/drawing/2010/main" Requires="a14">
      <xdr:twoCellAnchor>
        <xdr:from>
          <xdr:col>0</xdr:col>
          <xdr:colOff>5974080</xdr:colOff>
          <xdr:row>19</xdr:row>
          <xdr:rowOff>114300</xdr:rowOff>
        </xdr:from>
        <xdr:to>
          <xdr:col>0</xdr:col>
          <xdr:colOff>7620000</xdr:colOff>
          <xdr:row>22</xdr:row>
          <xdr:rowOff>76200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45720" tIns="32004" rIns="45720" bIns="32004" anchor="ctr" upright="1"/>
            <a:lstStyle/>
            <a:p>
              <a:pPr algn="ctr" rtl="0">
                <a:defRPr sz="1000"/>
              </a:pPr>
              <a:r>
                <a:rPr lang="es-ES" sz="1400" b="1" i="0" u="none" strike="noStrike" baseline="0">
                  <a:solidFill>
                    <a:srgbClr val="000000"/>
                  </a:solidFill>
                  <a:latin typeface="Arial"/>
                  <a:cs typeface="Arial"/>
                </a:rPr>
                <a:t>Start</a:t>
              </a:r>
              <a:r>
                <a:rPr lang="es-ES" sz="1400" b="0" i="0" u="none" strike="noStrike" baseline="0">
                  <a:solidFill>
                    <a:srgbClr val="000000"/>
                  </a:solidFill>
                  <a:latin typeface="Arial"/>
                  <a:cs typeface="Arial"/>
                </a:rPr>
                <a:t> </a:t>
              </a:r>
              <a:endParaRPr lang="es-ES" sz="1000" b="0" i="0" u="none" strike="noStrike" baseline="0">
                <a:solidFill>
                  <a:srgbClr val="000000"/>
                </a:solidFill>
                <a:latin typeface="Arial"/>
                <a:cs typeface="Arial"/>
              </a:endParaRPr>
            </a:p>
            <a:p>
              <a:pPr algn="ctr" rtl="0">
                <a:defRPr sz="1000"/>
              </a:pPr>
              <a:r>
                <a:rPr lang="es-ES" sz="1000" b="0" i="0" u="none" strike="noStrike" baseline="0">
                  <a:solidFill>
                    <a:srgbClr val="000000"/>
                  </a:solidFill>
                  <a:latin typeface="Arial"/>
                  <a:cs typeface="Arial"/>
                </a:rPr>
                <a:t>Economic Impact Analysis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266700</xdr:colOff>
          <xdr:row>65</xdr:row>
          <xdr:rowOff>144780</xdr:rowOff>
        </xdr:from>
        <xdr:to>
          <xdr:col>6</xdr:col>
          <xdr:colOff>762000</xdr:colOff>
          <xdr:row>68</xdr:row>
          <xdr:rowOff>106680</xdr:rowOff>
        </xdr:to>
        <xdr:sp macro="" textlink="">
          <xdr:nvSpPr>
            <xdr:cNvPr id="2089" name="Button 41" hidden="1">
              <a:extLst>
                <a:ext uri="{63B3BB69-23CF-44E3-9099-C40C66FF867C}">
                  <a14:compatExt spid="_x0000_s2089"/>
                </a:ext>
                <a:ext uri="{FF2B5EF4-FFF2-40B4-BE49-F238E27FC236}">
                  <a16:creationId xmlns:a16="http://schemas.microsoft.com/office/drawing/2014/main" id="{00000000-0008-0000-0400-00002908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Go To </a:t>
              </a:r>
            </a:p>
            <a:p>
              <a:pPr algn="ctr" rtl="0">
                <a:defRPr sz="1000"/>
              </a:pPr>
              <a:r>
                <a:rPr lang="es-ES" sz="1000" b="0" i="0" u="none" strike="noStrike" baseline="0">
                  <a:solidFill>
                    <a:srgbClr val="000000"/>
                  </a:solidFill>
                  <a:latin typeface="Arial"/>
                  <a:cs typeface="Arial"/>
                </a:rPr>
                <a:t>Summary Impacts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922020</xdr:colOff>
          <xdr:row>71</xdr:row>
          <xdr:rowOff>0</xdr:rowOff>
        </xdr:from>
        <xdr:to>
          <xdr:col>7</xdr:col>
          <xdr:colOff>312420</xdr:colOff>
          <xdr:row>73</xdr:row>
          <xdr:rowOff>144780</xdr:rowOff>
        </xdr:to>
        <xdr:sp macro="" textlink="">
          <xdr:nvSpPr>
            <xdr:cNvPr id="2091" name="Button 43" hidden="1">
              <a:extLst>
                <a:ext uri="{63B3BB69-23CF-44E3-9099-C40C66FF867C}">
                  <a14:compatExt spid="_x0000_s2091"/>
                </a:ext>
                <a:ext uri="{FF2B5EF4-FFF2-40B4-BE49-F238E27FC236}">
                  <a16:creationId xmlns:a16="http://schemas.microsoft.com/office/drawing/2014/main" id="{00000000-0008-0000-0400-00002B08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Return To Top</a:t>
              </a:r>
            </a:p>
            <a:p>
              <a:pPr algn="ctr" rtl="0">
                <a:defRPr sz="1000"/>
              </a:pPr>
              <a:r>
                <a:rPr lang="es-ES" sz="1000" b="0" i="0" u="none" strike="noStrike" baseline="0">
                  <a:solidFill>
                    <a:srgbClr val="000000"/>
                  </a:solidFill>
                  <a:latin typeface="Arial"/>
                  <a:cs typeface="Arial"/>
                </a:rPr>
                <a:t>Project Description and Cost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68580</xdr:colOff>
          <xdr:row>28</xdr:row>
          <xdr:rowOff>0</xdr:rowOff>
        </xdr:from>
        <xdr:to>
          <xdr:col>7</xdr:col>
          <xdr:colOff>381000</xdr:colOff>
          <xdr:row>29</xdr:row>
          <xdr:rowOff>182880</xdr:rowOff>
        </xdr:to>
        <xdr:sp macro="" textlink="">
          <xdr:nvSpPr>
            <xdr:cNvPr id="2179" name="Button 131" hidden="1">
              <a:extLst>
                <a:ext uri="{63B3BB69-23CF-44E3-9099-C40C66FF867C}">
                  <a14:compatExt spid="_x0000_s2179"/>
                </a:ext>
                <a:ext uri="{FF2B5EF4-FFF2-40B4-BE49-F238E27FC236}">
                  <a16:creationId xmlns:a16="http://schemas.microsoft.com/office/drawing/2014/main" id="{00000000-0008-0000-0400-00008308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Restore </a:t>
              </a:r>
            </a:p>
            <a:p>
              <a:pPr algn="ctr" rtl="0">
                <a:defRPr sz="1000"/>
              </a:pPr>
              <a:r>
                <a:rPr lang="es-ES" sz="1000" b="0" i="0" u="none" strike="noStrike" baseline="0">
                  <a:solidFill>
                    <a:srgbClr val="000000"/>
                  </a:solidFill>
                  <a:latin typeface="Arial"/>
                  <a:cs typeface="Arial"/>
                </a:rPr>
                <a:t>Default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220980</xdr:colOff>
          <xdr:row>26</xdr:row>
          <xdr:rowOff>83820</xdr:rowOff>
        </xdr:from>
        <xdr:to>
          <xdr:col>4</xdr:col>
          <xdr:colOff>792480</xdr:colOff>
          <xdr:row>27</xdr:row>
          <xdr:rowOff>68580</xdr:rowOff>
        </xdr:to>
        <xdr:sp macro="" textlink="">
          <xdr:nvSpPr>
            <xdr:cNvPr id="2207" name="Button 159" hidden="1">
              <a:extLst>
                <a:ext uri="{63B3BB69-23CF-44E3-9099-C40C66FF867C}">
                  <a14:compatExt spid="_x0000_s2207"/>
                </a:ext>
                <a:ext uri="{FF2B5EF4-FFF2-40B4-BE49-F238E27FC236}">
                  <a16:creationId xmlns:a16="http://schemas.microsoft.com/office/drawing/2014/main" id="{00000000-0008-0000-0400-00009F08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Go To Summary Impacts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106680</xdr:colOff>
          <xdr:row>9</xdr:row>
          <xdr:rowOff>68580</xdr:rowOff>
        </xdr:from>
        <xdr:to>
          <xdr:col>6</xdr:col>
          <xdr:colOff>0</xdr:colOff>
          <xdr:row>13</xdr:row>
          <xdr:rowOff>121920</xdr:rowOff>
        </xdr:to>
        <xdr:sp macro="" textlink="">
          <xdr:nvSpPr>
            <xdr:cNvPr id="5136" name="Button 16" hidden="1">
              <a:extLst>
                <a:ext uri="{63B3BB69-23CF-44E3-9099-C40C66FF867C}">
                  <a14:compatExt spid="_x0000_s5136"/>
                </a:ext>
                <a:ext uri="{FF2B5EF4-FFF2-40B4-BE49-F238E27FC236}">
                  <a16:creationId xmlns:a16="http://schemas.microsoft.com/office/drawing/2014/main" id="{00000000-0008-0000-0500-00001014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Print Detailed Project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3</xdr:row>
          <xdr:rowOff>152400</xdr:rowOff>
        </xdr:from>
        <xdr:to>
          <xdr:col>5</xdr:col>
          <xdr:colOff>1783080</xdr:colOff>
          <xdr:row>7</xdr:row>
          <xdr:rowOff>45720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500-00001314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Print Project Data Summary </a:t>
              </a:r>
            </a:p>
            <a:p>
              <a:pPr algn="ctr" rtl="0">
                <a:defRPr sz="1000"/>
              </a:pPr>
              <a:r>
                <a:rPr lang="es-ES" sz="1000" b="0" i="0" u="none" strike="noStrike" baseline="0">
                  <a:solidFill>
                    <a:srgbClr val="000000"/>
                  </a:solidFill>
                  <a:latin typeface="Arial"/>
                  <a:cs typeface="Arial"/>
                </a:rPr>
                <a:t>and Summary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21</xdr:row>
          <xdr:rowOff>152400</xdr:rowOff>
        </xdr:from>
        <xdr:to>
          <xdr:col>6</xdr:col>
          <xdr:colOff>0</xdr:colOff>
          <xdr:row>25</xdr:row>
          <xdr:rowOff>7620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500-00001414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Return to </a:t>
              </a:r>
            </a:p>
            <a:p>
              <a:pPr algn="ctr" rtl="0">
                <a:defRPr sz="1000"/>
              </a:pPr>
              <a:r>
                <a:rPr lang="es-ES" sz="1000" b="0" i="0" u="none" strike="noStrike" baseline="0">
                  <a:solidFill>
                    <a:srgbClr val="000000"/>
                  </a:solidFill>
                  <a:latin typeface="Arial"/>
                  <a:cs typeface="Arial"/>
                </a:rPr>
                <a:t>Project Description </a:t>
              </a:r>
            </a:p>
            <a:p>
              <a:pPr algn="ctr" rtl="0">
                <a:defRPr sz="1000"/>
              </a:pPr>
              <a:r>
                <a:rPr lang="es-ES" sz="1000" b="0" i="0" u="none" strike="noStrike" baseline="0">
                  <a:solidFill>
                    <a:srgbClr val="000000"/>
                  </a:solidFill>
                  <a:latin typeface="Arial"/>
                  <a:cs typeface="Arial"/>
                </a:rPr>
                <a:t>and Cost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106680</xdr:colOff>
          <xdr:row>15</xdr:row>
          <xdr:rowOff>114300</xdr:rowOff>
        </xdr:from>
        <xdr:to>
          <xdr:col>6</xdr:col>
          <xdr:colOff>0</xdr:colOff>
          <xdr:row>19</xdr:row>
          <xdr:rowOff>144780</xdr:rowOff>
        </xdr:to>
        <xdr:sp macro="" textlink="">
          <xdr:nvSpPr>
            <xdr:cNvPr id="5164" name="Button 44" hidden="1">
              <a:extLst>
                <a:ext uri="{63B3BB69-23CF-44E3-9099-C40C66FF867C}">
                  <a14:compatExt spid="_x0000_s5164"/>
                </a:ext>
                <a:ext uri="{FF2B5EF4-FFF2-40B4-BE49-F238E27FC236}">
                  <a16:creationId xmlns:a16="http://schemas.microsoft.com/office/drawing/2014/main" id="{00000000-0008-0000-0500-00002C140000}"/>
                </a:ext>
              </a:extLst>
            </xdr:cNvPr>
            <xdr:cNvSpPr/>
          </xdr:nvSpPr>
          <xdr:spPr bwMode="auto">
            <a:xfrm>
              <a:off x="0" y="0"/>
              <a:ext cx="0" cy="0"/>
            </a:xfrm>
            <a:prstGeom prst="rect">
              <a:avLst/>
            </a:prstGeom>
            <a:noFill/>
            <a:ln w="9525">
              <a:miter lim="800000"/>
              <a:headEnd/>
              <a:tailEnd/>
            </a:ln>
            <a:effectLst/>
            <a:extLst>
              <a:ext uri="{53640926-AAD7-44D8-BBD7-CCE9431645EC}">
                <a14:shadowObscured val="1"/>
              </a:ext>
            </a:extLst>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Export All Project Data and Summary Results</a:t>
              </a:r>
            </a:p>
            <a:p>
              <a:pPr algn="ctr" rtl="0">
                <a:defRPr sz="1000"/>
              </a:pPr>
              <a:r>
                <a:rPr lang="es-ES" sz="1000" b="0" i="0" u="none" strike="noStrike" baseline="0">
                  <a:solidFill>
                    <a:srgbClr val="000000"/>
                  </a:solidFill>
                  <a:latin typeface="Arial"/>
                  <a:cs typeface="Arial"/>
                </a:rPr>
                <a:t>to a new spreadsheet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drawing" Target="../drawings/drawing4.xml"/><Relationship Id="rId7" Type="http://schemas.openxmlformats.org/officeDocument/2006/relationships/ctrlProp" Target="../ctrlProps/ctrlProp4.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 Id="rId9" Type="http://schemas.openxmlformats.org/officeDocument/2006/relationships/comments" Target="../comments1.xml"/></Relationships>
</file>

<file path=xl/worksheets/_rels/sheet6.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dimension ref="A1:B102"/>
  <sheetViews>
    <sheetView topLeftCell="A85" workbookViewId="0">
      <selection activeCell="F96" sqref="F96"/>
    </sheetView>
  </sheetViews>
  <sheetFormatPr defaultColWidth="8.88671875" defaultRowHeight="13.2"/>
  <sheetData>
    <row r="1" spans="1:2">
      <c r="B1" s="1" t="s">
        <v>0</v>
      </c>
    </row>
    <row r="2" spans="1:2">
      <c r="B2" s="1"/>
    </row>
    <row r="3" spans="1:2">
      <c r="A3" s="7">
        <v>1</v>
      </c>
      <c r="B3" s="290" t="s">
        <v>1</v>
      </c>
    </row>
    <row r="4" spans="1:2">
      <c r="A4" s="7">
        <f>A3+1</f>
        <v>2</v>
      </c>
      <c r="B4" s="290" t="s">
        <v>2</v>
      </c>
    </row>
    <row r="5" spans="1:2">
      <c r="A5" s="7">
        <f t="shared" ref="A5:A27" si="0">A4+1</f>
        <v>3</v>
      </c>
      <c r="B5" s="290" t="s">
        <v>3</v>
      </c>
    </row>
    <row r="6" spans="1:2">
      <c r="A6" s="7">
        <f t="shared" si="0"/>
        <v>4</v>
      </c>
      <c r="B6" s="290" t="s">
        <v>4</v>
      </c>
    </row>
    <row r="7" spans="1:2">
      <c r="A7" s="7">
        <f t="shared" si="0"/>
        <v>5</v>
      </c>
      <c r="B7" s="290" t="s">
        <v>5</v>
      </c>
    </row>
    <row r="8" spans="1:2">
      <c r="A8" s="7">
        <f t="shared" si="0"/>
        <v>6</v>
      </c>
      <c r="B8" s="290" t="s">
        <v>6</v>
      </c>
    </row>
    <row r="9" spans="1:2">
      <c r="A9" s="7">
        <f t="shared" si="0"/>
        <v>7</v>
      </c>
      <c r="B9" s="290" t="s">
        <v>7</v>
      </c>
    </row>
    <row r="10" spans="1:2">
      <c r="A10" s="7">
        <f t="shared" si="0"/>
        <v>8</v>
      </c>
      <c r="B10" s="290" t="s">
        <v>8</v>
      </c>
    </row>
    <row r="11" spans="1:2">
      <c r="A11" s="7">
        <f t="shared" si="0"/>
        <v>9</v>
      </c>
      <c r="B11" s="290" t="s">
        <v>9</v>
      </c>
    </row>
    <row r="12" spans="1:2">
      <c r="A12" s="7">
        <f t="shared" si="0"/>
        <v>10</v>
      </c>
      <c r="B12" s="290" t="s">
        <v>10</v>
      </c>
    </row>
    <row r="13" spans="1:2">
      <c r="A13" s="7">
        <f t="shared" si="0"/>
        <v>11</v>
      </c>
      <c r="B13" s="290" t="s">
        <v>11</v>
      </c>
    </row>
    <row r="14" spans="1:2">
      <c r="A14" s="7"/>
      <c r="B14" s="290"/>
    </row>
    <row r="15" spans="1:2">
      <c r="A15" s="7"/>
      <c r="B15" s="1" t="s">
        <v>12</v>
      </c>
    </row>
    <row r="16" spans="1:2">
      <c r="A16" s="7">
        <v>1</v>
      </c>
      <c r="B16" s="290" t="s">
        <v>13</v>
      </c>
    </row>
    <row r="17" spans="1:2">
      <c r="A17" s="7">
        <f t="shared" si="0"/>
        <v>2</v>
      </c>
      <c r="B17" t="s">
        <v>14</v>
      </c>
    </row>
    <row r="18" spans="1:2">
      <c r="A18" s="7">
        <f t="shared" si="0"/>
        <v>3</v>
      </c>
      <c r="B18" t="s">
        <v>15</v>
      </c>
    </row>
    <row r="19" spans="1:2">
      <c r="A19" s="7">
        <f t="shared" si="0"/>
        <v>4</v>
      </c>
      <c r="B19" t="s">
        <v>16</v>
      </c>
    </row>
    <row r="20" spans="1:2">
      <c r="A20" s="7">
        <f t="shared" si="0"/>
        <v>5</v>
      </c>
      <c r="B20" t="s">
        <v>17</v>
      </c>
    </row>
    <row r="21" spans="1:2">
      <c r="A21" s="7">
        <f t="shared" si="0"/>
        <v>6</v>
      </c>
      <c r="B21" t="s">
        <v>18</v>
      </c>
    </row>
    <row r="22" spans="1:2">
      <c r="A22" s="7">
        <f t="shared" si="0"/>
        <v>7</v>
      </c>
      <c r="B22" t="s">
        <v>19</v>
      </c>
    </row>
    <row r="23" spans="1:2">
      <c r="A23" s="7">
        <f t="shared" si="0"/>
        <v>8</v>
      </c>
      <c r="B23" t="s">
        <v>20</v>
      </c>
    </row>
    <row r="24" spans="1:2">
      <c r="A24" s="7">
        <f t="shared" si="0"/>
        <v>9</v>
      </c>
      <c r="B24" t="s">
        <v>21</v>
      </c>
    </row>
    <row r="25" spans="1:2">
      <c r="A25" s="7">
        <f t="shared" si="0"/>
        <v>10</v>
      </c>
      <c r="B25" t="s">
        <v>22</v>
      </c>
    </row>
    <row r="26" spans="1:2">
      <c r="A26" s="7">
        <f t="shared" si="0"/>
        <v>11</v>
      </c>
      <c r="B26" t="s">
        <v>23</v>
      </c>
    </row>
    <row r="27" spans="1:2">
      <c r="A27" s="7">
        <f t="shared" si="0"/>
        <v>12</v>
      </c>
      <c r="B27" s="290" t="s">
        <v>24</v>
      </c>
    </row>
    <row r="28" spans="1:2">
      <c r="A28" s="7"/>
    </row>
    <row r="29" spans="1:2">
      <c r="A29" s="7"/>
      <c r="B29" s="1" t="s">
        <v>25</v>
      </c>
    </row>
    <row r="30" spans="1:2">
      <c r="A30" s="7">
        <v>1</v>
      </c>
      <c r="B30" t="s">
        <v>26</v>
      </c>
    </row>
    <row r="31" spans="1:2">
      <c r="A31" s="7">
        <f t="shared" ref="A31:A37" si="1">A30+1</f>
        <v>2</v>
      </c>
      <c r="B31" s="290" t="s">
        <v>27</v>
      </c>
    </row>
    <row r="32" spans="1:2">
      <c r="A32" s="7">
        <f t="shared" si="1"/>
        <v>3</v>
      </c>
      <c r="B32" s="290" t="s">
        <v>28</v>
      </c>
    </row>
    <row r="33" spans="1:2">
      <c r="A33" s="7">
        <f t="shared" si="1"/>
        <v>4</v>
      </c>
      <c r="B33" s="290" t="s">
        <v>29</v>
      </c>
    </row>
    <row r="34" spans="1:2">
      <c r="A34" s="7">
        <f t="shared" si="1"/>
        <v>5</v>
      </c>
      <c r="B34" s="290" t="s">
        <v>30</v>
      </c>
    </row>
    <row r="35" spans="1:2">
      <c r="A35" s="7">
        <f t="shared" si="1"/>
        <v>6</v>
      </c>
      <c r="B35" s="290" t="s">
        <v>31</v>
      </c>
    </row>
    <row r="36" spans="1:2">
      <c r="A36" s="7">
        <f t="shared" si="1"/>
        <v>7</v>
      </c>
      <c r="B36" s="290" t="s">
        <v>32</v>
      </c>
    </row>
    <row r="37" spans="1:2">
      <c r="A37" s="7">
        <f t="shared" si="1"/>
        <v>8</v>
      </c>
      <c r="B37" s="290" t="s">
        <v>33</v>
      </c>
    </row>
    <row r="39" spans="1:2">
      <c r="B39" s="1" t="s">
        <v>34</v>
      </c>
    </row>
    <row r="40" spans="1:2">
      <c r="A40" s="7">
        <v>1</v>
      </c>
      <c r="B40" s="290" t="s">
        <v>35</v>
      </c>
    </row>
    <row r="41" spans="1:2">
      <c r="A41" s="7">
        <f t="shared" ref="A41:A51" si="2">A40+1</f>
        <v>2</v>
      </c>
      <c r="B41" s="290" t="s">
        <v>36</v>
      </c>
    </row>
    <row r="42" spans="1:2">
      <c r="A42" s="7">
        <f t="shared" si="2"/>
        <v>3</v>
      </c>
      <c r="B42" s="290" t="s">
        <v>37</v>
      </c>
    </row>
    <row r="43" spans="1:2">
      <c r="A43" s="7">
        <f t="shared" si="2"/>
        <v>4</v>
      </c>
      <c r="B43" s="290" t="s">
        <v>38</v>
      </c>
    </row>
    <row r="44" spans="1:2">
      <c r="A44" s="7">
        <f t="shared" si="2"/>
        <v>5</v>
      </c>
      <c r="B44" s="290" t="s">
        <v>39</v>
      </c>
    </row>
    <row r="45" spans="1:2">
      <c r="A45" s="7">
        <f t="shared" si="2"/>
        <v>6</v>
      </c>
      <c r="B45" s="290" t="s">
        <v>40</v>
      </c>
    </row>
    <row r="46" spans="1:2">
      <c r="A46" s="7">
        <f t="shared" si="2"/>
        <v>7</v>
      </c>
      <c r="B46" s="290" t="s">
        <v>41</v>
      </c>
    </row>
    <row r="47" spans="1:2">
      <c r="A47" s="7">
        <f t="shared" si="2"/>
        <v>8</v>
      </c>
      <c r="B47" s="290" t="s">
        <v>42</v>
      </c>
    </row>
    <row r="48" spans="1:2">
      <c r="A48" s="7">
        <f t="shared" si="2"/>
        <v>9</v>
      </c>
      <c r="B48" s="290" t="s">
        <v>43</v>
      </c>
    </row>
    <row r="49" spans="1:2">
      <c r="A49" s="7">
        <f t="shared" si="2"/>
        <v>10</v>
      </c>
      <c r="B49" s="290" t="s">
        <v>44</v>
      </c>
    </row>
    <row r="50" spans="1:2">
      <c r="A50" s="7">
        <f t="shared" si="2"/>
        <v>11</v>
      </c>
      <c r="B50" s="290" t="s">
        <v>45</v>
      </c>
    </row>
    <row r="51" spans="1:2">
      <c r="A51" s="7">
        <f t="shared" si="2"/>
        <v>12</v>
      </c>
      <c r="B51" s="290" t="s">
        <v>46</v>
      </c>
    </row>
    <row r="52" spans="1:2">
      <c r="A52" s="7">
        <v>13</v>
      </c>
      <c r="B52" s="290" t="s">
        <v>47</v>
      </c>
    </row>
    <row r="53" spans="1:2">
      <c r="A53" s="7">
        <v>14</v>
      </c>
      <c r="B53" s="290" t="s">
        <v>48</v>
      </c>
    </row>
    <row r="54" spans="1:2">
      <c r="A54" s="7">
        <v>15</v>
      </c>
      <c r="B54" s="290" t="s">
        <v>49</v>
      </c>
    </row>
    <row r="55" spans="1:2">
      <c r="A55" s="7">
        <v>16</v>
      </c>
      <c r="B55" s="290" t="s">
        <v>50</v>
      </c>
    </row>
    <row r="56" spans="1:2">
      <c r="A56" s="7">
        <v>17</v>
      </c>
      <c r="B56" s="290" t="s">
        <v>51</v>
      </c>
    </row>
    <row r="57" spans="1:2">
      <c r="A57" s="7">
        <v>18</v>
      </c>
      <c r="B57" s="290" t="s">
        <v>52</v>
      </c>
    </row>
    <row r="59" spans="1:2">
      <c r="B59" s="1" t="s">
        <v>53</v>
      </c>
    </row>
    <row r="60" spans="1:2">
      <c r="A60" s="7">
        <f t="shared" ref="A60:A68" si="3">A59+1</f>
        <v>1</v>
      </c>
      <c r="B60" s="290" t="s">
        <v>54</v>
      </c>
    </row>
    <row r="61" spans="1:2">
      <c r="A61" s="7">
        <f t="shared" si="3"/>
        <v>2</v>
      </c>
      <c r="B61" s="290" t="s">
        <v>42</v>
      </c>
    </row>
    <row r="62" spans="1:2">
      <c r="A62" s="7">
        <f t="shared" si="3"/>
        <v>3</v>
      </c>
      <c r="B62" s="290" t="s">
        <v>55</v>
      </c>
    </row>
    <row r="63" spans="1:2">
      <c r="A63" s="7">
        <f t="shared" si="3"/>
        <v>4</v>
      </c>
      <c r="B63" s="290" t="s">
        <v>56</v>
      </c>
    </row>
    <row r="64" spans="1:2">
      <c r="A64" s="7">
        <f t="shared" si="3"/>
        <v>5</v>
      </c>
      <c r="B64" s="290" t="s">
        <v>57</v>
      </c>
    </row>
    <row r="65" spans="1:2">
      <c r="A65" s="7">
        <f t="shared" si="3"/>
        <v>6</v>
      </c>
      <c r="B65" s="290" t="s">
        <v>58</v>
      </c>
    </row>
    <row r="66" spans="1:2">
      <c r="A66" s="7">
        <f t="shared" si="3"/>
        <v>7</v>
      </c>
      <c r="B66" s="290" t="s">
        <v>59</v>
      </c>
    </row>
    <row r="67" spans="1:2">
      <c r="A67" s="7">
        <f t="shared" si="3"/>
        <v>8</v>
      </c>
      <c r="B67" s="290" t="s">
        <v>60</v>
      </c>
    </row>
    <row r="68" spans="1:2">
      <c r="A68" s="7">
        <f t="shared" si="3"/>
        <v>9</v>
      </c>
    </row>
    <row r="70" spans="1:2">
      <c r="B70" s="1" t="s">
        <v>61</v>
      </c>
    </row>
    <row r="71" spans="1:2">
      <c r="A71" s="7">
        <f t="shared" ref="A71:A74" si="4">A70+1</f>
        <v>1</v>
      </c>
      <c r="B71" s="290" t="s">
        <v>62</v>
      </c>
    </row>
    <row r="72" spans="1:2">
      <c r="A72" s="7">
        <f t="shared" si="4"/>
        <v>2</v>
      </c>
      <c r="B72" s="290" t="s">
        <v>63</v>
      </c>
    </row>
    <row r="73" spans="1:2">
      <c r="A73" s="7">
        <f t="shared" si="4"/>
        <v>3</v>
      </c>
      <c r="B73" s="290" t="s">
        <v>64</v>
      </c>
    </row>
    <row r="74" spans="1:2">
      <c r="A74" s="7">
        <f t="shared" si="4"/>
        <v>4</v>
      </c>
      <c r="B74" s="290"/>
    </row>
    <row r="76" spans="1:2">
      <c r="B76" s="1" t="s">
        <v>65</v>
      </c>
    </row>
    <row r="77" spans="1:2">
      <c r="A77" s="7">
        <f t="shared" ref="A77:A83" si="5">A76+1</f>
        <v>1</v>
      </c>
      <c r="B77" s="290" t="s">
        <v>66</v>
      </c>
    </row>
    <row r="78" spans="1:2">
      <c r="A78" s="7">
        <f t="shared" si="5"/>
        <v>2</v>
      </c>
      <c r="B78" s="290" t="s">
        <v>67</v>
      </c>
    </row>
    <row r="79" spans="1:2">
      <c r="A79" s="7">
        <f t="shared" si="5"/>
        <v>3</v>
      </c>
      <c r="B79" s="290" t="s">
        <v>68</v>
      </c>
    </row>
    <row r="80" spans="1:2">
      <c r="A80" s="7">
        <f t="shared" si="5"/>
        <v>4</v>
      </c>
      <c r="B80" s="290" t="s">
        <v>69</v>
      </c>
    </row>
    <row r="81" spans="1:2">
      <c r="A81" s="7">
        <f t="shared" si="5"/>
        <v>5</v>
      </c>
      <c r="B81" s="290" t="s">
        <v>70</v>
      </c>
    </row>
    <row r="82" spans="1:2">
      <c r="A82" s="7">
        <f t="shared" si="5"/>
        <v>6</v>
      </c>
      <c r="B82" s="290" t="s">
        <v>71</v>
      </c>
    </row>
    <row r="83" spans="1:2">
      <c r="A83" s="7">
        <f t="shared" si="5"/>
        <v>7</v>
      </c>
      <c r="B83" s="290" t="s">
        <v>72</v>
      </c>
    </row>
    <row r="86" spans="1:2">
      <c r="B86" s="1" t="s">
        <v>73</v>
      </c>
    </row>
    <row r="87" spans="1:2">
      <c r="A87" s="7">
        <f t="shared" ref="A87:A93" si="6">A86+1</f>
        <v>1</v>
      </c>
      <c r="B87" s="290" t="s">
        <v>74</v>
      </c>
    </row>
    <row r="88" spans="1:2">
      <c r="A88" s="7">
        <f t="shared" si="6"/>
        <v>2</v>
      </c>
      <c r="B88" s="290" t="s">
        <v>75</v>
      </c>
    </row>
    <row r="89" spans="1:2">
      <c r="A89" s="7">
        <f t="shared" si="6"/>
        <v>3</v>
      </c>
      <c r="B89" s="290" t="s">
        <v>76</v>
      </c>
    </row>
    <row r="90" spans="1:2">
      <c r="A90" s="7">
        <f t="shared" si="6"/>
        <v>4</v>
      </c>
      <c r="B90" s="290" t="s">
        <v>77</v>
      </c>
    </row>
    <row r="91" spans="1:2">
      <c r="A91" s="7">
        <f t="shared" si="6"/>
        <v>5</v>
      </c>
      <c r="B91" s="290" t="s">
        <v>78</v>
      </c>
    </row>
    <row r="92" spans="1:2">
      <c r="A92" s="7">
        <f t="shared" si="6"/>
        <v>6</v>
      </c>
      <c r="B92" s="290" t="s">
        <v>79</v>
      </c>
    </row>
    <row r="93" spans="1:2">
      <c r="A93" s="7">
        <f t="shared" si="6"/>
        <v>7</v>
      </c>
      <c r="B93" s="290" t="s">
        <v>80</v>
      </c>
    </row>
    <row r="94" spans="1:2">
      <c r="A94" s="7">
        <v>8</v>
      </c>
      <c r="B94" s="290" t="s">
        <v>81</v>
      </c>
    </row>
    <row r="95" spans="1:2">
      <c r="A95" s="7">
        <v>9</v>
      </c>
      <c r="B95" s="290" t="s">
        <v>82</v>
      </c>
    </row>
    <row r="96" spans="1:2">
      <c r="A96" s="7">
        <v>10</v>
      </c>
      <c r="B96" s="290" t="s">
        <v>83</v>
      </c>
    </row>
    <row r="99" spans="1:2">
      <c r="B99" s="1" t="s">
        <v>84</v>
      </c>
    </row>
    <row r="100" spans="1:2">
      <c r="A100" s="7">
        <f t="shared" ref="A100:A102" si="7">A99+1</f>
        <v>1</v>
      </c>
      <c r="B100" s="290" t="s">
        <v>85</v>
      </c>
    </row>
    <row r="101" spans="1:2">
      <c r="A101" s="7">
        <f t="shared" si="7"/>
        <v>2</v>
      </c>
      <c r="B101" s="290" t="s">
        <v>86</v>
      </c>
    </row>
    <row r="102" spans="1:2">
      <c r="A102" s="7">
        <f t="shared" si="7"/>
        <v>3</v>
      </c>
      <c r="B102" s="290" t="s">
        <v>87</v>
      </c>
    </row>
  </sheetData>
  <sheetProtection password="DFD3" sheet="1" objects="1" scenarios="1"/>
  <phoneticPr fontId="0" type="noConversion"/>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B70"/>
  <sheetViews>
    <sheetView workbookViewId="0">
      <selection activeCell="A7" sqref="A7"/>
    </sheetView>
  </sheetViews>
  <sheetFormatPr defaultColWidth="8.88671875" defaultRowHeight="13.2"/>
  <cols>
    <col min="1" max="1" width="206.6640625" customWidth="1"/>
    <col min="2" max="2" width="27" customWidth="1"/>
  </cols>
  <sheetData>
    <row r="1" spans="1:2">
      <c r="A1" s="296"/>
      <c r="B1" s="296"/>
    </row>
    <row r="2" spans="1:2" ht="22.8">
      <c r="A2" s="127" t="s">
        <v>88</v>
      </c>
      <c r="B2" s="296"/>
    </row>
    <row r="3" spans="1:2">
      <c r="A3" s="142"/>
      <c r="B3" s="296"/>
    </row>
    <row r="4" spans="1:2" ht="22.8">
      <c r="A4" s="127" t="s">
        <v>89</v>
      </c>
      <c r="B4" s="296"/>
    </row>
    <row r="5" spans="1:2" ht="22.8">
      <c r="A5" s="127"/>
      <c r="B5" s="296"/>
    </row>
    <row r="6" spans="1:2" ht="17.399999999999999">
      <c r="A6" s="305" t="s">
        <v>90</v>
      </c>
      <c r="B6" s="296"/>
    </row>
    <row r="7" spans="1:2" ht="22.8">
      <c r="A7" s="306"/>
      <c r="B7" s="296"/>
    </row>
    <row r="8" spans="1:2">
      <c r="A8" s="296"/>
      <c r="B8" s="296"/>
    </row>
    <row r="9" spans="1:2">
      <c r="A9" s="296"/>
      <c r="B9" s="296"/>
    </row>
    <row r="10" spans="1:2">
      <c r="A10" s="296"/>
      <c r="B10" s="296"/>
    </row>
    <row r="11" spans="1:2">
      <c r="A11" s="296"/>
      <c r="B11" s="296"/>
    </row>
    <row r="12" spans="1:2">
      <c r="A12" s="296"/>
      <c r="B12" s="296"/>
    </row>
    <row r="13" spans="1:2">
      <c r="A13" s="296"/>
      <c r="B13" s="296"/>
    </row>
    <row r="14" spans="1:2">
      <c r="A14" s="296"/>
      <c r="B14" s="296"/>
    </row>
    <row r="15" spans="1:2">
      <c r="A15" s="296"/>
      <c r="B15" s="296"/>
    </row>
    <row r="16" spans="1:2">
      <c r="A16" s="296"/>
      <c r="B16" s="296"/>
    </row>
    <row r="17" spans="1:2">
      <c r="A17" s="296"/>
      <c r="B17" s="296"/>
    </row>
    <row r="18" spans="1:2">
      <c r="A18" s="296"/>
      <c r="B18" s="296"/>
    </row>
    <row r="19" spans="1:2">
      <c r="A19" s="296"/>
      <c r="B19" s="296"/>
    </row>
    <row r="20" spans="1:2">
      <c r="A20" s="296"/>
      <c r="B20" s="296"/>
    </row>
    <row r="21" spans="1:2">
      <c r="A21" s="296"/>
      <c r="B21" s="296"/>
    </row>
    <row r="22" spans="1:2">
      <c r="A22" s="296"/>
      <c r="B22" s="296"/>
    </row>
    <row r="23" spans="1:2">
      <c r="A23" s="296"/>
      <c r="B23" s="296"/>
    </row>
    <row r="24" spans="1:2">
      <c r="A24" s="296"/>
      <c r="B24" s="296"/>
    </row>
    <row r="25" spans="1:2">
      <c r="A25" s="296"/>
      <c r="B25" s="296"/>
    </row>
    <row r="26" spans="1:2">
      <c r="A26" s="296"/>
      <c r="B26" s="296"/>
    </row>
    <row r="27" spans="1:2">
      <c r="A27" s="296"/>
      <c r="B27" s="296"/>
    </row>
    <row r="28" spans="1:2">
      <c r="A28" s="296"/>
      <c r="B28" s="296"/>
    </row>
    <row r="29" spans="1:2" ht="16.5" customHeight="1">
      <c r="A29" s="296"/>
      <c r="B29" s="296"/>
    </row>
    <row r="30" spans="1:2">
      <c r="A30" s="296"/>
      <c r="B30" s="296"/>
    </row>
    <row r="31" spans="1:2">
      <c r="A31" s="296"/>
      <c r="B31" s="296"/>
    </row>
    <row r="32" spans="1:2">
      <c r="A32" s="296"/>
      <c r="B32" s="296"/>
    </row>
    <row r="33" spans="1:2">
      <c r="A33" s="296"/>
      <c r="B33" s="296"/>
    </row>
    <row r="34" spans="1:2">
      <c r="A34" s="296"/>
      <c r="B34" s="296"/>
    </row>
    <row r="35" spans="1:2">
      <c r="A35" s="296"/>
      <c r="B35" s="296"/>
    </row>
    <row r="36" spans="1:2">
      <c r="A36" s="296"/>
      <c r="B36" s="296"/>
    </row>
    <row r="37" spans="1:2">
      <c r="A37" s="296"/>
      <c r="B37" s="296"/>
    </row>
    <row r="38" spans="1:2">
      <c r="A38" s="296"/>
      <c r="B38" s="296"/>
    </row>
    <row r="39" spans="1:2">
      <c r="A39" s="296"/>
      <c r="B39" s="296"/>
    </row>
    <row r="40" spans="1:2">
      <c r="A40" s="76"/>
      <c r="B40" s="296"/>
    </row>
    <row r="41" spans="1:2">
      <c r="A41" s="76"/>
      <c r="B41" s="296"/>
    </row>
    <row r="42" spans="1:2">
      <c r="A42" s="76"/>
      <c r="B42" s="296"/>
    </row>
    <row r="43" spans="1:2">
      <c r="A43" s="76"/>
      <c r="B43" s="296"/>
    </row>
    <row r="44" spans="1:2">
      <c r="A44" s="76"/>
      <c r="B44" s="296"/>
    </row>
    <row r="45" spans="1:2">
      <c r="A45" s="76"/>
      <c r="B45" s="296"/>
    </row>
    <row r="46" spans="1:2">
      <c r="A46" s="296"/>
      <c r="B46" s="296"/>
    </row>
    <row r="47" spans="1:2">
      <c r="A47" s="296"/>
      <c r="B47" s="296"/>
    </row>
    <row r="48" spans="1:2">
      <c r="A48" s="296"/>
      <c r="B48" s="296"/>
    </row>
    <row r="49" spans="1:2">
      <c r="A49" s="296"/>
      <c r="B49" s="296"/>
    </row>
    <row r="50" spans="1:2">
      <c r="A50" s="296"/>
      <c r="B50" s="296"/>
    </row>
    <row r="51" spans="1:2">
      <c r="A51" s="296"/>
      <c r="B51" s="296"/>
    </row>
    <row r="52" spans="1:2">
      <c r="A52" s="296"/>
      <c r="B52" s="296"/>
    </row>
    <row r="53" spans="1:2">
      <c r="A53" s="296"/>
      <c r="B53" s="296"/>
    </row>
    <row r="54" spans="1:2">
      <c r="A54" s="296"/>
      <c r="B54" s="296"/>
    </row>
    <row r="55" spans="1:2">
      <c r="A55" s="296"/>
      <c r="B55" s="296"/>
    </row>
    <row r="56" spans="1:2">
      <c r="A56" s="296"/>
      <c r="B56" s="296"/>
    </row>
    <row r="57" spans="1:2">
      <c r="A57" s="296"/>
      <c r="B57" s="296"/>
    </row>
    <row r="58" spans="1:2">
      <c r="A58" s="296"/>
      <c r="B58" s="296"/>
    </row>
    <row r="59" spans="1:2">
      <c r="A59" s="296"/>
      <c r="B59" s="296"/>
    </row>
    <row r="60" spans="1:2">
      <c r="A60" s="296"/>
      <c r="B60" s="296"/>
    </row>
    <row r="61" spans="1:2">
      <c r="A61" s="296"/>
      <c r="B61" s="296"/>
    </row>
    <row r="62" spans="1:2">
      <c r="A62" s="296"/>
      <c r="B62" s="296"/>
    </row>
    <row r="63" spans="1:2">
      <c r="A63" s="296"/>
      <c r="B63" s="296"/>
    </row>
    <row r="64" spans="1:2">
      <c r="A64" s="296"/>
      <c r="B64" s="296"/>
    </row>
    <row r="65" spans="1:2">
      <c r="A65" s="296"/>
      <c r="B65" s="296"/>
    </row>
    <row r="66" spans="1:2">
      <c r="A66" s="296"/>
      <c r="B66" s="296"/>
    </row>
    <row r="67" spans="1:2">
      <c r="A67" s="296"/>
      <c r="B67" s="296"/>
    </row>
    <row r="68" spans="1:2">
      <c r="A68" s="296"/>
      <c r="B68" s="296"/>
    </row>
    <row r="69" spans="1:2">
      <c r="A69" s="296"/>
      <c r="B69" s="296"/>
    </row>
    <row r="70" spans="1:2">
      <c r="A70" s="296"/>
      <c r="B70" s="296"/>
    </row>
  </sheetData>
  <sheetProtection algorithmName="SHA-512" hashValue="2y9nQZU1iG0sIErfnLUUspRHS+G0HjiIFmJjzWEfHzAeQX5tC3BKtWoEyrZ2FkgDwp9sLK3giMYrASGg4kSo/Q==" saltValue="SKTT2cRqYkNqUMjoLUtXkg==" spinCount="100000" sheet="1" objects="1" scenarios="1"/>
  <phoneticPr fontId="0" type="noConversion"/>
  <pageMargins left="0.75" right="0.75" top="1" bottom="1" header="0.5" footer="0.5"/>
  <pageSetup orientation="portrait" horizontalDpi="4294967293"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B119"/>
  <sheetViews>
    <sheetView workbookViewId="0">
      <selection activeCell="G3" sqref="G3"/>
    </sheetView>
  </sheetViews>
  <sheetFormatPr defaultColWidth="8.88671875" defaultRowHeight="13.2"/>
  <cols>
    <col min="1" max="1" width="206.88671875" customWidth="1"/>
  </cols>
  <sheetData>
    <row r="1" spans="1:2">
      <c r="A1" s="49"/>
      <c r="B1" s="296"/>
    </row>
    <row r="2" spans="1:2" ht="22.8">
      <c r="A2" s="127" t="s">
        <v>88</v>
      </c>
      <c r="B2" s="296"/>
    </row>
    <row r="3" spans="1:2">
      <c r="A3" s="49"/>
      <c r="B3" s="296"/>
    </row>
    <row r="4" spans="1:2" ht="22.8">
      <c r="A4" s="127" t="s">
        <v>89</v>
      </c>
      <c r="B4" s="296"/>
    </row>
    <row r="5" spans="1:2" ht="22.8">
      <c r="A5" s="127"/>
      <c r="B5" s="296"/>
    </row>
    <row r="6" spans="1:2" ht="21">
      <c r="A6" s="128" t="s">
        <v>91</v>
      </c>
      <c r="B6" s="296"/>
    </row>
    <row r="7" spans="1:2">
      <c r="A7" s="49"/>
      <c r="B7" s="296"/>
    </row>
    <row r="8" spans="1:2">
      <c r="A8" s="296"/>
      <c r="B8" s="296"/>
    </row>
    <row r="9" spans="1:2">
      <c r="A9" s="296"/>
      <c r="B9" s="296"/>
    </row>
    <row r="10" spans="1:2">
      <c r="A10" s="296"/>
      <c r="B10" s="296"/>
    </row>
    <row r="11" spans="1:2">
      <c r="A11" s="296"/>
      <c r="B11" s="296"/>
    </row>
    <row r="12" spans="1:2">
      <c r="A12" s="296"/>
      <c r="B12" s="296"/>
    </row>
    <row r="13" spans="1:2">
      <c r="A13" s="296"/>
      <c r="B13" s="296"/>
    </row>
    <row r="14" spans="1:2">
      <c r="A14" s="296"/>
      <c r="B14" s="296"/>
    </row>
    <row r="15" spans="1:2">
      <c r="A15" s="296"/>
      <c r="B15" s="296"/>
    </row>
    <row r="16" spans="1:2">
      <c r="A16" s="296"/>
      <c r="B16" s="296"/>
    </row>
    <row r="17" spans="1:2">
      <c r="A17" s="296"/>
      <c r="B17" s="296"/>
    </row>
    <row r="18" spans="1:2">
      <c r="A18" s="296"/>
      <c r="B18" s="296"/>
    </row>
    <row r="19" spans="1:2">
      <c r="A19" s="296"/>
      <c r="B19" s="296"/>
    </row>
    <row r="20" spans="1:2">
      <c r="A20" s="296"/>
      <c r="B20" s="296"/>
    </row>
    <row r="21" spans="1:2">
      <c r="A21" s="296"/>
      <c r="B21" s="296"/>
    </row>
    <row r="22" spans="1:2">
      <c r="A22" s="296"/>
      <c r="B22" s="296"/>
    </row>
    <row r="23" spans="1:2">
      <c r="A23" s="296"/>
      <c r="B23" s="296"/>
    </row>
    <row r="24" spans="1:2">
      <c r="A24" s="296"/>
      <c r="B24" s="296"/>
    </row>
    <row r="25" spans="1:2">
      <c r="A25" s="296"/>
      <c r="B25" s="296"/>
    </row>
    <row r="26" spans="1:2">
      <c r="A26" s="296"/>
      <c r="B26" s="296"/>
    </row>
    <row r="27" spans="1:2">
      <c r="A27" s="296"/>
      <c r="B27" s="296"/>
    </row>
    <row r="28" spans="1:2">
      <c r="A28" s="296"/>
      <c r="B28" s="296"/>
    </row>
    <row r="29" spans="1:2">
      <c r="A29" s="296"/>
      <c r="B29" s="296"/>
    </row>
    <row r="30" spans="1:2">
      <c r="A30" s="296"/>
      <c r="B30" s="296"/>
    </row>
    <row r="31" spans="1:2">
      <c r="A31" s="296"/>
      <c r="B31" s="296"/>
    </row>
    <row r="32" spans="1:2">
      <c r="A32" s="296"/>
      <c r="B32" s="296"/>
    </row>
    <row r="33" spans="1:2">
      <c r="A33" s="296"/>
      <c r="B33" s="296"/>
    </row>
    <row r="34" spans="1:2">
      <c r="A34" s="296"/>
      <c r="B34" s="296"/>
    </row>
    <row r="35" spans="1:2">
      <c r="A35" s="296"/>
      <c r="B35" s="296"/>
    </row>
    <row r="36" spans="1:2">
      <c r="A36" s="296"/>
      <c r="B36" s="296"/>
    </row>
    <row r="37" spans="1:2">
      <c r="A37" s="296"/>
      <c r="B37" s="296"/>
    </row>
    <row r="38" spans="1:2">
      <c r="A38" s="296"/>
      <c r="B38" s="296"/>
    </row>
    <row r="39" spans="1:2">
      <c r="A39" s="296"/>
      <c r="B39" s="296"/>
    </row>
    <row r="40" spans="1:2">
      <c r="A40" s="296"/>
      <c r="B40" s="296"/>
    </row>
    <row r="41" spans="1:2">
      <c r="A41" s="296"/>
      <c r="B41" s="296"/>
    </row>
    <row r="42" spans="1:2">
      <c r="A42" s="296"/>
      <c r="B42" s="296"/>
    </row>
    <row r="43" spans="1:2">
      <c r="A43" s="296"/>
      <c r="B43" s="296"/>
    </row>
    <row r="44" spans="1:2">
      <c r="A44" s="296"/>
      <c r="B44" s="296"/>
    </row>
    <row r="45" spans="1:2">
      <c r="A45" s="296"/>
      <c r="B45" s="296"/>
    </row>
    <row r="46" spans="1:2">
      <c r="A46" s="296"/>
      <c r="B46" s="296"/>
    </row>
    <row r="47" spans="1:2">
      <c r="A47" s="296"/>
      <c r="B47" s="296"/>
    </row>
    <row r="48" spans="1:2">
      <c r="A48" s="296"/>
      <c r="B48" s="296"/>
    </row>
    <row r="49" spans="1:2">
      <c r="A49" s="296"/>
      <c r="B49" s="296"/>
    </row>
    <row r="50" spans="1:2">
      <c r="A50" s="296"/>
      <c r="B50" s="296"/>
    </row>
    <row r="51" spans="1:2">
      <c r="A51" s="296"/>
      <c r="B51" s="296"/>
    </row>
    <row r="52" spans="1:2">
      <c r="A52" s="296"/>
      <c r="B52" s="296"/>
    </row>
    <row r="53" spans="1:2">
      <c r="A53" s="296"/>
      <c r="B53" s="296"/>
    </row>
    <row r="54" spans="1:2">
      <c r="A54" s="296"/>
      <c r="B54" s="296"/>
    </row>
    <row r="55" spans="1:2" ht="12.75" customHeight="1">
      <c r="A55" s="296"/>
      <c r="B55" s="296"/>
    </row>
    <row r="56" spans="1:2" ht="12.75" customHeight="1">
      <c r="A56" s="296"/>
      <c r="B56" s="296"/>
    </row>
    <row r="57" spans="1:2" ht="12.75" customHeight="1">
      <c r="A57" s="296"/>
      <c r="B57" s="296"/>
    </row>
    <row r="58" spans="1:2">
      <c r="A58" s="296"/>
      <c r="B58" s="296"/>
    </row>
    <row r="59" spans="1:2">
      <c r="A59" s="296"/>
      <c r="B59" s="296"/>
    </row>
    <row r="60" spans="1:2">
      <c r="A60" s="296"/>
      <c r="B60" s="296"/>
    </row>
    <row r="61" spans="1:2">
      <c r="A61" s="296"/>
      <c r="B61" s="296"/>
    </row>
    <row r="62" spans="1:2">
      <c r="A62" s="296"/>
      <c r="B62" s="296"/>
    </row>
    <row r="63" spans="1:2">
      <c r="A63" s="296"/>
      <c r="B63" s="296"/>
    </row>
    <row r="64" spans="1:2">
      <c r="A64" s="296"/>
      <c r="B64" s="296"/>
    </row>
    <row r="65" spans="1:2">
      <c r="A65" s="296"/>
      <c r="B65" s="296"/>
    </row>
    <row r="66" spans="1:2">
      <c r="A66" s="296"/>
      <c r="B66" s="296"/>
    </row>
    <row r="67" spans="1:2" ht="14.25" customHeight="1">
      <c r="A67" s="296"/>
      <c r="B67" s="296"/>
    </row>
    <row r="68" spans="1:2">
      <c r="A68" s="296"/>
      <c r="B68" s="296"/>
    </row>
    <row r="69" spans="1:2">
      <c r="A69" s="296"/>
      <c r="B69" s="296"/>
    </row>
    <row r="70" spans="1:2">
      <c r="A70" s="296"/>
      <c r="B70" s="296"/>
    </row>
    <row r="71" spans="1:2" ht="13.5" customHeight="1">
      <c r="A71" s="296"/>
      <c r="B71" s="296"/>
    </row>
    <row r="72" spans="1:2" ht="13.5" customHeight="1">
      <c r="A72" s="296"/>
      <c r="B72" s="296"/>
    </row>
    <row r="73" spans="1:2" ht="13.5" customHeight="1">
      <c r="A73" s="296"/>
      <c r="B73" s="296"/>
    </row>
    <row r="74" spans="1:2" ht="13.5" customHeight="1">
      <c r="A74" s="296"/>
      <c r="B74" s="296"/>
    </row>
    <row r="75" spans="1:2" ht="13.5" customHeight="1">
      <c r="A75" s="296"/>
      <c r="B75" s="296"/>
    </row>
    <row r="76" spans="1:2" ht="13.5" customHeight="1">
      <c r="A76" s="296"/>
      <c r="B76" s="296"/>
    </row>
    <row r="77" spans="1:2">
      <c r="A77" s="296"/>
      <c r="B77" s="296"/>
    </row>
    <row r="78" spans="1:2">
      <c r="A78" s="296"/>
      <c r="B78" s="296"/>
    </row>
    <row r="79" spans="1:2">
      <c r="A79" s="296"/>
      <c r="B79" s="296"/>
    </row>
    <row r="80" spans="1:2" ht="13.5" customHeight="1">
      <c r="A80" s="296"/>
      <c r="B80" s="296"/>
    </row>
    <row r="81" spans="1:2" ht="13.5" customHeight="1">
      <c r="A81" s="296"/>
      <c r="B81" s="296"/>
    </row>
    <row r="82" spans="1:2" ht="13.5" customHeight="1">
      <c r="A82" s="296"/>
      <c r="B82" s="296"/>
    </row>
    <row r="83" spans="1:2" ht="13.5" customHeight="1">
      <c r="A83" s="296"/>
      <c r="B83" s="296"/>
    </row>
    <row r="84" spans="1:2" ht="13.5" customHeight="1">
      <c r="A84" s="296"/>
      <c r="B84" s="296"/>
    </row>
    <row r="85" spans="1:2">
      <c r="A85" s="296"/>
      <c r="B85" s="296"/>
    </row>
    <row r="86" spans="1:2">
      <c r="A86" s="296"/>
      <c r="B86" s="296"/>
    </row>
    <row r="87" spans="1:2">
      <c r="A87" s="296"/>
      <c r="B87" s="296"/>
    </row>
    <row r="88" spans="1:2">
      <c r="A88" s="296"/>
      <c r="B88" s="296"/>
    </row>
    <row r="89" spans="1:2">
      <c r="A89" s="296"/>
      <c r="B89" s="296"/>
    </row>
    <row r="90" spans="1:2">
      <c r="A90" s="296"/>
      <c r="B90" s="296"/>
    </row>
    <row r="91" spans="1:2">
      <c r="A91" s="296"/>
      <c r="B91" s="296"/>
    </row>
    <row r="92" spans="1:2">
      <c r="A92" s="296"/>
      <c r="B92" s="296"/>
    </row>
    <row r="93" spans="1:2">
      <c r="A93" s="296"/>
      <c r="B93" s="296"/>
    </row>
    <row r="94" spans="1:2">
      <c r="A94" s="296"/>
      <c r="B94" s="296"/>
    </row>
    <row r="95" spans="1:2">
      <c r="A95" s="296"/>
      <c r="B95" s="296"/>
    </row>
    <row r="96" spans="1:2">
      <c r="A96" s="296"/>
      <c r="B96" s="296"/>
    </row>
    <row r="97" spans="1:2">
      <c r="A97" s="296"/>
      <c r="B97" s="296"/>
    </row>
    <row r="98" spans="1:2">
      <c r="A98" s="296"/>
      <c r="B98" s="296"/>
    </row>
    <row r="99" spans="1:2">
      <c r="A99" s="296"/>
      <c r="B99" s="296"/>
    </row>
    <row r="100" spans="1:2">
      <c r="A100" s="296"/>
      <c r="B100" s="296"/>
    </row>
    <row r="101" spans="1:2">
      <c r="A101" s="296"/>
      <c r="B101" s="296"/>
    </row>
    <row r="102" spans="1:2">
      <c r="A102" s="296"/>
      <c r="B102" s="296"/>
    </row>
    <row r="103" spans="1:2">
      <c r="A103" s="296"/>
      <c r="B103" s="296"/>
    </row>
    <row r="104" spans="1:2">
      <c r="A104" s="296"/>
      <c r="B104" s="296"/>
    </row>
    <row r="105" spans="1:2">
      <c r="A105" s="296"/>
      <c r="B105" s="296"/>
    </row>
    <row r="106" spans="1:2">
      <c r="A106" s="296"/>
      <c r="B106" s="296"/>
    </row>
    <row r="107" spans="1:2">
      <c r="A107" s="296"/>
      <c r="B107" s="296"/>
    </row>
    <row r="108" spans="1:2">
      <c r="A108" s="296"/>
      <c r="B108" s="296"/>
    </row>
    <row r="109" spans="1:2">
      <c r="A109" s="296"/>
      <c r="B109" s="296"/>
    </row>
    <row r="110" spans="1:2">
      <c r="A110" s="296"/>
      <c r="B110" s="296"/>
    </row>
    <row r="111" spans="1:2">
      <c r="A111" s="296"/>
      <c r="B111" s="296"/>
    </row>
    <row r="112" spans="1:2">
      <c r="A112" s="296"/>
      <c r="B112" s="296"/>
    </row>
    <row r="113" spans="1:2">
      <c r="A113" s="296"/>
      <c r="B113" s="296"/>
    </row>
    <row r="114" spans="1:2">
      <c r="A114" s="296"/>
      <c r="B114" s="296"/>
    </row>
    <row r="115" spans="1:2">
      <c r="A115" s="296"/>
      <c r="B115" s="296"/>
    </row>
    <row r="116" spans="1:2">
      <c r="A116" s="296"/>
      <c r="B116" s="296"/>
    </row>
    <row r="117" spans="1:2">
      <c r="A117" s="296"/>
      <c r="B117" s="296"/>
    </row>
    <row r="118" spans="1:2">
      <c r="A118" s="296"/>
      <c r="B118" s="296"/>
    </row>
    <row r="119" spans="1:2">
      <c r="A119" s="296"/>
      <c r="B119" s="296"/>
    </row>
  </sheetData>
  <sheetProtection password="DFD3" sheet="1" objects="1" scenarios="1"/>
  <phoneticPr fontId="0" type="noConversion"/>
  <pageMargins left="0.75" right="0.75" top="1" bottom="1" header="0.5" footer="0.5"/>
  <pageSetup orientation="portrait" horizontalDpi="4294967293" verticalDpi="30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K44"/>
  <sheetViews>
    <sheetView workbookViewId="0">
      <selection activeCell="F2" sqref="F2"/>
    </sheetView>
  </sheetViews>
  <sheetFormatPr defaultColWidth="8.88671875" defaultRowHeight="13.2"/>
  <cols>
    <col min="1" max="1" width="207.33203125" customWidth="1"/>
    <col min="2" max="2" width="140.6640625" customWidth="1"/>
    <col min="3" max="4" width="9.109375"/>
    <col min="5" max="5" width="7.44140625" customWidth="1"/>
  </cols>
  <sheetData>
    <row r="1" spans="1:11" ht="15.75" customHeight="1">
      <c r="A1" s="307"/>
      <c r="B1" s="307"/>
      <c r="K1" s="310"/>
    </row>
    <row r="2" spans="1:11" ht="60.6">
      <c r="A2" s="308" t="s">
        <v>88</v>
      </c>
      <c r="B2" s="308"/>
      <c r="F2" s="311"/>
      <c r="I2" s="290"/>
    </row>
    <row r="3" spans="1:11" ht="24.6">
      <c r="A3" s="309" t="s">
        <v>92</v>
      </c>
      <c r="B3" s="309"/>
      <c r="G3" s="312"/>
      <c r="H3" s="312"/>
    </row>
    <row r="4" spans="1:11">
      <c r="A4" s="296"/>
      <c r="B4" s="296"/>
    </row>
    <row r="5" spans="1:11">
      <c r="A5" s="296"/>
      <c r="B5" s="296"/>
    </row>
    <row r="6" spans="1:11">
      <c r="A6" s="296"/>
      <c r="B6" s="296"/>
    </row>
    <row r="7" spans="1:11">
      <c r="A7" s="296"/>
      <c r="B7" s="296"/>
    </row>
    <row r="8" spans="1:11">
      <c r="A8" s="296"/>
      <c r="B8" s="296"/>
    </row>
    <row r="9" spans="1:11">
      <c r="A9" s="296"/>
      <c r="B9" s="296"/>
    </row>
    <row r="10" spans="1:11">
      <c r="A10" s="296"/>
      <c r="B10" s="296"/>
    </row>
    <row r="11" spans="1:11">
      <c r="A11" s="296"/>
      <c r="B11" s="296"/>
    </row>
    <row r="12" spans="1:11">
      <c r="A12" s="296"/>
      <c r="B12" s="296"/>
    </row>
    <row r="13" spans="1:11">
      <c r="A13" s="296"/>
      <c r="B13" s="296"/>
    </row>
    <row r="14" spans="1:11">
      <c r="A14" s="296"/>
      <c r="B14" s="296"/>
    </row>
    <row r="15" spans="1:11">
      <c r="A15" s="296"/>
      <c r="B15" s="296"/>
    </row>
    <row r="16" spans="1:11">
      <c r="A16" s="296"/>
      <c r="B16" s="296"/>
    </row>
    <row r="17" spans="1:2">
      <c r="A17" s="296"/>
      <c r="B17" s="296"/>
    </row>
    <row r="18" spans="1:2">
      <c r="A18" s="296"/>
      <c r="B18" s="296"/>
    </row>
    <row r="19" spans="1:2">
      <c r="A19" s="296"/>
      <c r="B19" s="296"/>
    </row>
    <row r="20" spans="1:2">
      <c r="A20" s="296"/>
      <c r="B20" s="296"/>
    </row>
    <row r="21" spans="1:2">
      <c r="A21" s="296"/>
      <c r="B21" s="296"/>
    </row>
    <row r="22" spans="1:2">
      <c r="A22" s="296"/>
      <c r="B22" s="296"/>
    </row>
    <row r="23" spans="1:2">
      <c r="A23" s="296"/>
      <c r="B23" s="296"/>
    </row>
    <row r="24" spans="1:2">
      <c r="A24" s="296"/>
      <c r="B24" s="296"/>
    </row>
    <row r="25" spans="1:2">
      <c r="A25" s="296"/>
      <c r="B25" s="296"/>
    </row>
    <row r="26" spans="1:2">
      <c r="A26" s="296"/>
      <c r="B26" s="296"/>
    </row>
    <row r="27" spans="1:2">
      <c r="A27" s="296"/>
      <c r="B27" s="296"/>
    </row>
    <row r="28" spans="1:2">
      <c r="A28" s="296"/>
      <c r="B28" s="296"/>
    </row>
    <row r="29" spans="1:2">
      <c r="A29" s="296"/>
      <c r="B29" s="296"/>
    </row>
    <row r="30" spans="1:2">
      <c r="A30" s="296"/>
      <c r="B30" s="296"/>
    </row>
    <row r="31" spans="1:2">
      <c r="A31" s="296"/>
      <c r="B31" s="296"/>
    </row>
    <row r="32" spans="1:2">
      <c r="A32" s="296"/>
      <c r="B32" s="296"/>
    </row>
    <row r="33" spans="1:2">
      <c r="A33" s="296"/>
      <c r="B33" s="296"/>
    </row>
    <row r="34" spans="1:2">
      <c r="A34" s="296"/>
      <c r="B34" s="296"/>
    </row>
    <row r="35" spans="1:2">
      <c r="A35" s="296"/>
      <c r="B35" s="296"/>
    </row>
    <row r="36" spans="1:2">
      <c r="A36" s="296"/>
      <c r="B36" s="296"/>
    </row>
    <row r="37" spans="1:2">
      <c r="A37" s="296"/>
      <c r="B37" s="296"/>
    </row>
    <row r="38" spans="1:2">
      <c r="A38" s="296"/>
      <c r="B38" s="296"/>
    </row>
    <row r="39" spans="1:2">
      <c r="A39" s="296"/>
      <c r="B39" s="296"/>
    </row>
    <row r="40" spans="1:2">
      <c r="A40" s="296"/>
      <c r="B40" s="296"/>
    </row>
    <row r="41" spans="1:2">
      <c r="A41" s="296"/>
      <c r="B41" s="296"/>
    </row>
    <row r="42" spans="1:2">
      <c r="A42" s="296"/>
      <c r="B42" s="296"/>
    </row>
    <row r="43" spans="1:2">
      <c r="A43" s="296"/>
      <c r="B43" s="296"/>
    </row>
    <row r="44" spans="1:2">
      <c r="A44" s="296"/>
      <c r="B44" s="296"/>
    </row>
  </sheetData>
  <sheetProtection password="DFD3" sheet="1" objects="1" scenarios="1"/>
  <customSheetViews>
    <customSheetView guid="{55B80D82-F000-11D6-8735-C8E5A357943D}" showRuler="0">
      <selection activeCell="F24" sqref="F24"/>
      <pageMargins left="0" right="0" top="0" bottom="0" header="0" footer="0"/>
      <pageSetup orientation="portrait" horizontalDpi="0" verticalDpi="0" copies="0" r:id="rId1"/>
      <headerFooter alignWithMargins="0"/>
    </customSheetView>
  </customSheetViews>
  <phoneticPr fontId="0" type="noConversion"/>
  <pageMargins left="0.75" right="0.75" top="1" bottom="1" header="0.5" footer="0.5"/>
  <pageSetup orientation="portrait" horizontalDpi="4294967293"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8" r:id="rId5" name="Button 4">
              <controlPr defaultSize="0" print="0" autoFill="0" autoPict="0" macro="[0]!Start">
                <anchor moveWithCells="1" sizeWithCells="1">
                  <from>
                    <xdr:col>0</xdr:col>
                    <xdr:colOff>5974080</xdr:colOff>
                    <xdr:row>19</xdr:row>
                    <xdr:rowOff>114300</xdr:rowOff>
                  </from>
                  <to>
                    <xdr:col>0</xdr:col>
                    <xdr:colOff>7620000</xdr:colOff>
                    <xdr:row>22</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AC817"/>
  <sheetViews>
    <sheetView tabSelected="1" workbookViewId="0">
      <selection activeCell="A13" sqref="A13"/>
    </sheetView>
  </sheetViews>
  <sheetFormatPr defaultColWidth="8.88671875" defaultRowHeight="13.2"/>
  <cols>
    <col min="1" max="1" width="52.33203125" customWidth="1"/>
    <col min="2" max="2" width="27.44140625" customWidth="1"/>
    <col min="3" max="3" width="9.6640625" customWidth="1"/>
    <col min="4" max="4" width="10.88671875" customWidth="1"/>
    <col min="5" max="5" width="16" customWidth="1"/>
    <col min="6" max="6" width="10.109375" customWidth="1"/>
    <col min="7" max="7" width="12.44140625" customWidth="1"/>
    <col min="8" max="8" width="12.109375" bestFit="1" customWidth="1"/>
    <col min="9" max="9" width="12.109375" customWidth="1"/>
    <col min="10" max="12" width="9.109375"/>
    <col min="13" max="13" width="10.109375" bestFit="1" customWidth="1"/>
    <col min="14" max="14" width="9.109375"/>
    <col min="15" max="15" width="24" customWidth="1"/>
    <col min="16" max="16" width="16.109375" customWidth="1"/>
    <col min="24" max="24" width="39.6640625" customWidth="1"/>
    <col min="25" max="25" width="18.44140625" customWidth="1"/>
    <col min="27" max="27" width="14" customWidth="1"/>
    <col min="28" max="28" width="11.109375" customWidth="1"/>
    <col min="29" max="29" width="10.44140625" customWidth="1"/>
  </cols>
  <sheetData>
    <row r="1" spans="1:23" ht="17.399999999999999">
      <c r="A1" s="89" t="s">
        <v>93</v>
      </c>
      <c r="B1" s="76"/>
      <c r="C1" s="76"/>
      <c r="D1" s="76"/>
      <c r="E1" s="76"/>
      <c r="F1" s="76"/>
      <c r="G1" s="76"/>
      <c r="H1" s="76"/>
      <c r="I1" s="76"/>
      <c r="J1" s="76"/>
      <c r="K1" s="76"/>
      <c r="L1" s="76"/>
      <c r="M1" s="76"/>
      <c r="N1" s="76"/>
    </row>
    <row r="2" spans="1:23" ht="21.75" customHeight="1">
      <c r="A2" s="167" t="s">
        <v>94</v>
      </c>
      <c r="B2" s="76"/>
      <c r="C2" s="76"/>
      <c r="D2" s="76"/>
      <c r="E2" s="76"/>
      <c r="F2" s="76"/>
      <c r="G2" s="76"/>
      <c r="H2" s="76"/>
      <c r="I2" s="76"/>
      <c r="J2" s="76"/>
      <c r="K2" s="76"/>
      <c r="L2" s="76"/>
      <c r="M2" s="76"/>
      <c r="N2" s="76"/>
    </row>
    <row r="3" spans="1:23" ht="13.5" customHeight="1">
      <c r="A3" s="167"/>
      <c r="B3" s="76"/>
      <c r="C3" s="76"/>
      <c r="D3" s="76"/>
      <c r="E3" s="76"/>
      <c r="F3" s="76"/>
      <c r="G3" s="76"/>
      <c r="H3" s="76"/>
      <c r="I3" s="76"/>
      <c r="J3" s="76"/>
      <c r="K3" s="76"/>
      <c r="L3" s="76"/>
      <c r="M3" s="76"/>
      <c r="N3" s="76"/>
    </row>
    <row r="4" spans="1:23" ht="21" customHeight="1">
      <c r="A4" s="415" t="s">
        <v>95</v>
      </c>
      <c r="B4" s="413"/>
      <c r="C4" s="413"/>
      <c r="D4" s="413"/>
      <c r="E4" s="413"/>
      <c r="F4" s="413"/>
      <c r="G4" s="413"/>
      <c r="H4" s="93"/>
      <c r="I4" s="76"/>
      <c r="J4" s="76"/>
      <c r="K4" s="76"/>
      <c r="L4" s="76"/>
      <c r="M4" s="76"/>
      <c r="N4" s="76"/>
    </row>
    <row r="5" spans="1:23" ht="32.25" customHeight="1">
      <c r="A5" s="415" t="s">
        <v>96</v>
      </c>
      <c r="B5" s="413"/>
      <c r="C5" s="413"/>
      <c r="D5" s="413"/>
      <c r="E5" s="413"/>
      <c r="F5" s="413"/>
      <c r="G5" s="413"/>
      <c r="H5" s="93"/>
      <c r="I5" s="76"/>
      <c r="J5" s="76"/>
      <c r="K5" s="76"/>
      <c r="L5" s="76"/>
      <c r="M5" s="76"/>
      <c r="N5" s="76"/>
    </row>
    <row r="6" spans="1:23" ht="44.25" customHeight="1">
      <c r="A6" s="416" t="s">
        <v>97</v>
      </c>
      <c r="B6" s="417"/>
      <c r="C6" s="417"/>
      <c r="D6" s="417"/>
      <c r="E6" s="417"/>
      <c r="F6" s="417"/>
      <c r="G6" s="417"/>
      <c r="H6" s="93"/>
      <c r="I6" s="76"/>
      <c r="J6" s="76"/>
      <c r="K6" s="76"/>
      <c r="L6" s="76"/>
      <c r="M6" s="76"/>
      <c r="N6" s="76"/>
    </row>
    <row r="7" spans="1:23" ht="17.25" customHeight="1">
      <c r="A7" s="354" t="s">
        <v>98</v>
      </c>
      <c r="B7" s="93"/>
      <c r="C7" s="93"/>
      <c r="D7" s="93"/>
      <c r="E7" s="93"/>
      <c r="F7" s="93"/>
      <c r="G7" s="93"/>
      <c r="H7" s="93"/>
      <c r="I7" s="76"/>
      <c r="J7" s="76"/>
      <c r="K7" s="76"/>
      <c r="L7" s="76"/>
      <c r="M7" s="76"/>
      <c r="N7" s="76"/>
    </row>
    <row r="8" spans="1:23">
      <c r="A8" s="418" t="s">
        <v>99</v>
      </c>
      <c r="B8" s="419"/>
      <c r="C8" s="419"/>
      <c r="D8" s="419"/>
      <c r="E8" s="419"/>
      <c r="F8" s="419"/>
      <c r="G8" s="419"/>
      <c r="H8" s="93"/>
      <c r="I8" s="76"/>
      <c r="J8" s="76"/>
      <c r="K8" s="76"/>
      <c r="L8" s="76"/>
      <c r="M8" s="76"/>
      <c r="N8" s="76"/>
    </row>
    <row r="9" spans="1:23">
      <c r="A9" s="419"/>
      <c r="B9" s="419"/>
      <c r="C9" s="419"/>
      <c r="D9" s="419"/>
      <c r="E9" s="419"/>
      <c r="F9" s="419"/>
      <c r="G9" s="419"/>
      <c r="H9" s="93"/>
      <c r="I9" s="76"/>
      <c r="J9" s="76"/>
      <c r="K9" s="76"/>
      <c r="L9" s="76"/>
      <c r="M9" s="76"/>
      <c r="N9" s="76"/>
    </row>
    <row r="10" spans="1:23">
      <c r="A10" s="54"/>
      <c r="B10" s="49"/>
      <c r="C10" s="49"/>
      <c r="D10" s="49"/>
      <c r="E10" s="49"/>
      <c r="F10" s="49"/>
      <c r="G10" s="76"/>
      <c r="H10" s="76"/>
      <c r="I10" s="76"/>
      <c r="J10" s="76"/>
      <c r="K10" s="76"/>
      <c r="L10" s="76"/>
      <c r="M10" s="76"/>
      <c r="N10" s="76"/>
    </row>
    <row r="11" spans="1:23" ht="15.6">
      <c r="A11" s="55" t="s">
        <v>100</v>
      </c>
      <c r="B11" s="49"/>
      <c r="C11" s="173"/>
      <c r="D11" s="173"/>
      <c r="E11" s="49"/>
      <c r="F11" s="49"/>
      <c r="G11" s="76"/>
      <c r="H11" s="76"/>
      <c r="I11" s="76"/>
      <c r="J11" s="76"/>
      <c r="K11" s="76"/>
      <c r="L11" s="76"/>
      <c r="M11" s="76"/>
      <c r="N11" s="76"/>
      <c r="T11" s="156">
        <f>IF(B12="MYCOUNTY",IF(B13="",2,1),IF(B12="MYREGION",IF(B13="",2,1),0))</f>
        <v>0</v>
      </c>
      <c r="V11" s="290"/>
      <c r="W11" s="290"/>
    </row>
    <row r="12" spans="1:23" ht="15" customHeight="1">
      <c r="A12" s="54" t="s">
        <v>101</v>
      </c>
      <c r="B12" s="295" t="s">
        <v>249</v>
      </c>
      <c r="C12" s="49"/>
      <c r="D12" s="124" t="str">
        <f>IF(B12="MYREGION",IF('User Add-in Location'!F33=0,"Error - No Regional multiplier data in User Add-in Location",""),IF(B12="MYCOUNTY",IF('User Add-in Location'!E33=0,"Error - No County multiplier data in User Add-in Location",""),""))</f>
        <v/>
      </c>
      <c r="E12" s="49"/>
      <c r="F12" s="49"/>
      <c r="G12" s="172"/>
      <c r="H12" s="76"/>
      <c r="I12" s="76"/>
      <c r="J12" s="76"/>
      <c r="K12" s="76"/>
      <c r="L12" s="76"/>
      <c r="M12" s="76"/>
      <c r="N12" s="76"/>
    </row>
    <row r="13" spans="1:23" ht="16.5" customHeight="1">
      <c r="A13" s="145" t="s">
        <v>103</v>
      </c>
      <c r="B13" s="44"/>
      <c r="C13" s="296"/>
      <c r="D13" s="158" t="str">
        <f>IF(B12="MYREGION",IF('User Add-in Location'!F33=0,"",IF(B12="MYREGION","Enter Region Population","")),IF(B12="MYCOUNTY",IF('User Add-in Location'!E33=0,"",IF(B12="MYCOUNTY","Enter County Population","")),""))</f>
        <v/>
      </c>
      <c r="E13" s="49"/>
      <c r="F13" s="49"/>
      <c r="G13" s="172"/>
      <c r="H13" s="76"/>
      <c r="I13" s="76"/>
      <c r="J13" s="76"/>
      <c r="K13" s="76"/>
      <c r="L13" s="76"/>
      <c r="M13" s="76"/>
      <c r="N13" s="76"/>
    </row>
    <row r="14" spans="1:23" ht="18" customHeight="1">
      <c r="A14" s="54" t="s">
        <v>104</v>
      </c>
      <c r="B14" s="42">
        <v>2024</v>
      </c>
      <c r="C14" s="124" t="str">
        <f>IF(D13="","",IF(B13&lt;1,"**Error - Population Data Missing**",""))</f>
        <v/>
      </c>
      <c r="D14" s="51"/>
      <c r="E14" s="49"/>
      <c r="F14" s="49"/>
      <c r="G14" s="172"/>
      <c r="H14" s="76"/>
      <c r="I14" s="76"/>
      <c r="J14" s="76"/>
      <c r="K14" s="76"/>
      <c r="L14" s="76"/>
      <c r="M14" s="76"/>
      <c r="N14" s="76"/>
    </row>
    <row r="15" spans="1:23" ht="18" customHeight="1">
      <c r="A15" s="145" t="s">
        <v>105</v>
      </c>
      <c r="B15" s="293" t="s">
        <v>106</v>
      </c>
      <c r="C15" s="124"/>
      <c r="D15" s="51"/>
      <c r="E15" s="49"/>
      <c r="F15" s="49"/>
      <c r="G15" s="172"/>
      <c r="H15" s="76"/>
      <c r="I15" s="76"/>
      <c r="J15" s="76"/>
      <c r="K15" s="76"/>
      <c r="L15" s="76"/>
      <c r="M15" s="76"/>
      <c r="N15" s="76"/>
    </row>
    <row r="16" spans="1:23" ht="17.25" hidden="1" customHeight="1">
      <c r="A16" s="145" t="s">
        <v>107</v>
      </c>
      <c r="B16" s="294" t="s">
        <v>108</v>
      </c>
      <c r="C16" s="124"/>
      <c r="D16" s="51"/>
      <c r="E16" s="49"/>
      <c r="F16" s="49"/>
      <c r="G16" s="172"/>
      <c r="H16" s="76"/>
      <c r="I16" s="76"/>
      <c r="J16" s="76"/>
      <c r="K16" s="76"/>
      <c r="L16" s="76"/>
      <c r="M16" s="76"/>
      <c r="N16" s="76"/>
    </row>
    <row r="17" spans="1:29" ht="15.75" customHeight="1">
      <c r="A17" s="145" t="s">
        <v>109</v>
      </c>
      <c r="B17" s="294" t="s">
        <v>110</v>
      </c>
      <c r="C17" s="124"/>
      <c r="D17" s="51"/>
      <c r="E17" s="49"/>
      <c r="F17" s="49"/>
      <c r="G17" s="172"/>
      <c r="H17" s="76"/>
      <c r="I17" s="76"/>
      <c r="J17" s="76"/>
      <c r="K17" s="76"/>
      <c r="L17" s="76"/>
      <c r="M17" s="76"/>
      <c r="N17" s="76"/>
    </row>
    <row r="18" spans="1:29" ht="16.5" customHeight="1">
      <c r="A18" s="54" t="s">
        <v>111</v>
      </c>
      <c r="B18" s="43">
        <f>DefaultData!AI15</f>
        <v>5</v>
      </c>
      <c r="C18" s="53"/>
      <c r="D18" s="124" t="str">
        <f>DefaultData!AI14</f>
        <v>Typically less than 10 kW</v>
      </c>
      <c r="E18" s="53"/>
      <c r="F18" s="49"/>
      <c r="G18" s="172"/>
      <c r="H18" s="76"/>
      <c r="I18" s="76"/>
      <c r="J18" s="76"/>
      <c r="K18" s="76"/>
      <c r="L18" s="76"/>
      <c r="M18" s="76"/>
      <c r="N18" s="76"/>
    </row>
    <row r="19" spans="1:29" ht="15" customHeight="1">
      <c r="A19" s="145" t="s">
        <v>112</v>
      </c>
      <c r="B19" s="43">
        <v>200</v>
      </c>
      <c r="C19" s="49"/>
      <c r="D19" s="51"/>
      <c r="E19" s="49"/>
      <c r="F19" s="49"/>
      <c r="G19" s="76"/>
      <c r="H19" s="76"/>
      <c r="I19" s="76"/>
      <c r="J19" s="76"/>
      <c r="K19" s="76"/>
      <c r="L19" s="76"/>
      <c r="M19" s="76"/>
      <c r="N19" s="76"/>
    </row>
    <row r="20" spans="1:29" ht="14.25" customHeight="1">
      <c r="A20" s="53" t="s">
        <v>113</v>
      </c>
      <c r="B20" s="201">
        <f>B18*B19</f>
        <v>1000</v>
      </c>
      <c r="C20" s="49"/>
      <c r="D20" s="51"/>
      <c r="E20" s="49"/>
      <c r="F20" s="124"/>
      <c r="G20" s="76"/>
      <c r="H20" s="76"/>
      <c r="I20" s="76"/>
      <c r="J20" s="76"/>
      <c r="K20" s="76"/>
      <c r="L20" s="76"/>
      <c r="M20" s="76"/>
      <c r="N20" s="76"/>
    </row>
    <row r="21" spans="1:29" ht="1.5" customHeight="1">
      <c r="A21" s="145"/>
      <c r="B21" s="209"/>
      <c r="C21" s="53"/>
      <c r="D21" s="51"/>
      <c r="E21" s="49"/>
      <c r="F21" s="49"/>
      <c r="G21" s="157"/>
      <c r="H21" s="76"/>
      <c r="I21" s="76"/>
      <c r="J21" s="76"/>
      <c r="K21" s="76"/>
      <c r="L21" s="76"/>
      <c r="M21" s="76"/>
      <c r="N21" s="76"/>
    </row>
    <row r="22" spans="1:29" ht="15.6">
      <c r="A22" s="54" t="s">
        <v>114</v>
      </c>
      <c r="B22" s="289">
        <f>DefaultData!AJ62</f>
        <v>2619.4115907871801</v>
      </c>
      <c r="C22" s="124" t="str">
        <f>IF(B26="N","    User Revised System Cost ($/kW)","")</f>
        <v xml:space="preserve">    User Revised System Cost ($/kW)</v>
      </c>
      <c r="D22" s="49"/>
      <c r="E22" s="49"/>
      <c r="F22" s="168">
        <f>IF(B26="N",C47,"")</f>
        <v>2619.4115907871806</v>
      </c>
      <c r="G22" s="76"/>
      <c r="H22" s="76"/>
      <c r="I22" s="76"/>
      <c r="J22" s="76"/>
      <c r="K22" s="76"/>
      <c r="L22" s="76"/>
      <c r="M22" s="76"/>
      <c r="N22" s="76"/>
      <c r="Q22" s="7" t="s">
        <v>115</v>
      </c>
    </row>
    <row r="23" spans="1:29" ht="14.25" customHeight="1">
      <c r="A23" s="54" t="s">
        <v>116</v>
      </c>
      <c r="B23" s="97">
        <f>DefaultData!AI43</f>
        <v>32.799999999999997</v>
      </c>
      <c r="C23" s="124" t="str">
        <f>IF(B26="N","    User Revised O&amp;M Cost ($/kW)","")</f>
        <v xml:space="preserve">    User Revised O&amp;M Cost ($/kW)</v>
      </c>
      <c r="D23" s="49"/>
      <c r="E23" s="49"/>
      <c r="F23" s="169">
        <f>IF(B26="N",(C62-C61),"")</f>
        <v>32.799999999999997</v>
      </c>
      <c r="G23" s="76"/>
      <c r="H23" s="76"/>
      <c r="I23" s="76"/>
      <c r="J23" s="76"/>
      <c r="K23" s="76"/>
      <c r="L23" s="76"/>
      <c r="M23" s="76"/>
      <c r="N23" s="76"/>
      <c r="Q23" s="7" t="s">
        <v>117</v>
      </c>
    </row>
    <row r="24" spans="1:29" ht="15" customHeight="1">
      <c r="A24" s="54" t="s">
        <v>118</v>
      </c>
      <c r="B24" s="42">
        <v>2010</v>
      </c>
      <c r="C24" s="49"/>
      <c r="D24" s="53"/>
      <c r="E24" s="49"/>
      <c r="F24" s="49"/>
      <c r="G24" s="76"/>
      <c r="H24" s="76"/>
      <c r="I24" s="76"/>
      <c r="J24" s="76"/>
      <c r="K24" s="76"/>
      <c r="L24" s="76"/>
      <c r="M24" s="76"/>
      <c r="N24" s="76"/>
    </row>
    <row r="25" spans="1:29" ht="14.25" customHeight="1">
      <c r="A25" s="76"/>
      <c r="B25" s="123"/>
      <c r="C25" s="76"/>
      <c r="D25" s="51"/>
      <c r="E25" s="49"/>
      <c r="F25" s="49"/>
      <c r="G25" s="76"/>
      <c r="H25" s="76"/>
      <c r="I25" s="76"/>
      <c r="J25" s="76"/>
      <c r="K25" s="76"/>
      <c r="L25" s="76"/>
      <c r="M25" s="76"/>
      <c r="N25" s="76"/>
    </row>
    <row r="26" spans="1:29" ht="15.75" customHeight="1">
      <c r="A26" s="414" t="s">
        <v>119</v>
      </c>
      <c r="B26" s="43" t="s">
        <v>117</v>
      </c>
      <c r="C26" s="185" t="str">
        <f>IF(B26="y","     Press 'Go To Summary Impacts' Button",IF(B26="N","Modify System Cost Data (below).","Error - Re-enter 'Y' or 'N'"))</f>
        <v>Modify System Cost Data (below).</v>
      </c>
      <c r="D26" s="49"/>
      <c r="E26" s="49"/>
      <c r="F26" s="124"/>
      <c r="G26" s="49"/>
      <c r="H26" s="49"/>
      <c r="I26" s="76"/>
      <c r="J26" s="76"/>
      <c r="K26" s="76"/>
      <c r="L26" s="76"/>
      <c r="M26" s="76"/>
      <c r="N26" s="76"/>
    </row>
    <row r="27" spans="1:29" ht="18.75" customHeight="1">
      <c r="A27" s="415"/>
      <c r="B27" s="50"/>
      <c r="C27" s="184"/>
      <c r="D27" s="55"/>
      <c r="E27" s="49"/>
      <c r="F27" s="49"/>
      <c r="G27" s="49"/>
      <c r="H27" s="49"/>
      <c r="I27" s="76"/>
      <c r="J27" s="76"/>
      <c r="K27" s="76"/>
      <c r="L27" s="76"/>
      <c r="M27" s="76"/>
      <c r="N27" s="76"/>
    </row>
    <row r="28" spans="1:29" ht="22.5" customHeight="1">
      <c r="A28" s="415"/>
      <c r="B28" s="50"/>
      <c r="C28" s="49"/>
      <c r="D28" s="124"/>
      <c r="E28" s="49"/>
      <c r="F28" s="49"/>
      <c r="G28" s="76"/>
      <c r="H28" s="76"/>
      <c r="I28" s="76"/>
      <c r="J28" s="76"/>
      <c r="K28" s="76"/>
      <c r="L28" s="76"/>
      <c r="M28" s="76"/>
      <c r="N28" s="76"/>
    </row>
    <row r="29" spans="1:29" ht="43.5" customHeight="1">
      <c r="A29" s="415" t="s">
        <v>120</v>
      </c>
      <c r="B29" s="420"/>
      <c r="C29" s="420"/>
      <c r="D29" s="420"/>
      <c r="E29" s="420"/>
      <c r="F29" s="421"/>
      <c r="G29" s="76"/>
      <c r="H29" s="76"/>
      <c r="I29" s="76"/>
      <c r="J29" s="76"/>
      <c r="K29" s="76"/>
      <c r="L29" s="76"/>
      <c r="M29" s="76"/>
      <c r="N29" s="76"/>
    </row>
    <row r="30" spans="1:29" ht="29.25" customHeight="1">
      <c r="A30" s="30" t="s">
        <v>121</v>
      </c>
      <c r="B30" s="409"/>
      <c r="C30" s="410"/>
      <c r="D30" s="410"/>
      <c r="E30" s="410"/>
      <c r="F30" s="410"/>
      <c r="G30" s="411"/>
      <c r="H30" s="412"/>
      <c r="I30" s="413"/>
      <c r="J30" s="413"/>
      <c r="K30" s="76"/>
      <c r="L30" s="76"/>
      <c r="M30" s="76"/>
      <c r="N30" s="76"/>
      <c r="X30" s="1"/>
    </row>
    <row r="31" spans="1:29">
      <c r="A31" s="53" t="str">
        <f>DefaultData!C14</f>
        <v>Installation Costs</v>
      </c>
      <c r="B31" s="32" t="s">
        <v>122</v>
      </c>
      <c r="C31" s="77" t="s">
        <v>123</v>
      </c>
      <c r="D31" s="54" t="s">
        <v>124</v>
      </c>
      <c r="E31" s="32" t="s">
        <v>125</v>
      </c>
      <c r="F31" s="145" t="s">
        <v>126</v>
      </c>
      <c r="G31" s="76"/>
      <c r="H31" s="165"/>
      <c r="I31" s="165"/>
      <c r="J31" s="76"/>
      <c r="K31" s="76"/>
      <c r="L31" s="76"/>
      <c r="M31" s="76"/>
      <c r="N31" s="76"/>
      <c r="X31" s="1"/>
      <c r="Y31" s="8"/>
      <c r="Z31" s="8"/>
      <c r="AA31" s="13"/>
      <c r="AB31" s="8"/>
      <c r="AC31" s="25"/>
    </row>
    <row r="32" spans="1:29" ht="13.5" customHeight="1">
      <c r="A32" s="53" t="str">
        <f>DefaultData!C15</f>
        <v xml:space="preserve">  Materials &amp; Equipment</v>
      </c>
      <c r="B32" s="49"/>
      <c r="C32" s="77" t="s">
        <v>127</v>
      </c>
      <c r="D32" s="54" t="s">
        <v>128</v>
      </c>
      <c r="E32" s="32" t="s">
        <v>129</v>
      </c>
      <c r="F32" s="145" t="s">
        <v>130</v>
      </c>
      <c r="G32" s="76"/>
      <c r="H32" s="76"/>
      <c r="I32" s="76"/>
      <c r="J32" s="76"/>
      <c r="K32" s="76"/>
      <c r="L32" s="76"/>
      <c r="M32" s="76"/>
      <c r="N32" s="76"/>
      <c r="X32" s="1"/>
      <c r="Z32" s="8"/>
      <c r="AA32" s="13"/>
      <c r="AB32" s="8"/>
      <c r="AC32" s="25"/>
    </row>
    <row r="33" spans="1:29" ht="15.75" customHeight="1">
      <c r="A33" s="144" t="str">
        <f>DefaultData!C16</f>
        <v xml:space="preserve">    Mounting (rails, clamps, fittings, etc.)</v>
      </c>
      <c r="B33" s="34">
        <f>C33*$B$20</f>
        <v>95726.004978933503</v>
      </c>
      <c r="C33" s="187">
        <f>DefaultData!$E16</f>
        <v>95.726004978933503</v>
      </c>
      <c r="D33" s="74">
        <f>B33/(B$49)</f>
        <v>3.5881753312945977E-2</v>
      </c>
      <c r="E33" s="45">
        <f>$T33</f>
        <v>1</v>
      </c>
      <c r="F33" s="46" t="str">
        <f>DefaultData!$AH17</f>
        <v>N</v>
      </c>
      <c r="G33" s="76"/>
      <c r="H33" s="76"/>
      <c r="I33" s="76"/>
      <c r="J33" s="76"/>
      <c r="K33" s="76"/>
      <c r="L33" s="76"/>
      <c r="M33" s="76"/>
      <c r="N33" s="76"/>
      <c r="T33" s="45">
        <f>IF(T$11=0,DefaultData!$G16,IF(T$11=2,"Pop. Data Missing",IF($B$13&lt;DefaultData!$H$13,DefaultData!$H16,IF($B$13&lt;DefaultData!$I$13,DefaultData!$O16,IF($B$13&lt;DefaultData!$J$13,DefaultData!$R16,DefaultData!$U16)))))</f>
        <v>1</v>
      </c>
      <c r="X33" s="290"/>
      <c r="Y33" s="187">
        <f>Z33*$B$20</f>
        <v>95726.004978933503</v>
      </c>
      <c r="Z33" s="187">
        <f>DefaultData!$E16</f>
        <v>95.726004978933503</v>
      </c>
      <c r="AA33" s="191">
        <f>Y33/(Y$47)</f>
        <v>3.6544850498338874E-2</v>
      </c>
      <c r="AB33" s="45">
        <f>$T33</f>
        <v>1</v>
      </c>
      <c r="AC33" s="46" t="str">
        <f>DefaultData!$AH17</f>
        <v>N</v>
      </c>
    </row>
    <row r="34" spans="1:29">
      <c r="A34" s="144" t="str">
        <f>DefaultData!C17</f>
        <v xml:space="preserve">    Modules</v>
      </c>
      <c r="B34" s="34">
        <f>C34*$B$20</f>
        <v>304582.74311478843</v>
      </c>
      <c r="C34" s="187">
        <f>DefaultData!$E17</f>
        <v>304.58274311478846</v>
      </c>
      <c r="D34" s="74">
        <f>B34/(B$49)</f>
        <v>0.11416921508664629</v>
      </c>
      <c r="E34" s="45">
        <f>$T34</f>
        <v>1</v>
      </c>
      <c r="F34" s="46" t="str">
        <f>DefaultData!$AH18</f>
        <v>N</v>
      </c>
      <c r="G34" s="76"/>
      <c r="H34" s="76"/>
      <c r="I34" s="76"/>
      <c r="J34" s="76"/>
      <c r="K34" s="76"/>
      <c r="L34" s="76"/>
      <c r="M34" s="76"/>
      <c r="N34" s="76"/>
      <c r="T34" s="45">
        <f>IF(T$11=0,DefaultData!$G17,IF(T$11=2,"Pop. Data Missing",IF($B$13&lt;DefaultData!$H$13,DefaultData!$H17,IF($B$13&lt;DefaultData!$I$13,DefaultData!$O17,IF($B$13&lt;DefaultData!$J$13,DefaultData!$R17,DefaultData!$U17)))))</f>
        <v>1</v>
      </c>
      <c r="X34" s="290"/>
      <c r="Y34" s="187">
        <f>Z34*$B$20</f>
        <v>304582.74311478843</v>
      </c>
      <c r="Z34" s="187">
        <f>DefaultData!$E17</f>
        <v>304.58274311478846</v>
      </c>
      <c r="AA34" s="191">
        <f>Y34/(Y$47)</f>
        <v>0.11627906976744187</v>
      </c>
      <c r="AB34" s="45">
        <f>$T34</f>
        <v>1</v>
      </c>
      <c r="AC34" s="46" t="str">
        <f>DefaultData!$AH18</f>
        <v>N</v>
      </c>
    </row>
    <row r="35" spans="1:29">
      <c r="A35" s="144" t="str">
        <f>DefaultData!C18</f>
        <v xml:space="preserve">    Electrical (wire, connectors, breakers, etc.)</v>
      </c>
      <c r="B35" s="34">
        <f>C35*$B$20</f>
        <v>208856.73813585489</v>
      </c>
      <c r="C35" s="187">
        <f>DefaultData!$E18</f>
        <v>208.8567381358549</v>
      </c>
      <c r="D35" s="74">
        <f>B35/(B$49)</f>
        <v>7.8287461773700301E-2</v>
      </c>
      <c r="E35" s="45">
        <f>$T35</f>
        <v>1</v>
      </c>
      <c r="F35" s="46" t="str">
        <f>DefaultData!$AH19</f>
        <v>N</v>
      </c>
      <c r="G35" s="76"/>
      <c r="H35" s="76"/>
      <c r="I35" s="76"/>
      <c r="J35" s="76"/>
      <c r="K35" s="76"/>
      <c r="L35" s="76"/>
      <c r="M35" s="76"/>
      <c r="N35" s="76"/>
      <c r="T35" s="45">
        <f>IF(T$11=0,DefaultData!$G18,IF(T$11=2,"Pop. Data Missing",IF($B$13&lt;DefaultData!$H$13,DefaultData!$H18,IF($B$13&lt;DefaultData!$I$13,DefaultData!$O18,IF($B$13&lt;DefaultData!$J$13,DefaultData!$R18,DefaultData!$U18)))))</f>
        <v>1</v>
      </c>
      <c r="X35" s="290"/>
      <c r="Y35" s="187">
        <f>Z35*$B$20</f>
        <v>208856.73813585489</v>
      </c>
      <c r="Z35" s="187">
        <f>DefaultData!$E18</f>
        <v>208.8567381358549</v>
      </c>
      <c r="AA35" s="191">
        <f>Y35/(Y$47)</f>
        <v>7.9734219269102985E-2</v>
      </c>
      <c r="AB35" s="45">
        <f>$T35</f>
        <v>1</v>
      </c>
      <c r="AC35" s="46" t="str">
        <f>DefaultData!$AH19</f>
        <v>N</v>
      </c>
    </row>
    <row r="36" spans="1:29">
      <c r="A36" s="144" t="str">
        <f>DefaultData!C19</f>
        <v xml:space="preserve">    Inverter</v>
      </c>
      <c r="B36" s="34">
        <f>C36*$B$20</f>
        <v>165344.91769088514</v>
      </c>
      <c r="C36" s="187">
        <f>DefaultData!$E19</f>
        <v>165.34491769088513</v>
      </c>
      <c r="D36" s="74">
        <f>B36/(B$49)</f>
        <v>6.1977573904179406E-2</v>
      </c>
      <c r="E36" s="45">
        <f>$T36</f>
        <v>1</v>
      </c>
      <c r="F36" s="46" t="str">
        <f>DefaultData!$AH20</f>
        <v>N</v>
      </c>
      <c r="G36" s="76"/>
      <c r="H36" s="76"/>
      <c r="I36" s="76"/>
      <c r="J36" s="76"/>
      <c r="K36" s="76"/>
      <c r="L36" s="76"/>
      <c r="M36" s="76"/>
      <c r="N36" s="76"/>
      <c r="T36" s="45">
        <f>IF(T$11=0,DefaultData!$G19,IF(T$11=2,"Pop. Data Missing",IF($B$13&lt;DefaultData!$H$13,DefaultData!$H19,IF($B$13&lt;DefaultData!$I$13,DefaultData!$O19,IF($B$13&lt;DefaultData!$J$13,DefaultData!$R19,DefaultData!$U19)))))</f>
        <v>1</v>
      </c>
      <c r="X36" s="290"/>
      <c r="Y36" s="187">
        <f>Z36*$B$20</f>
        <v>165344.91769088514</v>
      </c>
      <c r="Z36" s="187">
        <f>DefaultData!$E19</f>
        <v>165.34491769088513</v>
      </c>
      <c r="AA36" s="191">
        <f>Y36/(Y$47)</f>
        <v>6.3122923588039864E-2</v>
      </c>
      <c r="AB36" s="45">
        <f>$T36</f>
        <v>1</v>
      </c>
      <c r="AC36" s="46" t="str">
        <f>DefaultData!$AH20</f>
        <v>N</v>
      </c>
    </row>
    <row r="37" spans="1:29">
      <c r="A37" s="144" t="str">
        <f>DefaultData!C20</f>
        <v xml:space="preserve">    Subtotal</v>
      </c>
      <c r="B37" s="34">
        <f>SUM(B33:B36)</f>
        <v>774510.40392046201</v>
      </c>
      <c r="C37" s="34">
        <f>SUM(C33:C36)</f>
        <v>774.51040392046207</v>
      </c>
      <c r="D37" s="74">
        <f>SUM(D33:D36)</f>
        <v>0.29031600407747193</v>
      </c>
      <c r="E37" s="186"/>
      <c r="F37" s="49"/>
      <c r="G37" s="76"/>
      <c r="H37" s="76"/>
      <c r="I37" s="76"/>
      <c r="J37" s="76"/>
      <c r="K37" s="76"/>
      <c r="L37" s="76"/>
      <c r="M37" s="76"/>
      <c r="N37" s="76"/>
      <c r="T37" s="45"/>
      <c r="X37" s="290"/>
      <c r="Y37" s="187">
        <f>SUM(Y33:Y36)</f>
        <v>774510.40392046201</v>
      </c>
      <c r="Z37" s="187">
        <f>SUM(Z33:Z36)</f>
        <v>774.51040392046207</v>
      </c>
      <c r="AA37" s="191">
        <f>SUM(AA33:AA36)</f>
        <v>0.29568106312292358</v>
      </c>
      <c r="AB37" s="45"/>
      <c r="AC37" s="115"/>
    </row>
    <row r="38" spans="1:29">
      <c r="A38" s="53" t="str">
        <f>DefaultData!C21</f>
        <v xml:space="preserve">  Labor</v>
      </c>
      <c r="B38" s="36"/>
      <c r="C38" s="90"/>
      <c r="D38" s="74"/>
      <c r="E38" s="186"/>
      <c r="F38" s="49"/>
      <c r="G38" s="76"/>
      <c r="H38" s="76"/>
      <c r="I38" s="76"/>
      <c r="J38" s="76"/>
      <c r="K38" s="76"/>
      <c r="L38" s="76"/>
      <c r="M38" s="76"/>
      <c r="N38" s="76"/>
      <c r="T38" s="45"/>
      <c r="X38" s="1"/>
      <c r="Y38" s="192"/>
      <c r="Z38" s="187"/>
      <c r="AA38" s="191"/>
      <c r="AB38" s="45"/>
      <c r="AC38" s="115"/>
    </row>
    <row r="39" spans="1:29">
      <c r="A39" s="144" t="str">
        <f>DefaultData!C22</f>
        <v xml:space="preserve">    Installation</v>
      </c>
      <c r="B39" s="34">
        <f>C39*$B$20</f>
        <v>261070.92266981862</v>
      </c>
      <c r="C39" s="187">
        <f>DefaultData!$E22</f>
        <v>261.07092266981863</v>
      </c>
      <c r="D39" s="74">
        <f>B39/(B$49)</f>
        <v>9.7859327217125369E-2</v>
      </c>
      <c r="E39" s="45">
        <f>$T39</f>
        <v>1</v>
      </c>
      <c r="F39" s="49"/>
      <c r="G39" s="76"/>
      <c r="H39" s="76"/>
      <c r="I39" s="76"/>
      <c r="J39" s="76"/>
      <c r="K39" s="76"/>
      <c r="L39" s="76"/>
      <c r="M39" s="76"/>
      <c r="N39" s="76"/>
      <c r="T39" s="45">
        <f>IF(T$11=0,DefaultData!$G22,IF(T$11=2,"Pop. Data Missing",IF($B$13&lt;DefaultData!$H$13,DefaultData!$H22,IF($B$13&lt;DefaultData!$I$13,DefaultData!$O22,IF($B$13&lt;DefaultData!$J$13,DefaultData!$R22,DefaultData!$U22)))))</f>
        <v>1</v>
      </c>
      <c r="X39" s="290"/>
      <c r="Y39" s="187">
        <f>Z39*$B$20</f>
        <v>261070.92266981862</v>
      </c>
      <c r="Z39" s="187">
        <f>DefaultData!$E22</f>
        <v>261.07092266981863</v>
      </c>
      <c r="AA39" s="191">
        <f>Y39/(Y$47)</f>
        <v>9.9667774086378738E-2</v>
      </c>
      <c r="AB39" s="45">
        <f>$T39</f>
        <v>1</v>
      </c>
      <c r="AC39" s="115"/>
    </row>
    <row r="40" spans="1:29">
      <c r="A40" s="144" t="str">
        <f>DefaultData!C23</f>
        <v xml:space="preserve">    Subtotal</v>
      </c>
      <c r="B40" s="34">
        <f>SUM(B39:B39)</f>
        <v>261070.92266981862</v>
      </c>
      <c r="C40" s="90">
        <f>C39</f>
        <v>261.07092266981863</v>
      </c>
      <c r="D40" s="74">
        <f>D39</f>
        <v>9.7859327217125369E-2</v>
      </c>
      <c r="E40" s="186"/>
      <c r="F40" s="49"/>
      <c r="G40" s="76"/>
      <c r="H40" s="76"/>
      <c r="I40" s="76"/>
      <c r="J40" s="76"/>
      <c r="K40" s="76"/>
      <c r="L40" s="76"/>
      <c r="M40" s="76"/>
      <c r="N40" s="76"/>
      <c r="T40" s="45"/>
      <c r="X40" s="290"/>
      <c r="Y40" s="187">
        <f>SUM(Y39:Y39)</f>
        <v>261070.92266981862</v>
      </c>
      <c r="Z40" s="187">
        <f>Z39</f>
        <v>261.07092266981863</v>
      </c>
      <c r="AA40" s="191">
        <f>AA39</f>
        <v>9.9667774086378738E-2</v>
      </c>
      <c r="AB40" s="45"/>
      <c r="AC40" s="115"/>
    </row>
    <row r="41" spans="1:29">
      <c r="A41" s="144" t="str">
        <f>DefaultData!C24</f>
        <v xml:space="preserve">  Total</v>
      </c>
      <c r="B41" s="34">
        <f>+B40+B37</f>
        <v>1035581.3265902806</v>
      </c>
      <c r="C41" s="34">
        <f>+C40+C37</f>
        <v>1035.5813265902807</v>
      </c>
      <c r="D41" s="74">
        <f>D40+D37</f>
        <v>0.3881753312945973</v>
      </c>
      <c r="E41" s="186"/>
      <c r="F41" s="49"/>
      <c r="G41" s="76"/>
      <c r="H41" s="76"/>
      <c r="I41" s="76"/>
      <c r="J41" s="76"/>
      <c r="K41" s="76"/>
      <c r="L41" s="76"/>
      <c r="M41" s="76"/>
      <c r="N41" s="76"/>
      <c r="T41" s="45"/>
      <c r="X41" s="290"/>
      <c r="Y41" s="187">
        <f>+Y40+Y37</f>
        <v>1035581.3265902806</v>
      </c>
      <c r="Z41" s="187">
        <f>+Z40+Z37</f>
        <v>1035.5813265902807</v>
      </c>
      <c r="AA41" s="191">
        <f>AA40+AA37</f>
        <v>0.39534883720930231</v>
      </c>
      <c r="AB41" s="45"/>
      <c r="AC41" s="115"/>
    </row>
    <row r="42" spans="1:29">
      <c r="A42" s="53" t="str">
        <f>DefaultData!C25</f>
        <v>Other Costs</v>
      </c>
      <c r="B42" s="36"/>
      <c r="C42" s="90"/>
      <c r="D42" s="74"/>
      <c r="E42" s="186"/>
      <c r="F42" s="49"/>
      <c r="G42" s="76"/>
      <c r="H42" s="76"/>
      <c r="I42" s="76"/>
      <c r="J42" s="76"/>
      <c r="K42" s="76"/>
      <c r="L42" s="76"/>
      <c r="M42" s="76"/>
      <c r="N42" s="76"/>
      <c r="T42" s="45"/>
      <c r="X42" s="1"/>
      <c r="Y42" s="192"/>
      <c r="Z42" s="187"/>
      <c r="AA42" s="191"/>
      <c r="AB42" s="45"/>
      <c r="AC42" s="115"/>
    </row>
    <row r="43" spans="1:29">
      <c r="A43" s="144" t="str">
        <f>DefaultData!C26</f>
        <v>Permitting, Fees, and Taxes</v>
      </c>
      <c r="B43" s="34">
        <f>C43*$B$20</f>
        <v>348094.56355975819</v>
      </c>
      <c r="C43" s="187">
        <f>DefaultData!$E26</f>
        <v>348.09456355975817</v>
      </c>
      <c r="D43" s="74">
        <f>B43/(B$49)</f>
        <v>0.13047910295616719</v>
      </c>
      <c r="E43" s="45">
        <f>$T43</f>
        <v>1</v>
      </c>
      <c r="F43" s="49"/>
      <c r="G43" s="76"/>
      <c r="H43" s="76"/>
      <c r="I43" s="76"/>
      <c r="J43" s="76"/>
      <c r="K43" s="76"/>
      <c r="L43" s="76"/>
      <c r="M43" s="76"/>
      <c r="N43" s="76"/>
      <c r="T43" s="45">
        <f>IF(T$11=0,DefaultData!$G26,IF(T$11=2,"Pop. Data Missing",IF($B$13&lt;DefaultData!$H$13,DefaultData!$H26,IF($B$13&lt;DefaultData!$I$13,DefaultData!$O26,IF($B$13&lt;DefaultData!$J$13,DefaultData!$R26,DefaultData!$U26)))))</f>
        <v>1</v>
      </c>
      <c r="X43" s="290"/>
      <c r="Y43" s="187">
        <f>Z43*$B$20</f>
        <v>348094.56355975819</v>
      </c>
      <c r="Z43" s="187">
        <f>DefaultData!$E26</f>
        <v>348.09456355975817</v>
      </c>
      <c r="AA43" s="191">
        <f t="shared" ref="AA43:AA48" si="0">Y43/(Y$47)</f>
        <v>0.13289036544850499</v>
      </c>
      <c r="AB43" s="45">
        <f>$T43</f>
        <v>1</v>
      </c>
      <c r="AC43" s="115"/>
    </row>
    <row r="44" spans="1:29">
      <c r="A44" s="144" t="str">
        <f>DefaultData!C27</f>
        <v xml:space="preserve">  Other Costs</v>
      </c>
      <c r="B44" s="34">
        <f>C44*$B$20</f>
        <v>661379.67076354055</v>
      </c>
      <c r="C44" s="187">
        <f>DefaultData!$E27</f>
        <v>661.3796707635405</v>
      </c>
      <c r="D44" s="74">
        <f>B44/(B$49)</f>
        <v>0.24791029561671762</v>
      </c>
      <c r="E44" s="45">
        <f>$T44</f>
        <v>1</v>
      </c>
      <c r="F44" s="35"/>
      <c r="G44" s="76"/>
      <c r="H44" s="76"/>
      <c r="I44" s="76"/>
      <c r="J44" s="76"/>
      <c r="K44" s="76"/>
      <c r="L44" s="76"/>
      <c r="M44" s="76"/>
      <c r="N44" s="76"/>
      <c r="T44" s="45">
        <f>IF(T$11=0,DefaultData!$G27,IF(T$11=2,"Pop. Data Missing",IF($B$13&lt;DefaultData!$H$13,DefaultData!$H27,IF($B$13&lt;DefaultData!$I$13,DefaultData!$O27,IF($B$13&lt;DefaultData!$J$13,DefaultData!$R27,DefaultData!$U27)))))</f>
        <v>1</v>
      </c>
      <c r="X44" s="290"/>
      <c r="Y44" s="187">
        <f>Z44*$B$20</f>
        <v>661379.67076354055</v>
      </c>
      <c r="Z44" s="187">
        <f>DefaultData!$E27</f>
        <v>661.3796707635405</v>
      </c>
      <c r="AA44" s="191">
        <f t="shared" si="0"/>
        <v>0.25249169435215946</v>
      </c>
      <c r="AB44" s="45">
        <f>$T44</f>
        <v>1</v>
      </c>
      <c r="AC44" s="46"/>
    </row>
    <row r="45" spans="1:29">
      <c r="A45" s="144" t="str">
        <f>DefaultData!C28</f>
        <v xml:space="preserve">  Business Overhead</v>
      </c>
      <c r="B45" s="34">
        <f>C45*$B$20</f>
        <v>574356.02987360104</v>
      </c>
      <c r="C45" s="187">
        <f>DefaultData!$E28</f>
        <v>574.35602987360107</v>
      </c>
      <c r="D45" s="74">
        <f>B45/(B$49)</f>
        <v>0.21529051987767586</v>
      </c>
      <c r="E45" s="45">
        <f>$T45</f>
        <v>1</v>
      </c>
      <c r="F45" s="35"/>
      <c r="G45" s="76"/>
      <c r="H45" s="76"/>
      <c r="I45" s="76"/>
      <c r="J45" s="76"/>
      <c r="K45" s="76"/>
      <c r="L45" s="76"/>
      <c r="M45" s="76"/>
      <c r="N45" s="76"/>
      <c r="T45" s="45">
        <f>IF(T$11=0,DefaultData!$G28,IF(T$11=2,"Pop. Data Missing",IF($B$13&lt;DefaultData!$H$13,DefaultData!$H28,IF($B$13&lt;DefaultData!$I$13,DefaultData!$O28,IF($B$13&lt;DefaultData!$J$13,DefaultData!$R28,DefaultData!$U28)))))</f>
        <v>1</v>
      </c>
      <c r="X45" s="290"/>
      <c r="Y45" s="187">
        <f>Z45*$B$20</f>
        <v>574356.02987360104</v>
      </c>
      <c r="Z45" s="187">
        <f>DefaultData!$E28</f>
        <v>574.35602987360107</v>
      </c>
      <c r="AA45" s="191">
        <f t="shared" si="0"/>
        <v>0.21926910299003324</v>
      </c>
      <c r="AB45" s="45">
        <f>$T45</f>
        <v>1</v>
      </c>
      <c r="AC45" s="46"/>
    </row>
    <row r="46" spans="1:29">
      <c r="A46" s="144" t="str">
        <f>DefaultData!C29</f>
        <v xml:space="preserve">  Subtotal</v>
      </c>
      <c r="B46" s="34">
        <f>SUM(B43:B45)</f>
        <v>1583830.2641968997</v>
      </c>
      <c r="C46" s="34">
        <f>SUM(C43:C45)</f>
        <v>1583.8302641968999</v>
      </c>
      <c r="D46" s="74">
        <f>B46/(B$49)</f>
        <v>0.59367991845056067</v>
      </c>
      <c r="E46" s="186"/>
      <c r="F46" s="49"/>
      <c r="G46" s="76"/>
      <c r="H46" s="76"/>
      <c r="I46" s="76"/>
      <c r="J46" s="76"/>
      <c r="K46" s="76"/>
      <c r="L46" s="76"/>
      <c r="M46" s="76"/>
      <c r="N46" s="76"/>
      <c r="T46" s="45"/>
      <c r="X46" s="290"/>
      <c r="Y46" s="187">
        <f>SUM(Y43:Y45)</f>
        <v>1583830.2641968997</v>
      </c>
      <c r="Z46" s="187">
        <f>SUM(Z43:Z45)</f>
        <v>1583.8302641968999</v>
      </c>
      <c r="AA46" s="191">
        <f t="shared" si="0"/>
        <v>0.60465116279069764</v>
      </c>
      <c r="AB46" s="45"/>
      <c r="AC46" s="115"/>
    </row>
    <row r="47" spans="1:29">
      <c r="A47" s="53" t="s">
        <v>131</v>
      </c>
      <c r="B47" s="34">
        <f>B46+B41</f>
        <v>2619411.5907871802</v>
      </c>
      <c r="C47" s="34">
        <f>C46+C41</f>
        <v>2619.4115907871806</v>
      </c>
      <c r="D47" s="74">
        <f>D46+D41</f>
        <v>0.98185524974515803</v>
      </c>
      <c r="E47" s="186"/>
      <c r="F47" s="49"/>
      <c r="G47" s="76"/>
      <c r="H47" s="76"/>
      <c r="I47" s="76"/>
      <c r="J47" s="76"/>
      <c r="K47" s="76"/>
      <c r="L47" s="76"/>
      <c r="M47" s="76"/>
      <c r="N47" s="76"/>
      <c r="T47" s="45"/>
      <c r="X47" s="1"/>
      <c r="Y47" s="187">
        <f>Y46+Y41</f>
        <v>2619411.5907871802</v>
      </c>
      <c r="Z47" s="187">
        <f>Z46+Z41</f>
        <v>2619.4115907871806</v>
      </c>
      <c r="AA47" s="191">
        <f t="shared" si="0"/>
        <v>1</v>
      </c>
      <c r="AB47" s="45"/>
      <c r="AC47" s="115"/>
    </row>
    <row r="48" spans="1:29" hidden="1">
      <c r="A48" s="276" t="s">
        <v>132</v>
      </c>
      <c r="B48" s="187">
        <f>B37*(B77*(1-B78))</f>
        <v>48406.900245028875</v>
      </c>
      <c r="C48" s="34">
        <f>B48/B$20</f>
        <v>48.406900245028872</v>
      </c>
      <c r="D48" s="74">
        <f>B48/(B$49)</f>
        <v>1.8144750254841999E-2</v>
      </c>
      <c r="E48" s="186">
        <f>$T48</f>
        <v>1</v>
      </c>
      <c r="F48" s="49"/>
      <c r="G48" s="76"/>
      <c r="H48" s="76"/>
      <c r="I48" s="76"/>
      <c r="J48" s="76"/>
      <c r="K48" s="76"/>
      <c r="L48" s="76"/>
      <c r="M48" s="76"/>
      <c r="N48" s="76"/>
      <c r="T48" s="45">
        <f>D$77</f>
        <v>1</v>
      </c>
      <c r="X48" s="1"/>
      <c r="Y48" s="187">
        <f>Y37*(Y77*(1-Y78))</f>
        <v>48406.900245028875</v>
      </c>
      <c r="Z48" s="187">
        <f>DefaultData!$E31</f>
        <v>0</v>
      </c>
      <c r="AA48" s="191">
        <f t="shared" si="0"/>
        <v>1.8480066445182727E-2</v>
      </c>
      <c r="AB48" s="45">
        <f>$T48</f>
        <v>1</v>
      </c>
      <c r="AC48" s="115"/>
    </row>
    <row r="49" spans="1:29">
      <c r="A49" s="53" t="s">
        <v>133</v>
      </c>
      <c r="B49" s="34">
        <f>B48+B47</f>
        <v>2667818.4910322092</v>
      </c>
      <c r="C49" s="34">
        <f>B49/B$20</f>
        <v>2667.8184910322093</v>
      </c>
      <c r="D49" s="74">
        <f>D48+D47</f>
        <v>1</v>
      </c>
      <c r="E49" s="186"/>
      <c r="F49" s="49"/>
      <c r="G49" s="76"/>
      <c r="H49" s="76"/>
      <c r="I49" s="76"/>
      <c r="J49" s="76"/>
      <c r="K49" s="76"/>
      <c r="L49" s="76"/>
      <c r="M49" s="76"/>
      <c r="N49" s="76"/>
      <c r="T49" s="45"/>
      <c r="X49" s="1"/>
      <c r="Y49" s="187"/>
      <c r="Z49" s="187"/>
      <c r="AA49" s="191"/>
      <c r="AB49" s="45"/>
      <c r="AC49" s="115"/>
    </row>
    <row r="50" spans="1:29">
      <c r="A50" s="144"/>
      <c r="B50" s="36"/>
      <c r="C50" s="34"/>
      <c r="D50" s="75"/>
      <c r="E50" s="186"/>
      <c r="F50" s="49"/>
      <c r="G50" s="76"/>
      <c r="H50" s="76"/>
      <c r="I50" s="76"/>
      <c r="J50" s="76"/>
      <c r="K50" s="76"/>
      <c r="L50" s="76"/>
      <c r="M50" s="76"/>
      <c r="N50" s="76"/>
      <c r="T50" s="45"/>
      <c r="X50" s="290"/>
      <c r="Y50" s="192"/>
      <c r="Z50" s="187"/>
      <c r="AA50" s="191"/>
      <c r="AB50" s="45"/>
      <c r="AC50" s="115"/>
    </row>
    <row r="51" spans="1:29" ht="15.6">
      <c r="A51" s="30" t="str">
        <f>DefaultData!C33</f>
        <v>PV System Annual Operating and Maintenance Costs</v>
      </c>
      <c r="B51" s="36"/>
      <c r="C51" s="76"/>
      <c r="D51" s="37"/>
      <c r="E51" s="37"/>
      <c r="F51" s="49"/>
      <c r="G51" s="76"/>
      <c r="H51" s="76"/>
      <c r="I51" s="76"/>
      <c r="J51" s="76"/>
      <c r="K51" s="76"/>
      <c r="L51" s="76"/>
      <c r="M51" s="76"/>
      <c r="N51" s="76"/>
      <c r="T51" s="45"/>
      <c r="X51" s="59"/>
      <c r="Y51" s="192"/>
      <c r="Z51" s="115"/>
      <c r="AA51" s="193"/>
      <c r="AB51" s="193"/>
      <c r="AC51" s="115"/>
    </row>
    <row r="52" spans="1:29">
      <c r="A52" s="37"/>
      <c r="B52" s="32" t="s">
        <v>122</v>
      </c>
      <c r="C52" s="77" t="s">
        <v>123</v>
      </c>
      <c r="D52" s="54" t="s">
        <v>124</v>
      </c>
      <c r="E52" s="32" t="s">
        <v>134</v>
      </c>
      <c r="F52" s="145"/>
      <c r="G52" s="76"/>
      <c r="H52" s="76"/>
      <c r="I52" s="76"/>
      <c r="J52" s="76"/>
      <c r="K52" s="76"/>
      <c r="L52" s="76"/>
      <c r="M52" s="76"/>
      <c r="N52" s="76"/>
      <c r="T52" s="45"/>
      <c r="X52" s="4"/>
      <c r="Y52" s="42"/>
      <c r="Z52" s="42"/>
      <c r="AA52" s="194"/>
      <c r="AB52" s="42"/>
      <c r="AC52" s="115"/>
    </row>
    <row r="53" spans="1:29">
      <c r="A53" s="54" t="str">
        <f>DefaultData!C34</f>
        <v>Labor</v>
      </c>
      <c r="B53" s="37"/>
      <c r="C53" s="77" t="s">
        <v>127</v>
      </c>
      <c r="D53" s="54" t="s">
        <v>128</v>
      </c>
      <c r="E53" s="32" t="s">
        <v>135</v>
      </c>
      <c r="F53" s="145"/>
      <c r="G53" s="76"/>
      <c r="H53" s="76"/>
      <c r="I53" s="76"/>
      <c r="J53" s="76"/>
      <c r="K53" s="76"/>
      <c r="L53" s="76"/>
      <c r="M53" s="76"/>
      <c r="N53" s="76"/>
      <c r="T53" s="45"/>
      <c r="X53" s="13"/>
      <c r="Y53" s="193"/>
      <c r="Z53" s="42"/>
      <c r="AA53" s="194"/>
      <c r="AB53" s="42"/>
      <c r="AC53" s="115"/>
    </row>
    <row r="54" spans="1:29">
      <c r="A54" s="357" t="str">
        <f>DefaultData!C35</f>
        <v xml:space="preserve">  Technicians</v>
      </c>
      <c r="B54" s="34">
        <f>C54*$B$20</f>
        <v>17930.666666666664</v>
      </c>
      <c r="C54" s="188">
        <f>DefaultData!$E35</f>
        <v>17.930666666666664</v>
      </c>
      <c r="D54" s="75">
        <f>B54/B$62</f>
        <v>0.54666666666666663</v>
      </c>
      <c r="E54" s="45">
        <f>$T54</f>
        <v>1</v>
      </c>
      <c r="F54" s="49"/>
      <c r="G54" s="76"/>
      <c r="H54" s="76"/>
      <c r="I54" s="76"/>
      <c r="J54" s="76"/>
      <c r="K54" s="76"/>
      <c r="L54" s="76"/>
      <c r="M54" s="76"/>
      <c r="N54" s="76"/>
      <c r="T54" s="45">
        <f>IF(T$11=0,DefaultData!$G35,IF(T$11=2,"Pop. Data Missing",IF($B$13&lt;DefaultData!$H$13,DefaultData!$H35,IF($B$13&lt;DefaultData!$I$13,DefaultData!$O35,IF($B$13&lt;DefaultData!$J$13,DefaultData!$R35,DefaultData!$U35)))))</f>
        <v>1</v>
      </c>
      <c r="X54" s="358"/>
      <c r="Y54" s="187">
        <f>Z54*$B$20</f>
        <v>17930.666666666664</v>
      </c>
      <c r="Z54" s="188">
        <f>DefaultData!$E35</f>
        <v>17.930666666666664</v>
      </c>
      <c r="AA54" s="191">
        <f>Y54/Y$62</f>
        <v>0.54666666666666663</v>
      </c>
      <c r="AB54" s="45">
        <f>$T54</f>
        <v>1</v>
      </c>
      <c r="AC54" s="115"/>
    </row>
    <row r="55" spans="1:29">
      <c r="A55" s="357" t="str">
        <f>DefaultData!C36</f>
        <v xml:space="preserve">  Subtotal</v>
      </c>
      <c r="B55" s="34">
        <f>SUM(B54:B54)</f>
        <v>17930.666666666664</v>
      </c>
      <c r="C55" s="91">
        <f>C54</f>
        <v>17.930666666666664</v>
      </c>
      <c r="D55" s="75">
        <f>SUM(D54:D54)</f>
        <v>0.54666666666666663</v>
      </c>
      <c r="E55" s="186"/>
      <c r="F55" s="49"/>
      <c r="G55" s="76"/>
      <c r="H55" s="76"/>
      <c r="I55" s="76"/>
      <c r="J55" s="76"/>
      <c r="K55" s="76"/>
      <c r="L55" s="76"/>
      <c r="M55" s="76"/>
      <c r="N55" s="76"/>
      <c r="T55" s="45"/>
      <c r="X55" s="358"/>
      <c r="Y55" s="187">
        <f>SUM(Y54:Y54)</f>
        <v>17930.666666666664</v>
      </c>
      <c r="Z55" s="188">
        <f>Z54</f>
        <v>17.930666666666664</v>
      </c>
      <c r="AA55" s="191">
        <f>SUM(AA54:AA54)</f>
        <v>0.54666666666666663</v>
      </c>
      <c r="AB55" s="45"/>
      <c r="AC55" s="115"/>
    </row>
    <row r="56" spans="1:29">
      <c r="A56" s="357"/>
      <c r="B56" s="34"/>
      <c r="C56" s="91"/>
      <c r="D56" s="75"/>
      <c r="E56" s="32" t="s">
        <v>125</v>
      </c>
      <c r="F56" s="145" t="s">
        <v>126</v>
      </c>
      <c r="G56" s="76"/>
      <c r="H56" s="76"/>
      <c r="I56" s="76"/>
      <c r="J56" s="76"/>
      <c r="K56" s="76"/>
      <c r="L56" s="76"/>
      <c r="M56" s="76"/>
      <c r="N56" s="76"/>
      <c r="T56" s="45"/>
      <c r="X56" s="358"/>
      <c r="Y56" s="187"/>
      <c r="Z56" s="188"/>
      <c r="AA56" s="191"/>
      <c r="AB56" s="45"/>
      <c r="AC56" s="115"/>
    </row>
    <row r="57" spans="1:29">
      <c r="A57" s="54" t="str">
        <f>DefaultData!C37</f>
        <v>Materials and Services</v>
      </c>
      <c r="B57" s="36"/>
      <c r="C57" s="76"/>
      <c r="D57" s="49"/>
      <c r="E57" s="32" t="s">
        <v>129</v>
      </c>
      <c r="F57" s="145" t="s">
        <v>130</v>
      </c>
      <c r="G57" s="76"/>
      <c r="H57" s="76"/>
      <c r="I57" s="76"/>
      <c r="J57" s="76"/>
      <c r="K57" s="76"/>
      <c r="L57" s="76"/>
      <c r="M57" s="76"/>
      <c r="N57" s="76"/>
      <c r="T57" s="45"/>
      <c r="X57" s="13"/>
      <c r="Y57" s="192"/>
      <c r="Z57" s="115"/>
      <c r="AA57" s="115"/>
      <c r="AB57" s="45"/>
      <c r="AC57" s="42"/>
    </row>
    <row r="58" spans="1:29">
      <c r="A58" s="357" t="str">
        <f>DefaultData!C38</f>
        <v xml:space="preserve">  Materials &amp; Equipment</v>
      </c>
      <c r="B58" s="34">
        <f>C58*$B$20</f>
        <v>14869.333333333334</v>
      </c>
      <c r="C58" s="188">
        <f>DefaultData!$E38</f>
        <v>14.869333333333334</v>
      </c>
      <c r="D58" s="75">
        <f>B58/B$62</f>
        <v>0.45333333333333337</v>
      </c>
      <c r="E58" s="45">
        <f>$T58</f>
        <v>1</v>
      </c>
      <c r="F58" s="46" t="str">
        <f>DefaultData!$AH38</f>
        <v>N</v>
      </c>
      <c r="G58" s="76"/>
      <c r="H58" s="76"/>
      <c r="I58" s="76"/>
      <c r="J58" s="76"/>
      <c r="K58" s="76"/>
      <c r="L58" s="76"/>
      <c r="M58" s="76"/>
      <c r="N58" s="76"/>
      <c r="T58" s="45">
        <f>IF(T$11=0,DefaultData!$G38,IF(T$11=2,"Pop. Data Missing",IF($B$13&lt;DefaultData!$H$13,DefaultData!$H38,IF($B$13&lt;DefaultData!$I$13,DefaultData!$O38,IF($B$13&lt;DefaultData!$J$13,DefaultData!$R38,DefaultData!$U38)))))</f>
        <v>1</v>
      </c>
      <c r="X58" s="358"/>
      <c r="Y58" s="187">
        <f>Z58*$B$20</f>
        <v>14869.333333333334</v>
      </c>
      <c r="Z58" s="188">
        <f>DefaultData!$E38</f>
        <v>14.869333333333334</v>
      </c>
      <c r="AA58" s="191">
        <f>Y58/Y$62</f>
        <v>0.45333333333333337</v>
      </c>
      <c r="AB58" s="45">
        <f>$T58</f>
        <v>1</v>
      </c>
      <c r="AC58" s="46" t="str">
        <f>DefaultData!$AH38</f>
        <v>N</v>
      </c>
    </row>
    <row r="59" spans="1:29">
      <c r="A59" s="357" t="str">
        <f>DefaultData!C39</f>
        <v xml:space="preserve">  Services</v>
      </c>
      <c r="B59" s="34">
        <f>C59*$B$20</f>
        <v>0</v>
      </c>
      <c r="C59" s="188">
        <f>DefaultData!$E39</f>
        <v>0</v>
      </c>
      <c r="D59" s="75">
        <f>B59/B$62</f>
        <v>0</v>
      </c>
      <c r="E59" s="45">
        <f>$T59</f>
        <v>1</v>
      </c>
      <c r="F59" s="37"/>
      <c r="G59" s="76"/>
      <c r="H59" s="76"/>
      <c r="I59" s="76"/>
      <c r="J59" s="76"/>
      <c r="K59" s="76"/>
      <c r="L59" s="76"/>
      <c r="M59" s="76"/>
      <c r="N59" s="76"/>
      <c r="T59" s="45">
        <f>IF(T$11=0,DefaultData!$G39,IF(T$11=2,"Pop. Data Missing",IF($B$13&lt;DefaultData!$H$13,DefaultData!$H39,IF($B$13&lt;DefaultData!$I$13,DefaultData!$O39,IF($B$13&lt;DefaultData!$J$13,DefaultData!$R39,DefaultData!$U39)))))</f>
        <v>1</v>
      </c>
      <c r="X59" s="358"/>
      <c r="Y59" s="187">
        <f>Z59*$B$20</f>
        <v>0</v>
      </c>
      <c r="Z59" s="188">
        <f>DefaultData!$E39</f>
        <v>0</v>
      </c>
      <c r="AA59" s="191">
        <f>Y59/Y$62</f>
        <v>0</v>
      </c>
      <c r="AB59" s="45">
        <f>$T59</f>
        <v>1</v>
      </c>
      <c r="AC59" s="193"/>
    </row>
    <row r="60" spans="1:29">
      <c r="A60" s="357" t="str">
        <f>DefaultData!C40</f>
        <v xml:space="preserve">  Subtotal</v>
      </c>
      <c r="B60" s="34">
        <f>SUM(B58:B59)</f>
        <v>14869.333333333334</v>
      </c>
      <c r="C60" s="91">
        <f>C59+C58</f>
        <v>14.869333333333334</v>
      </c>
      <c r="D60" s="75">
        <f>SUM(D58:D59)</f>
        <v>0.45333333333333337</v>
      </c>
      <c r="E60" s="37"/>
      <c r="F60" s="37"/>
      <c r="G60" s="76"/>
      <c r="H60" s="76"/>
      <c r="I60" s="76"/>
      <c r="J60" s="76"/>
      <c r="K60" s="76"/>
      <c r="L60" s="76"/>
      <c r="M60" s="76"/>
      <c r="N60" s="76"/>
      <c r="T60" s="45"/>
      <c r="X60" s="358"/>
      <c r="Y60" s="187">
        <f>SUM(Y58:Y59)</f>
        <v>14869.333333333334</v>
      </c>
      <c r="Z60" s="188">
        <f>Z59+Z58</f>
        <v>14.869333333333334</v>
      </c>
      <c r="AA60" s="191">
        <f>SUM(AA58:AA59)</f>
        <v>0.45333333333333337</v>
      </c>
      <c r="AB60" s="193"/>
      <c r="AC60" s="193"/>
    </row>
    <row r="61" spans="1:29" hidden="1">
      <c r="A61" s="276" t="s">
        <v>132</v>
      </c>
      <c r="B61" s="187">
        <v>0</v>
      </c>
      <c r="C61" s="58">
        <f>B61/B$20</f>
        <v>0</v>
      </c>
      <c r="D61" s="74">
        <f>B61/(B$62)</f>
        <v>0</v>
      </c>
      <c r="E61" s="186">
        <f>$T61</f>
        <v>1</v>
      </c>
      <c r="F61" s="37"/>
      <c r="G61" s="76"/>
      <c r="H61" s="76"/>
      <c r="I61" s="76"/>
      <c r="J61" s="76"/>
      <c r="K61" s="76"/>
      <c r="L61" s="76"/>
      <c r="M61" s="76"/>
      <c r="N61" s="76"/>
      <c r="T61" s="45">
        <f>D$77</f>
        <v>1</v>
      </c>
      <c r="X61" s="358"/>
      <c r="Y61" s="187">
        <f>Y58*(Y$77*(1-Y$78))</f>
        <v>929.33333333333337</v>
      </c>
      <c r="Z61" s="188"/>
      <c r="AA61" s="191"/>
      <c r="AB61" s="193"/>
      <c r="AC61" s="193"/>
    </row>
    <row r="62" spans="1:29">
      <c r="A62" s="54" t="s">
        <v>133</v>
      </c>
      <c r="B62" s="34">
        <f>B61+B60+B55</f>
        <v>32800</v>
      </c>
      <c r="C62" s="58">
        <f>C61+C60+C55</f>
        <v>32.799999999999997</v>
      </c>
      <c r="D62" s="75">
        <f>D61+D60+D55</f>
        <v>1</v>
      </c>
      <c r="E62" s="49"/>
      <c r="F62" s="37"/>
      <c r="G62" s="76"/>
      <c r="H62" s="76"/>
      <c r="I62" s="76"/>
      <c r="J62" s="76"/>
      <c r="K62" s="76"/>
      <c r="L62" s="76"/>
      <c r="M62" s="76"/>
      <c r="N62" s="76"/>
      <c r="T62" s="45"/>
      <c r="X62" s="13"/>
      <c r="Y62" s="187">
        <f>Y60+Y55</f>
        <v>32800</v>
      </c>
      <c r="Z62" s="188">
        <f>Z60+Z55</f>
        <v>32.799999999999997</v>
      </c>
      <c r="AA62" s="191">
        <f>AA60+AA55</f>
        <v>1</v>
      </c>
      <c r="AB62" s="115"/>
      <c r="AC62" s="193"/>
    </row>
    <row r="63" spans="1:29">
      <c r="A63" s="54"/>
      <c r="B63" s="79"/>
      <c r="C63" s="91"/>
      <c r="D63" s="49"/>
      <c r="E63" s="49"/>
      <c r="F63" s="37"/>
      <c r="G63" s="76"/>
      <c r="H63" s="76"/>
      <c r="I63" s="76"/>
      <c r="J63" s="76"/>
      <c r="K63" s="76"/>
      <c r="L63" s="76"/>
      <c r="M63" s="76"/>
      <c r="N63" s="76"/>
      <c r="T63" s="45"/>
      <c r="X63" s="13"/>
      <c r="Y63" s="195"/>
      <c r="Z63" s="188"/>
      <c r="AA63" s="115"/>
      <c r="AB63" s="115"/>
      <c r="AC63" s="193"/>
    </row>
    <row r="64" spans="1:29" ht="15.6">
      <c r="A64" s="55" t="str">
        <f>DefaultData!C44</f>
        <v>Other Parameters</v>
      </c>
      <c r="B64" s="49"/>
      <c r="C64" s="37"/>
      <c r="D64" s="37"/>
      <c r="E64" s="37"/>
      <c r="F64" s="37"/>
      <c r="G64" s="76"/>
      <c r="H64" s="76"/>
      <c r="I64" s="76"/>
      <c r="J64" s="76"/>
      <c r="K64" s="76"/>
      <c r="L64" s="76"/>
      <c r="M64" s="76"/>
      <c r="N64" s="76"/>
      <c r="T64" s="45"/>
      <c r="X64" s="60"/>
      <c r="Y64" s="115"/>
      <c r="Z64" s="193"/>
      <c r="AA64" s="193"/>
      <c r="AB64" s="193"/>
      <c r="AC64" s="193"/>
    </row>
    <row r="65" spans="1:29">
      <c r="A65" s="53" t="str">
        <f>DefaultData!C45</f>
        <v>Financial Parameters</v>
      </c>
      <c r="B65" s="49"/>
      <c r="C65" s="37"/>
      <c r="D65" s="32" t="s">
        <v>136</v>
      </c>
      <c r="E65" s="37"/>
      <c r="F65" s="37"/>
      <c r="G65" s="76"/>
      <c r="H65" s="76"/>
      <c r="I65" s="76"/>
      <c r="J65" s="76"/>
      <c r="K65" s="76"/>
      <c r="L65" s="76"/>
      <c r="M65" s="76"/>
      <c r="N65" s="76"/>
      <c r="T65" s="45"/>
      <c r="X65" s="1"/>
      <c r="Y65" s="115"/>
      <c r="Z65" s="193"/>
      <c r="AA65" s="42"/>
      <c r="AB65" s="193"/>
      <c r="AC65" s="193"/>
    </row>
    <row r="66" spans="1:29">
      <c r="A66" s="53" t="str">
        <f>DefaultData!C46</f>
        <v>Debt Financing</v>
      </c>
      <c r="B66" s="49"/>
      <c r="C66" s="37"/>
      <c r="D66" s="32"/>
      <c r="E66" s="37"/>
      <c r="F66" s="37"/>
      <c r="G66" s="76"/>
      <c r="H66" s="76"/>
      <c r="I66" s="76"/>
      <c r="J66" s="76"/>
      <c r="K66" s="76"/>
      <c r="L66" s="76"/>
      <c r="M66" s="76"/>
      <c r="N66" s="76"/>
      <c r="T66" s="45"/>
      <c r="X66" s="1"/>
      <c r="Y66" s="115"/>
      <c r="Z66" s="193"/>
      <c r="AA66" s="42"/>
      <c r="AB66" s="193"/>
      <c r="AC66" s="193"/>
    </row>
    <row r="67" spans="1:29">
      <c r="A67" s="144" t="str">
        <f>DefaultData!C47</f>
        <v xml:space="preserve">  Percentage financed</v>
      </c>
      <c r="B67" s="189">
        <f>DefaultData!$D47</f>
        <v>0.8</v>
      </c>
      <c r="C67" s="159"/>
      <c r="D67" s="45">
        <f>DefaultData!$F47</f>
        <v>0</v>
      </c>
      <c r="E67" s="37"/>
      <c r="F67" s="37"/>
      <c r="G67" s="76"/>
      <c r="H67" s="76"/>
      <c r="I67" s="76"/>
      <c r="J67" s="76"/>
      <c r="K67" s="76"/>
      <c r="L67" s="76"/>
      <c r="M67" s="76"/>
      <c r="N67" s="76"/>
      <c r="T67" s="45"/>
      <c r="X67" s="290"/>
      <c r="Y67" s="189">
        <f>DefaultData!$D47</f>
        <v>0.8</v>
      </c>
      <c r="Z67" s="193"/>
      <c r="AA67" s="45">
        <f>DefaultData!$F47</f>
        <v>0</v>
      </c>
      <c r="AB67" s="193"/>
      <c r="AC67" s="193"/>
    </row>
    <row r="68" spans="1:29">
      <c r="A68" s="144" t="str">
        <f>DefaultData!C48</f>
        <v xml:space="preserve">  Years financed (term)</v>
      </c>
      <c r="B68" s="190">
        <f>DefaultData!$D48</f>
        <v>10</v>
      </c>
      <c r="C68" s="159"/>
      <c r="D68" s="160"/>
      <c r="E68" s="37"/>
      <c r="F68" s="37"/>
      <c r="G68" s="76"/>
      <c r="H68" s="76"/>
      <c r="I68" s="76"/>
      <c r="J68" s="76"/>
      <c r="K68" s="76"/>
      <c r="L68" s="76"/>
      <c r="M68" s="76"/>
      <c r="N68" s="76"/>
      <c r="T68" s="45"/>
      <c r="X68" s="290"/>
      <c r="Y68" s="190">
        <f>DefaultData!$D48</f>
        <v>10</v>
      </c>
      <c r="Z68" s="193"/>
      <c r="AA68" s="46"/>
      <c r="AB68" s="193"/>
      <c r="AC68" s="193"/>
    </row>
    <row r="69" spans="1:29">
      <c r="A69" s="144" t="str">
        <f>DefaultData!C49</f>
        <v xml:space="preserve">  Interest rate</v>
      </c>
      <c r="B69" s="189">
        <f>DefaultData!$D49</f>
        <v>0.1</v>
      </c>
      <c r="C69" s="159"/>
      <c r="D69" s="160"/>
      <c r="E69" s="37"/>
      <c r="F69" s="37"/>
      <c r="G69" s="76"/>
      <c r="H69" s="76"/>
      <c r="I69" s="76"/>
      <c r="J69" s="76"/>
      <c r="K69" s="76"/>
      <c r="L69" s="76"/>
      <c r="M69" s="76"/>
      <c r="N69" s="76"/>
      <c r="X69" s="290"/>
      <c r="Y69" s="189">
        <f>DefaultData!$D49</f>
        <v>0.1</v>
      </c>
      <c r="Z69" s="193"/>
      <c r="AA69" s="46"/>
      <c r="AB69" s="193"/>
      <c r="AC69" s="193"/>
    </row>
    <row r="70" spans="1:29">
      <c r="A70" s="53" t="str">
        <f>DefaultData!C51</f>
        <v>Tax Parameters</v>
      </c>
      <c r="B70" s="159"/>
      <c r="C70" s="159"/>
      <c r="D70" s="159"/>
      <c r="E70" s="37"/>
      <c r="F70" s="37"/>
      <c r="G70" s="77"/>
      <c r="H70" s="76"/>
      <c r="I70" s="76"/>
      <c r="J70" s="76"/>
      <c r="K70" s="76"/>
      <c r="L70" s="76"/>
      <c r="M70" s="76"/>
      <c r="N70" s="76"/>
      <c r="T70" s="45"/>
      <c r="X70" s="1"/>
      <c r="Y70" s="193"/>
      <c r="Z70" s="193"/>
      <c r="AA70" s="193"/>
      <c r="AB70" s="193"/>
      <c r="AC70" s="193"/>
    </row>
    <row r="71" spans="1:29">
      <c r="A71" s="38" t="str">
        <f>DefaultData!C52</f>
        <v xml:space="preserve">  Local Property Tax (percent of taxable value)</v>
      </c>
      <c r="B71" s="189">
        <f>DefaultData!$D52</f>
        <v>0</v>
      </c>
      <c r="C71" s="159"/>
      <c r="D71" s="160"/>
      <c r="E71" s="37"/>
      <c r="F71" s="37"/>
      <c r="G71" s="76"/>
      <c r="H71" s="76"/>
      <c r="I71" s="76"/>
      <c r="J71" s="76"/>
      <c r="K71" s="76"/>
      <c r="L71" s="76"/>
      <c r="M71" s="76"/>
      <c r="N71" s="76"/>
      <c r="T71" s="45"/>
      <c r="X71" s="19"/>
      <c r="Y71" s="189">
        <f>DefaultData!$D52</f>
        <v>0</v>
      </c>
      <c r="Z71" s="193"/>
      <c r="AA71" s="46"/>
      <c r="AB71" s="193"/>
      <c r="AC71" s="193"/>
    </row>
    <row r="72" spans="1:29">
      <c r="A72" s="38" t="str">
        <f>DefaultData!C53</f>
        <v xml:space="preserve">  Assessed Value (percent of construction cost)</v>
      </c>
      <c r="B72" s="189">
        <f>DefaultData!$D53</f>
        <v>0</v>
      </c>
      <c r="C72" s="159"/>
      <c r="D72" s="160"/>
      <c r="E72" s="37"/>
      <c r="F72" s="37"/>
      <c r="G72" s="78"/>
      <c r="H72" s="76"/>
      <c r="I72" s="76"/>
      <c r="J72" s="76"/>
      <c r="K72" s="76"/>
      <c r="L72" s="76"/>
      <c r="M72" s="76"/>
      <c r="N72" s="76"/>
      <c r="T72" s="45"/>
      <c r="X72" s="19"/>
      <c r="Y72" s="189">
        <f>DefaultData!$D53</f>
        <v>0</v>
      </c>
      <c r="Z72" s="193"/>
      <c r="AA72" s="46"/>
      <c r="AB72" s="193"/>
      <c r="AC72" s="193"/>
    </row>
    <row r="73" spans="1:29">
      <c r="A73" s="38" t="str">
        <f>DefaultData!C54</f>
        <v xml:space="preserve">  Taxable Value (percent of assessed value)</v>
      </c>
      <c r="B73" s="189">
        <f>DefaultData!$D54</f>
        <v>0</v>
      </c>
      <c r="C73" s="159"/>
      <c r="D73" s="160"/>
      <c r="E73" s="37"/>
      <c r="F73" s="37"/>
      <c r="G73" s="78"/>
      <c r="H73" s="76"/>
      <c r="I73" s="76"/>
      <c r="J73" s="76"/>
      <c r="K73" s="76"/>
      <c r="L73" s="76"/>
      <c r="M73" s="76"/>
      <c r="N73" s="76"/>
      <c r="T73" s="45"/>
      <c r="X73" s="19"/>
      <c r="Y73" s="189">
        <f>DefaultData!$D54</f>
        <v>0</v>
      </c>
      <c r="Z73" s="193"/>
      <c r="AA73" s="46"/>
      <c r="AB73" s="193"/>
      <c r="AC73" s="193"/>
    </row>
    <row r="74" spans="1:29">
      <c r="A74" s="38" t="str">
        <f>DefaultData!C55</f>
        <v xml:space="preserve">  Taxable Value</v>
      </c>
      <c r="B74" s="187">
        <f>+B73*B72*B47</f>
        <v>0</v>
      </c>
      <c r="C74" s="159"/>
      <c r="D74" s="160"/>
      <c r="E74" s="37"/>
      <c r="F74" s="37"/>
      <c r="G74" s="78"/>
      <c r="H74" s="76"/>
      <c r="I74" s="76"/>
      <c r="J74" s="76"/>
      <c r="K74" s="76"/>
      <c r="L74" s="76"/>
      <c r="M74" s="76"/>
      <c r="N74" s="76"/>
      <c r="T74" s="45"/>
      <c r="X74" s="19"/>
      <c r="Y74" s="187">
        <f>+Y73*Y72*Y47</f>
        <v>0</v>
      </c>
      <c r="Z74" s="193"/>
      <c r="AA74" s="46"/>
      <c r="AB74" s="193"/>
      <c r="AC74" s="193"/>
    </row>
    <row r="75" spans="1:29">
      <c r="A75" s="62" t="s">
        <v>137</v>
      </c>
      <c r="B75" s="189">
        <f>DefaultData!$D56</f>
        <v>1</v>
      </c>
      <c r="C75" s="159"/>
      <c r="D75" s="160"/>
      <c r="E75" s="37"/>
      <c r="F75" s="37"/>
      <c r="G75" s="78"/>
      <c r="H75" s="76"/>
      <c r="I75" s="76"/>
      <c r="J75" s="76"/>
      <c r="K75" s="76"/>
      <c r="L75" s="76"/>
      <c r="M75" s="76"/>
      <c r="N75" s="76"/>
      <c r="T75" s="45"/>
      <c r="X75" s="19"/>
      <c r="Y75" s="189">
        <f>DefaultData!$D56</f>
        <v>1</v>
      </c>
      <c r="Z75" s="193"/>
      <c r="AA75" s="46"/>
      <c r="AB75" s="193"/>
      <c r="AC75" s="193"/>
    </row>
    <row r="76" spans="1:29">
      <c r="A76" s="62" t="s">
        <v>138</v>
      </c>
      <c r="B76" s="187">
        <f>B74*B71*(1-B75)</f>
        <v>0</v>
      </c>
      <c r="C76" s="159"/>
      <c r="D76" s="45">
        <f>DefaultData!$F57</f>
        <v>1</v>
      </c>
      <c r="E76" s="37"/>
      <c r="F76" s="37"/>
      <c r="G76" s="78"/>
      <c r="H76" s="76"/>
      <c r="I76" s="76"/>
      <c r="J76" s="76"/>
      <c r="K76" s="76"/>
      <c r="L76" s="76"/>
      <c r="M76" s="76"/>
      <c r="N76" s="76"/>
      <c r="T76" s="45"/>
      <c r="X76" s="19"/>
      <c r="Y76" s="187">
        <f>Y74*Y71*(1-Y75)</f>
        <v>0</v>
      </c>
      <c r="Z76" s="193"/>
      <c r="AA76" s="45">
        <f>DefaultData!$F57</f>
        <v>1</v>
      </c>
      <c r="AB76" s="193"/>
      <c r="AC76" s="193"/>
    </row>
    <row r="77" spans="1:29">
      <c r="A77" s="202" t="s">
        <v>139</v>
      </c>
      <c r="B77" s="203">
        <f>DefaultData!$D58</f>
        <v>6.25E-2</v>
      </c>
      <c r="C77" s="49"/>
      <c r="D77" s="45">
        <f>DefaultData!$F58</f>
        <v>1</v>
      </c>
      <c r="E77" s="37"/>
      <c r="F77" s="37"/>
      <c r="G77" s="78"/>
      <c r="H77" s="76"/>
      <c r="I77" s="76"/>
      <c r="J77" s="76"/>
      <c r="K77" s="76"/>
      <c r="L77" s="76"/>
      <c r="M77" s="76"/>
      <c r="N77" s="76"/>
      <c r="T77" s="45"/>
      <c r="X77" s="19"/>
      <c r="Y77" s="203">
        <f>DefaultData!$D58</f>
        <v>6.25E-2</v>
      </c>
      <c r="AA77" s="45">
        <f>DefaultData!$F58</f>
        <v>1</v>
      </c>
      <c r="AB77" s="4"/>
      <c r="AC77" s="4"/>
    </row>
    <row r="78" spans="1:29">
      <c r="A78" s="202" t="s">
        <v>140</v>
      </c>
      <c r="B78" s="189">
        <f>DefaultData!$D59</f>
        <v>0</v>
      </c>
      <c r="C78" s="49"/>
      <c r="D78" s="81"/>
      <c r="E78" s="37"/>
      <c r="F78" s="37"/>
      <c r="G78" s="78"/>
      <c r="H78" s="76"/>
      <c r="I78" s="76"/>
      <c r="J78" s="76"/>
      <c r="K78" s="76"/>
      <c r="L78" s="76"/>
      <c r="M78" s="76"/>
      <c r="N78" s="76"/>
      <c r="T78" s="45"/>
      <c r="X78" s="19"/>
      <c r="Y78" s="189">
        <f>DefaultData!$D59</f>
        <v>0</v>
      </c>
      <c r="AA78" s="45"/>
      <c r="AB78" s="4"/>
      <c r="AC78" s="4"/>
    </row>
    <row r="79" spans="1:29">
      <c r="A79" s="217" t="s">
        <v>141</v>
      </c>
      <c r="B79" s="49"/>
      <c r="C79" s="49"/>
      <c r="D79" s="81"/>
      <c r="E79" s="37"/>
      <c r="F79" s="37"/>
      <c r="G79" s="78"/>
      <c r="H79" s="76"/>
      <c r="I79" s="76"/>
      <c r="J79" s="76"/>
      <c r="K79" s="76"/>
      <c r="L79" s="76"/>
      <c r="M79" s="76"/>
      <c r="N79" s="76"/>
      <c r="T79" s="45"/>
      <c r="AA79" s="11"/>
    </row>
    <row r="80" spans="1:29">
      <c r="A80" s="217" t="s">
        <v>142</v>
      </c>
      <c r="B80" s="218" t="s">
        <v>143</v>
      </c>
      <c r="C80" s="49"/>
      <c r="D80" s="228" t="s">
        <v>144</v>
      </c>
      <c r="E80" s="37"/>
      <c r="F80" s="37"/>
      <c r="G80" s="78"/>
      <c r="H80" s="76"/>
      <c r="I80" s="76"/>
      <c r="J80" s="76"/>
      <c r="K80" s="76"/>
      <c r="L80" s="76"/>
      <c r="M80" s="76"/>
      <c r="N80" s="76"/>
      <c r="O80" s="72"/>
      <c r="T80" s="45"/>
      <c r="AA80" s="11"/>
    </row>
    <row r="81" spans="1:27">
      <c r="A81" s="261" t="s">
        <v>145</v>
      </c>
      <c r="B81" s="188">
        <f>Calculations!$E27</f>
        <v>20.010433545334923</v>
      </c>
      <c r="C81" s="37"/>
      <c r="D81" s="191">
        <f>Calculations!$K24</f>
        <v>0.45569999999999999</v>
      </c>
      <c r="E81" s="37"/>
      <c r="F81" s="37"/>
      <c r="G81" s="78"/>
      <c r="H81" s="76"/>
      <c r="I81" s="76"/>
      <c r="J81" s="76"/>
      <c r="K81" s="76"/>
      <c r="L81" s="76"/>
      <c r="M81" s="80"/>
      <c r="N81" s="76"/>
      <c r="T81" s="45"/>
      <c r="Y81" s="188">
        <f>Calculations!$E27</f>
        <v>20.010433545334923</v>
      </c>
      <c r="Z81" s="4"/>
      <c r="AA81" s="191">
        <f>Calculations!$K24</f>
        <v>0.45569999999999999</v>
      </c>
    </row>
    <row r="82" spans="1:27">
      <c r="A82" s="217" t="s">
        <v>146</v>
      </c>
      <c r="B82" s="218" t="s">
        <v>143</v>
      </c>
      <c r="C82" s="37"/>
      <c r="D82" s="228" t="s">
        <v>144</v>
      </c>
      <c r="E82" s="37"/>
      <c r="F82" s="37"/>
      <c r="G82" s="78"/>
      <c r="H82" s="76"/>
      <c r="I82" s="76"/>
      <c r="J82" s="76"/>
      <c r="K82" s="76"/>
      <c r="L82" s="76"/>
      <c r="M82" s="80"/>
      <c r="N82" s="76"/>
      <c r="T82" s="45"/>
      <c r="Y82" s="133"/>
      <c r="Z82" s="4"/>
      <c r="AA82" s="4"/>
    </row>
    <row r="83" spans="1:27">
      <c r="A83" s="49" t="s">
        <v>147</v>
      </c>
      <c r="B83" s="188">
        <f>Calculations!$E29</f>
        <v>20.010433545334923</v>
      </c>
      <c r="C83" s="49"/>
      <c r="D83" s="191">
        <f>Calculations!$K24</f>
        <v>0.45569999999999999</v>
      </c>
      <c r="E83" s="49"/>
      <c r="F83" s="37"/>
      <c r="G83" s="78"/>
      <c r="H83" s="76"/>
      <c r="I83" s="76"/>
      <c r="J83" s="76"/>
      <c r="K83" s="76"/>
      <c r="L83" s="76"/>
      <c r="M83" s="80"/>
      <c r="N83" s="76"/>
      <c r="Y83" s="188">
        <f>Calculations!$E29</f>
        <v>20.010433545334923</v>
      </c>
      <c r="AA83" s="191">
        <f>Calculations!$K24</f>
        <v>0.45569999999999999</v>
      </c>
    </row>
    <row r="84" spans="1:27">
      <c r="A84" s="49"/>
      <c r="B84" s="49"/>
      <c r="C84" s="49"/>
      <c r="D84" s="49"/>
      <c r="E84" s="49"/>
      <c r="F84" s="37"/>
      <c r="G84" s="78"/>
      <c r="H84" s="76"/>
      <c r="I84" s="76"/>
      <c r="J84" s="76"/>
      <c r="K84" s="76"/>
      <c r="L84" s="76"/>
      <c r="M84" s="76"/>
      <c r="N84" s="76"/>
      <c r="Y84" s="203"/>
    </row>
    <row r="85" spans="1:27">
      <c r="A85" s="49"/>
      <c r="B85" s="49"/>
      <c r="C85" s="49"/>
      <c r="D85" s="49"/>
      <c r="E85" s="49"/>
      <c r="F85" s="37"/>
      <c r="G85" s="78"/>
      <c r="H85" s="76"/>
      <c r="I85" s="76"/>
      <c r="J85" s="76"/>
      <c r="K85" s="76"/>
      <c r="L85" s="76"/>
      <c r="M85" s="76"/>
      <c r="N85" s="76"/>
      <c r="Y85" s="203"/>
    </row>
    <row r="86" spans="1:27">
      <c r="A86" s="49"/>
      <c r="B86" s="49"/>
      <c r="C86" s="49"/>
      <c r="D86" s="49"/>
      <c r="E86" s="49"/>
      <c r="F86" s="37"/>
      <c r="G86" s="78"/>
      <c r="H86" s="76"/>
      <c r="I86" s="76"/>
      <c r="J86" s="76"/>
      <c r="K86" s="76"/>
      <c r="L86" s="76"/>
      <c r="M86" s="76"/>
      <c r="N86" s="76"/>
    </row>
    <row r="87" spans="1:27">
      <c r="A87" s="49"/>
      <c r="B87" s="49"/>
      <c r="C87" s="49"/>
      <c r="D87" s="49"/>
      <c r="E87" s="49"/>
      <c r="F87" s="49"/>
      <c r="G87" s="78"/>
      <c r="H87" s="76"/>
      <c r="I87" s="76"/>
      <c r="J87" s="76"/>
      <c r="K87" s="76"/>
      <c r="L87" s="76"/>
      <c r="M87" s="76"/>
      <c r="N87" s="76"/>
    </row>
    <row r="88" spans="1:27">
      <c r="A88" s="49"/>
      <c r="B88" s="49"/>
      <c r="C88" s="49"/>
      <c r="D88" s="49"/>
      <c r="E88" s="49"/>
      <c r="F88" s="49"/>
      <c r="G88" s="78"/>
      <c r="H88" s="76"/>
      <c r="I88" s="76"/>
      <c r="J88" s="76"/>
      <c r="K88" s="76"/>
      <c r="L88" s="76"/>
      <c r="M88" s="76"/>
      <c r="N88" s="76"/>
    </row>
    <row r="89" spans="1:27">
      <c r="A89" s="49"/>
      <c r="B89" s="49"/>
      <c r="C89" s="49"/>
      <c r="D89" s="49"/>
      <c r="E89" s="49"/>
      <c r="F89" s="37"/>
      <c r="G89" s="78"/>
      <c r="H89" s="76"/>
      <c r="I89" s="76"/>
      <c r="J89" s="76"/>
      <c r="K89" s="76"/>
      <c r="L89" s="76"/>
      <c r="M89" s="76"/>
      <c r="N89" s="76"/>
    </row>
    <row r="90" spans="1:27">
      <c r="A90" s="49"/>
      <c r="B90" s="49"/>
      <c r="C90" s="49"/>
      <c r="D90" s="49"/>
      <c r="E90" s="49"/>
      <c r="F90" s="37"/>
      <c r="G90" s="78"/>
      <c r="H90" s="76"/>
      <c r="I90" s="76"/>
      <c r="J90" s="76"/>
      <c r="K90" s="76"/>
      <c r="L90" s="76"/>
      <c r="M90" s="76"/>
      <c r="N90" s="76"/>
    </row>
    <row r="91" spans="1:27">
      <c r="A91" s="49"/>
      <c r="B91" s="49"/>
      <c r="C91" s="49"/>
      <c r="D91" s="49"/>
      <c r="E91" s="49"/>
      <c r="F91" s="49"/>
      <c r="G91" s="78"/>
      <c r="H91" s="76"/>
      <c r="I91" s="76"/>
      <c r="J91" s="76"/>
      <c r="K91" s="76"/>
      <c r="L91" s="76"/>
      <c r="M91" s="76"/>
      <c r="N91" s="76"/>
    </row>
    <row r="92" spans="1:27">
      <c r="A92" s="49"/>
      <c r="B92" s="49"/>
      <c r="C92" s="49"/>
      <c r="D92" s="49"/>
      <c r="E92" s="49"/>
      <c r="F92" s="49"/>
      <c r="G92" s="78"/>
      <c r="H92" s="76"/>
      <c r="I92" s="76"/>
      <c r="J92" s="76"/>
      <c r="K92" s="76"/>
      <c r="L92" s="76"/>
      <c r="M92" s="76"/>
      <c r="N92" s="76"/>
    </row>
    <row r="93" spans="1:27">
      <c r="A93" s="49"/>
      <c r="B93" s="49"/>
      <c r="C93" s="49"/>
      <c r="D93" s="49"/>
      <c r="E93" s="49"/>
      <c r="F93" s="49"/>
      <c r="G93" s="78"/>
      <c r="H93" s="76"/>
      <c r="I93" s="76"/>
      <c r="J93" s="76"/>
      <c r="K93" s="76"/>
      <c r="L93" s="76"/>
      <c r="M93" s="76"/>
      <c r="N93" s="76"/>
    </row>
    <row r="94" spans="1:27">
      <c r="A94" s="49"/>
      <c r="B94" s="49"/>
      <c r="C94" s="49"/>
      <c r="D94" s="49"/>
      <c r="E94" s="49"/>
      <c r="F94" s="49"/>
      <c r="G94" s="78"/>
      <c r="H94" s="76"/>
      <c r="I94" s="76"/>
      <c r="J94" s="76"/>
      <c r="K94" s="76"/>
      <c r="L94" s="76"/>
      <c r="M94" s="76"/>
      <c r="N94" s="76"/>
    </row>
    <row r="95" spans="1:27">
      <c r="A95" s="37"/>
      <c r="B95" s="37"/>
      <c r="C95" s="37"/>
      <c r="D95" s="37"/>
      <c r="E95" s="37"/>
      <c r="F95" s="49"/>
      <c r="G95" s="78"/>
      <c r="H95" s="76"/>
      <c r="I95" s="76"/>
      <c r="J95" s="76"/>
      <c r="K95" s="76"/>
      <c r="L95" s="76"/>
      <c r="M95" s="76"/>
      <c r="N95" s="76"/>
    </row>
    <row r="96" spans="1:27">
      <c r="A96" s="37"/>
      <c r="B96" s="37"/>
      <c r="C96" s="37"/>
      <c r="D96" s="37"/>
      <c r="E96" s="37"/>
      <c r="F96" s="49"/>
      <c r="G96" s="78"/>
      <c r="H96" s="76"/>
      <c r="I96" s="76"/>
      <c r="J96" s="76"/>
      <c r="K96" s="76"/>
      <c r="L96" s="76"/>
      <c r="M96" s="76"/>
      <c r="N96" s="76"/>
    </row>
    <row r="97" spans="1:14">
      <c r="A97" s="49"/>
      <c r="B97" s="49"/>
      <c r="C97" s="49"/>
      <c r="D97" s="49"/>
      <c r="E97" s="49"/>
      <c r="F97" s="49"/>
      <c r="G97" s="78"/>
      <c r="H97" s="76"/>
      <c r="I97" s="76"/>
      <c r="J97" s="76"/>
      <c r="K97" s="76"/>
      <c r="L97" s="76"/>
      <c r="M97" s="76"/>
      <c r="N97" s="76"/>
    </row>
    <row r="98" spans="1:14">
      <c r="A98" s="49"/>
      <c r="B98" s="49"/>
      <c r="C98" s="49"/>
      <c r="D98" s="49"/>
      <c r="E98" s="49"/>
      <c r="F98" s="49"/>
      <c r="G98" s="78"/>
      <c r="H98" s="76"/>
      <c r="I98" s="76"/>
      <c r="J98" s="76"/>
      <c r="K98" s="76"/>
      <c r="L98" s="76"/>
      <c r="M98" s="76"/>
      <c r="N98" s="76"/>
    </row>
    <row r="99" spans="1:14">
      <c r="A99" s="49"/>
      <c r="B99" s="49"/>
      <c r="C99" s="49"/>
      <c r="D99" s="49"/>
      <c r="E99" s="49"/>
      <c r="F99" s="49"/>
      <c r="G99" s="78"/>
      <c r="H99" s="76"/>
      <c r="I99" s="76"/>
      <c r="J99" s="76"/>
      <c r="K99" s="76"/>
      <c r="L99" s="76"/>
      <c r="M99" s="76"/>
      <c r="N99" s="76"/>
    </row>
    <row r="100" spans="1:14">
      <c r="A100" s="49"/>
      <c r="B100" s="49"/>
      <c r="C100" s="49"/>
      <c r="D100" s="49"/>
      <c r="E100" s="49"/>
      <c r="F100" s="49"/>
      <c r="G100" s="78"/>
      <c r="H100" s="76"/>
      <c r="I100" s="76"/>
      <c r="J100" s="76"/>
      <c r="K100" s="76"/>
      <c r="L100" s="76"/>
      <c r="M100" s="76"/>
      <c r="N100" s="76"/>
    </row>
    <row r="101" spans="1:14">
      <c r="A101" s="49"/>
      <c r="B101" s="49"/>
      <c r="C101" s="49"/>
      <c r="D101" s="49"/>
      <c r="E101" s="49"/>
      <c r="F101" s="37"/>
      <c r="G101" s="78"/>
      <c r="H101" s="76"/>
      <c r="I101" s="76"/>
      <c r="J101" s="76"/>
      <c r="K101" s="76"/>
      <c r="L101" s="76"/>
      <c r="M101" s="76"/>
      <c r="N101" s="76"/>
    </row>
    <row r="102" spans="1:14">
      <c r="A102" s="49"/>
      <c r="B102" s="49"/>
      <c r="C102" s="49"/>
      <c r="D102" s="49"/>
      <c r="E102" s="49"/>
      <c r="F102" s="49"/>
      <c r="G102" s="78"/>
      <c r="H102" s="76"/>
      <c r="I102" s="76"/>
      <c r="J102" s="76"/>
      <c r="K102" s="76"/>
      <c r="L102" s="76"/>
      <c r="M102" s="76"/>
      <c r="N102" s="76"/>
    </row>
    <row r="103" spans="1:14">
      <c r="A103" s="37"/>
      <c r="B103" s="37"/>
      <c r="C103" s="37"/>
      <c r="D103" s="37"/>
      <c r="E103" s="37"/>
      <c r="F103" s="49"/>
      <c r="G103" s="78"/>
      <c r="H103" s="76"/>
      <c r="I103" s="76"/>
      <c r="J103" s="76"/>
      <c r="K103" s="76"/>
      <c r="L103" s="76"/>
      <c r="M103" s="76"/>
      <c r="N103" s="76"/>
    </row>
    <row r="104" spans="1:14">
      <c r="A104" s="37"/>
      <c r="B104" s="37"/>
      <c r="C104" s="37"/>
      <c r="D104" s="37"/>
      <c r="E104" s="37"/>
      <c r="F104" s="37"/>
      <c r="G104" s="78"/>
      <c r="H104" s="76"/>
      <c r="I104" s="76"/>
      <c r="J104" s="76"/>
      <c r="K104" s="76"/>
      <c r="L104" s="76"/>
      <c r="M104" s="76"/>
      <c r="N104" s="76"/>
    </row>
    <row r="105" spans="1:14">
      <c r="A105" s="37"/>
      <c r="B105" s="37"/>
      <c r="C105" s="37"/>
      <c r="D105" s="37"/>
      <c r="E105" s="37"/>
      <c r="F105" s="37"/>
      <c r="G105" s="78"/>
      <c r="H105" s="76"/>
      <c r="I105" s="76"/>
      <c r="J105" s="76"/>
      <c r="K105" s="76"/>
      <c r="L105" s="76"/>
      <c r="M105" s="76"/>
      <c r="N105" s="76"/>
    </row>
    <row r="106" spans="1:14">
      <c r="A106" s="37"/>
      <c r="B106" s="37"/>
      <c r="C106" s="37"/>
      <c r="D106" s="37"/>
      <c r="E106" s="37"/>
      <c r="F106" s="37"/>
      <c r="G106" s="78"/>
      <c r="H106" s="76"/>
      <c r="I106" s="76"/>
      <c r="J106" s="76"/>
      <c r="K106" s="76"/>
      <c r="L106" s="76"/>
      <c r="M106" s="76"/>
      <c r="N106" s="76"/>
    </row>
    <row r="107" spans="1:14">
      <c r="A107" s="37"/>
      <c r="B107" s="37"/>
      <c r="C107" s="37"/>
      <c r="D107" s="37"/>
      <c r="E107" s="37"/>
      <c r="F107" s="37"/>
      <c r="G107" s="78"/>
      <c r="H107" s="76"/>
      <c r="I107" s="76"/>
      <c r="J107" s="76"/>
      <c r="K107" s="76"/>
      <c r="L107" s="76"/>
      <c r="M107" s="76"/>
      <c r="N107" s="76"/>
    </row>
    <row r="108" spans="1:14">
      <c r="A108" s="37"/>
      <c r="B108" s="37"/>
      <c r="C108" s="37"/>
      <c r="D108" s="37"/>
      <c r="E108" s="37"/>
      <c r="F108" s="37"/>
      <c r="G108" s="78"/>
      <c r="H108" s="76"/>
      <c r="I108" s="76"/>
      <c r="J108" s="76"/>
      <c r="K108" s="76"/>
      <c r="L108" s="76"/>
      <c r="M108" s="76"/>
      <c r="N108" s="76"/>
    </row>
    <row r="109" spans="1:14">
      <c r="A109" s="37"/>
      <c r="B109" s="37"/>
      <c r="C109" s="37"/>
      <c r="D109" s="37"/>
      <c r="E109" s="37"/>
      <c r="F109" s="37"/>
      <c r="G109" s="78"/>
      <c r="H109" s="76"/>
      <c r="I109" s="76"/>
      <c r="J109" s="76"/>
      <c r="K109" s="76"/>
      <c r="L109" s="76"/>
      <c r="M109" s="76"/>
      <c r="N109" s="76"/>
    </row>
    <row r="110" spans="1:14">
      <c r="A110" s="37"/>
      <c r="B110" s="37"/>
      <c r="C110" s="37"/>
      <c r="D110" s="37"/>
      <c r="E110" s="37"/>
      <c r="F110" s="37"/>
      <c r="G110" s="78"/>
      <c r="H110" s="76"/>
      <c r="I110" s="76"/>
      <c r="J110" s="76"/>
      <c r="K110" s="76"/>
      <c r="L110" s="76"/>
      <c r="M110" s="76"/>
      <c r="N110" s="76"/>
    </row>
    <row r="111" spans="1:14">
      <c r="A111" s="37"/>
      <c r="B111" s="37"/>
      <c r="C111" s="37"/>
      <c r="D111" s="37"/>
      <c r="E111" s="37"/>
      <c r="F111" s="37"/>
      <c r="G111" s="78"/>
      <c r="H111" s="76"/>
      <c r="I111" s="76"/>
      <c r="J111" s="76"/>
      <c r="K111" s="76"/>
      <c r="L111" s="76"/>
      <c r="M111" s="76"/>
      <c r="N111" s="76"/>
    </row>
    <row r="112" spans="1:14">
      <c r="A112" s="37"/>
      <c r="B112" s="37"/>
      <c r="C112" s="37"/>
      <c r="D112" s="37"/>
      <c r="E112" s="37"/>
      <c r="F112" s="37"/>
      <c r="G112" s="78"/>
      <c r="H112" s="76"/>
      <c r="I112" s="76"/>
      <c r="J112" s="76"/>
      <c r="K112" s="76"/>
      <c r="L112" s="76"/>
      <c r="M112" s="76"/>
      <c r="N112" s="76"/>
    </row>
    <row r="113" spans="1:14">
      <c r="A113" s="37"/>
      <c r="B113" s="37"/>
      <c r="C113" s="37"/>
      <c r="D113" s="37"/>
      <c r="E113" s="37"/>
      <c r="F113" s="37"/>
      <c r="G113" s="78"/>
      <c r="H113" s="76"/>
      <c r="I113" s="76"/>
      <c r="J113" s="76"/>
      <c r="K113" s="76"/>
      <c r="L113" s="76"/>
      <c r="M113" s="76"/>
      <c r="N113" s="76"/>
    </row>
    <row r="114" spans="1:14">
      <c r="A114" s="37"/>
      <c r="B114" s="37"/>
      <c r="C114" s="37"/>
      <c r="D114" s="37"/>
      <c r="E114" s="37"/>
      <c r="F114" s="37"/>
      <c r="G114" s="78"/>
      <c r="H114" s="76"/>
      <c r="I114" s="76"/>
      <c r="J114" s="76"/>
      <c r="K114" s="76"/>
      <c r="L114" s="76"/>
      <c r="M114" s="76"/>
      <c r="N114" s="76"/>
    </row>
    <row r="115" spans="1:14">
      <c r="A115" s="37"/>
      <c r="B115" s="37"/>
      <c r="C115" s="37"/>
      <c r="D115" s="37"/>
      <c r="E115" s="37"/>
      <c r="F115" s="37"/>
      <c r="G115" s="78"/>
      <c r="H115" s="76"/>
      <c r="I115" s="76"/>
      <c r="J115" s="76"/>
      <c r="K115" s="76"/>
      <c r="L115" s="76"/>
      <c r="M115" s="76"/>
      <c r="N115" s="76"/>
    </row>
    <row r="116" spans="1:14">
      <c r="A116" s="37"/>
      <c r="B116" s="37"/>
      <c r="C116" s="37"/>
      <c r="D116" s="37"/>
      <c r="E116" s="37"/>
      <c r="F116" s="37"/>
      <c r="G116" s="78"/>
      <c r="H116" s="76"/>
      <c r="I116" s="76"/>
      <c r="J116" s="76"/>
      <c r="K116" s="76"/>
      <c r="L116" s="76"/>
      <c r="M116" s="76"/>
      <c r="N116" s="76"/>
    </row>
    <row r="117" spans="1:14">
      <c r="A117" s="37"/>
      <c r="B117" s="37"/>
      <c r="C117" s="37"/>
      <c r="D117" s="37"/>
      <c r="E117" s="37"/>
      <c r="F117" s="37"/>
      <c r="G117" s="78"/>
      <c r="H117" s="76"/>
      <c r="I117" s="76"/>
      <c r="J117" s="76"/>
      <c r="K117" s="76"/>
      <c r="L117" s="76"/>
      <c r="M117" s="76"/>
      <c r="N117" s="76"/>
    </row>
    <row r="118" spans="1:14">
      <c r="A118" s="37"/>
      <c r="B118" s="37"/>
      <c r="C118" s="37"/>
      <c r="D118" s="37"/>
      <c r="E118" s="37"/>
      <c r="F118" s="37"/>
      <c r="G118" s="78"/>
      <c r="H118" s="76"/>
      <c r="I118" s="76"/>
      <c r="J118" s="76"/>
      <c r="K118" s="76"/>
      <c r="L118" s="76"/>
      <c r="M118" s="76"/>
      <c r="N118" s="76"/>
    </row>
    <row r="119" spans="1:14">
      <c r="A119" s="37"/>
      <c r="B119" s="37"/>
      <c r="C119" s="37"/>
      <c r="D119" s="37"/>
      <c r="E119" s="37"/>
      <c r="F119" s="37"/>
      <c r="G119" s="78"/>
      <c r="H119" s="76"/>
      <c r="I119" s="76"/>
      <c r="J119" s="76"/>
      <c r="K119" s="76"/>
      <c r="L119" s="76"/>
      <c r="M119" s="76"/>
      <c r="N119" s="76"/>
    </row>
    <row r="120" spans="1:14">
      <c r="A120" s="37"/>
      <c r="B120" s="37"/>
      <c r="C120" s="37"/>
      <c r="D120" s="37"/>
      <c r="E120" s="37"/>
      <c r="F120" s="37"/>
      <c r="G120" s="78"/>
      <c r="H120" s="76"/>
      <c r="I120" s="76"/>
      <c r="J120" s="76"/>
      <c r="K120" s="76"/>
      <c r="L120" s="76"/>
      <c r="M120" s="76"/>
      <c r="N120" s="76"/>
    </row>
    <row r="121" spans="1:14">
      <c r="A121" s="37"/>
      <c r="B121" s="37"/>
      <c r="C121" s="37"/>
      <c r="D121" s="37"/>
      <c r="E121" s="37"/>
      <c r="F121" s="37"/>
      <c r="G121" s="78"/>
      <c r="H121" s="76"/>
      <c r="I121" s="76"/>
      <c r="J121" s="76"/>
      <c r="K121" s="76"/>
      <c r="L121" s="76"/>
      <c r="M121" s="76"/>
      <c r="N121" s="76"/>
    </row>
    <row r="122" spans="1:14">
      <c r="A122" s="37"/>
      <c r="B122" s="37"/>
      <c r="C122" s="37"/>
      <c r="D122" s="37"/>
      <c r="E122" s="37"/>
      <c r="F122" s="37"/>
      <c r="G122" s="78"/>
      <c r="H122" s="76"/>
      <c r="I122" s="76"/>
      <c r="J122" s="76"/>
      <c r="K122" s="76"/>
      <c r="L122" s="76"/>
      <c r="M122" s="76"/>
      <c r="N122" s="76"/>
    </row>
    <row r="123" spans="1:14">
      <c r="A123" s="37"/>
      <c r="B123" s="37"/>
      <c r="C123" s="37"/>
      <c r="D123" s="37"/>
      <c r="E123" s="37"/>
      <c r="F123" s="37"/>
      <c r="G123" s="76"/>
      <c r="H123" s="76"/>
      <c r="I123" s="76"/>
      <c r="J123" s="76"/>
      <c r="K123" s="76"/>
      <c r="L123" s="76"/>
      <c r="M123" s="76"/>
      <c r="N123" s="76"/>
    </row>
    <row r="124" spans="1:14">
      <c r="A124" s="37"/>
      <c r="B124" s="37"/>
      <c r="C124" s="37"/>
      <c r="D124" s="37"/>
      <c r="E124" s="37"/>
      <c r="F124" s="37"/>
      <c r="G124" s="76"/>
      <c r="H124" s="76"/>
      <c r="I124" s="76"/>
      <c r="J124" s="76"/>
      <c r="K124" s="76"/>
      <c r="L124" s="76"/>
      <c r="M124" s="76"/>
      <c r="N124" s="76"/>
    </row>
    <row r="125" spans="1:14">
      <c r="A125" s="37"/>
      <c r="B125" s="37"/>
      <c r="C125" s="37"/>
      <c r="D125" s="37"/>
      <c r="E125" s="37"/>
      <c r="F125" s="37"/>
      <c r="G125" s="76"/>
      <c r="H125" s="76"/>
      <c r="I125" s="76"/>
      <c r="J125" s="76"/>
      <c r="K125" s="76"/>
      <c r="L125" s="76"/>
      <c r="M125" s="76"/>
      <c r="N125" s="76"/>
    </row>
    <row r="126" spans="1:14">
      <c r="A126" s="37"/>
      <c r="B126" s="37"/>
      <c r="C126" s="37"/>
      <c r="D126" s="37"/>
      <c r="E126" s="37"/>
      <c r="F126" s="37"/>
      <c r="G126" s="76"/>
      <c r="H126" s="76"/>
      <c r="I126" s="76"/>
      <c r="J126" s="76"/>
      <c r="K126" s="76"/>
      <c r="L126" s="76"/>
      <c r="M126" s="76"/>
      <c r="N126" s="76"/>
    </row>
    <row r="127" spans="1:14">
      <c r="A127" s="37"/>
      <c r="B127" s="37"/>
      <c r="C127" s="37"/>
      <c r="D127" s="37"/>
      <c r="E127" s="37"/>
      <c r="F127" s="37"/>
      <c r="G127" s="76"/>
      <c r="H127" s="76"/>
      <c r="I127" s="76"/>
      <c r="J127" s="76"/>
      <c r="K127" s="76"/>
      <c r="L127" s="76"/>
      <c r="M127" s="76"/>
      <c r="N127" s="76"/>
    </row>
    <row r="128" spans="1:14">
      <c r="A128" s="37"/>
      <c r="B128" s="37"/>
      <c r="C128" s="37"/>
      <c r="D128" s="37"/>
      <c r="E128" s="37"/>
      <c r="F128" s="37"/>
      <c r="G128" s="76"/>
      <c r="H128" s="76"/>
      <c r="I128" s="76"/>
      <c r="J128" s="76"/>
      <c r="K128" s="76"/>
      <c r="L128" s="76"/>
      <c r="M128" s="76"/>
      <c r="N128" s="76"/>
    </row>
    <row r="129" spans="1:14">
      <c r="A129" s="37"/>
      <c r="B129" s="37"/>
      <c r="C129" s="37"/>
      <c r="D129" s="37"/>
      <c r="E129" s="37"/>
      <c r="F129" s="37"/>
      <c r="G129" s="76"/>
      <c r="H129" s="76"/>
      <c r="I129" s="76"/>
      <c r="J129" s="76"/>
      <c r="K129" s="76"/>
      <c r="L129" s="76"/>
      <c r="M129" s="76"/>
      <c r="N129" s="76"/>
    </row>
    <row r="130" spans="1:14">
      <c r="A130" s="37"/>
      <c r="B130" s="37"/>
      <c r="C130" s="37"/>
      <c r="D130" s="37"/>
      <c r="E130" s="37"/>
      <c r="F130" s="37"/>
      <c r="G130" s="76"/>
      <c r="H130" s="76"/>
      <c r="I130" s="76"/>
      <c r="J130" s="76"/>
      <c r="K130" s="76"/>
      <c r="L130" s="76"/>
      <c r="M130" s="76"/>
      <c r="N130" s="76"/>
    </row>
    <row r="131" spans="1:14">
      <c r="A131" s="37"/>
      <c r="B131" s="37"/>
      <c r="C131" s="37"/>
      <c r="D131" s="37"/>
      <c r="E131" s="37"/>
      <c r="F131" s="37"/>
      <c r="G131" s="76"/>
      <c r="H131" s="76"/>
      <c r="I131" s="76"/>
      <c r="J131" s="76"/>
      <c r="K131" s="76"/>
      <c r="L131" s="76"/>
      <c r="M131" s="76"/>
      <c r="N131" s="76"/>
    </row>
    <row r="132" spans="1:14">
      <c r="A132" s="37"/>
      <c r="B132" s="37"/>
      <c r="C132" s="37"/>
      <c r="D132" s="37"/>
      <c r="E132" s="37"/>
      <c r="F132" s="37"/>
      <c r="G132" s="76"/>
      <c r="H132" s="76"/>
      <c r="I132" s="76"/>
      <c r="J132" s="76"/>
      <c r="K132" s="76"/>
      <c r="L132" s="76"/>
      <c r="M132" s="76"/>
      <c r="N132" s="76"/>
    </row>
    <row r="133" spans="1:14">
      <c r="A133" s="37"/>
      <c r="B133" s="37"/>
      <c r="C133" s="37"/>
      <c r="D133" s="37"/>
      <c r="E133" s="37"/>
      <c r="F133" s="37"/>
      <c r="G133" s="76"/>
      <c r="H133" s="76"/>
      <c r="I133" s="76"/>
      <c r="J133" s="76"/>
      <c r="K133" s="76"/>
      <c r="L133" s="76"/>
      <c r="M133" s="76"/>
      <c r="N133" s="76"/>
    </row>
    <row r="134" spans="1:14">
      <c r="A134" s="37"/>
      <c r="B134" s="37"/>
      <c r="C134" s="37"/>
      <c r="D134" s="37"/>
      <c r="E134" s="37"/>
      <c r="F134" s="37"/>
      <c r="G134" s="76"/>
      <c r="H134" s="76"/>
      <c r="I134" s="76"/>
      <c r="J134" s="76"/>
      <c r="K134" s="76"/>
      <c r="L134" s="76"/>
      <c r="M134" s="76"/>
      <c r="N134" s="76"/>
    </row>
    <row r="135" spans="1:14">
      <c r="A135" s="37"/>
      <c r="B135" s="37"/>
      <c r="C135" s="37"/>
      <c r="D135" s="37"/>
      <c r="E135" s="37"/>
      <c r="F135" s="37"/>
      <c r="G135" s="76"/>
      <c r="H135" s="76"/>
      <c r="I135" s="76"/>
      <c r="J135" s="76"/>
      <c r="K135" s="76"/>
      <c r="L135" s="76"/>
      <c r="M135" s="76"/>
      <c r="N135" s="76"/>
    </row>
    <row r="136" spans="1:14">
      <c r="A136" s="37"/>
      <c r="B136" s="37"/>
      <c r="C136" s="37"/>
      <c r="D136" s="37"/>
      <c r="E136" s="37"/>
      <c r="F136" s="37"/>
      <c r="G136" s="76"/>
      <c r="H136" s="76"/>
      <c r="I136" s="76"/>
      <c r="J136" s="76"/>
      <c r="K136" s="76"/>
      <c r="L136" s="76"/>
      <c r="M136" s="76"/>
      <c r="N136" s="76"/>
    </row>
    <row r="137" spans="1:14">
      <c r="A137" s="37"/>
      <c r="B137" s="37"/>
      <c r="C137" s="37"/>
      <c r="D137" s="37"/>
      <c r="E137" s="37"/>
      <c r="F137" s="37"/>
      <c r="G137" s="76"/>
      <c r="H137" s="76"/>
      <c r="I137" s="76"/>
      <c r="J137" s="76"/>
      <c r="K137" s="76"/>
      <c r="L137" s="76"/>
      <c r="M137" s="76"/>
      <c r="N137" s="76"/>
    </row>
    <row r="138" spans="1:14">
      <c r="A138" s="37"/>
      <c r="B138" s="37"/>
      <c r="C138" s="37"/>
      <c r="D138" s="37"/>
      <c r="E138" s="37"/>
      <c r="F138" s="37"/>
      <c r="G138" s="76"/>
      <c r="H138" s="76"/>
      <c r="I138" s="76"/>
      <c r="J138" s="76"/>
      <c r="K138" s="76"/>
      <c r="L138" s="76"/>
      <c r="M138" s="76"/>
      <c r="N138" s="76"/>
    </row>
    <row r="139" spans="1:14">
      <c r="A139" s="37"/>
      <c r="B139" s="37"/>
      <c r="C139" s="37"/>
      <c r="D139" s="37"/>
      <c r="E139" s="37"/>
      <c r="F139" s="37"/>
      <c r="G139" s="76"/>
      <c r="H139" s="76"/>
      <c r="I139" s="76"/>
      <c r="J139" s="76"/>
      <c r="K139" s="76"/>
      <c r="L139" s="76"/>
      <c r="M139" s="76"/>
      <c r="N139" s="76"/>
    </row>
    <row r="140" spans="1:14">
      <c r="A140" s="37"/>
      <c r="B140" s="37"/>
      <c r="C140" s="37"/>
      <c r="D140" s="37"/>
      <c r="E140" s="37"/>
      <c r="F140" s="37"/>
      <c r="G140" s="76"/>
      <c r="H140" s="76"/>
      <c r="I140" s="76"/>
      <c r="J140" s="76"/>
      <c r="K140" s="76"/>
      <c r="L140" s="76"/>
      <c r="M140" s="76"/>
      <c r="N140" s="76"/>
    </row>
    <row r="141" spans="1:14">
      <c r="A141" s="37"/>
      <c r="B141" s="37"/>
      <c r="C141" s="37"/>
      <c r="D141" s="37"/>
      <c r="E141" s="37"/>
      <c r="F141" s="37"/>
      <c r="G141" s="76"/>
      <c r="H141" s="76"/>
      <c r="I141" s="76"/>
      <c r="J141" s="76"/>
      <c r="K141" s="76"/>
      <c r="L141" s="76"/>
      <c r="M141" s="76"/>
      <c r="N141" s="76"/>
    </row>
    <row r="142" spans="1:14">
      <c r="A142" s="37"/>
      <c r="B142" s="37"/>
      <c r="C142" s="37"/>
      <c r="D142" s="37"/>
      <c r="E142" s="37"/>
      <c r="F142" s="37"/>
      <c r="G142" s="76"/>
      <c r="H142" s="76"/>
      <c r="I142" s="76"/>
      <c r="J142" s="76"/>
      <c r="K142" s="76"/>
      <c r="L142" s="76"/>
      <c r="M142" s="76"/>
      <c r="N142" s="76"/>
    </row>
    <row r="143" spans="1:14">
      <c r="A143" s="37"/>
      <c r="B143" s="37"/>
      <c r="C143" s="37"/>
      <c r="D143" s="37"/>
      <c r="E143" s="37"/>
      <c r="F143" s="37"/>
      <c r="G143" s="76"/>
      <c r="H143" s="76"/>
      <c r="I143" s="76"/>
      <c r="J143" s="76"/>
      <c r="K143" s="76"/>
      <c r="L143" s="76"/>
      <c r="M143" s="76"/>
      <c r="N143" s="76"/>
    </row>
    <row r="144" spans="1:14">
      <c r="A144" s="37"/>
      <c r="B144" s="37"/>
      <c r="C144" s="37"/>
      <c r="D144" s="37"/>
      <c r="E144" s="37"/>
      <c r="F144" s="37"/>
      <c r="G144" s="76"/>
      <c r="H144" s="76"/>
      <c r="I144" s="76"/>
      <c r="J144" s="76"/>
      <c r="K144" s="76"/>
      <c r="L144" s="76"/>
      <c r="M144" s="76"/>
      <c r="N144" s="76"/>
    </row>
    <row r="145" spans="1:14">
      <c r="A145" s="37"/>
      <c r="B145" s="37"/>
      <c r="C145" s="37"/>
      <c r="D145" s="37"/>
      <c r="E145" s="37"/>
      <c r="F145" s="49"/>
      <c r="G145" s="76"/>
      <c r="H145" s="76"/>
      <c r="I145" s="76"/>
      <c r="J145" s="76"/>
      <c r="K145" s="76"/>
      <c r="L145" s="76"/>
      <c r="M145" s="76"/>
      <c r="N145" s="76"/>
    </row>
    <row r="146" spans="1:14">
      <c r="A146" s="37"/>
      <c r="B146" s="37"/>
      <c r="C146" s="37"/>
      <c r="D146" s="37"/>
      <c r="E146" s="37"/>
      <c r="F146" s="49"/>
      <c r="G146" s="76"/>
      <c r="H146" s="76"/>
      <c r="I146" s="76"/>
      <c r="J146" s="76"/>
      <c r="K146" s="76"/>
      <c r="L146" s="76"/>
      <c r="M146" s="76"/>
      <c r="N146" s="76"/>
    </row>
    <row r="147" spans="1:14">
      <c r="A147" s="37"/>
      <c r="B147" s="37"/>
      <c r="C147" s="37"/>
      <c r="D147" s="37"/>
      <c r="E147" s="37"/>
      <c r="F147" s="49"/>
      <c r="G147" s="76"/>
      <c r="H147" s="76"/>
      <c r="I147" s="76"/>
      <c r="J147" s="76"/>
      <c r="K147" s="76"/>
      <c r="L147" s="76"/>
      <c r="M147" s="76"/>
      <c r="N147" s="76"/>
    </row>
    <row r="148" spans="1:14">
      <c r="A148" s="37"/>
      <c r="B148" s="37"/>
      <c r="C148" s="37"/>
      <c r="D148" s="37"/>
      <c r="E148" s="37"/>
      <c r="F148" s="49"/>
      <c r="G148" s="76"/>
      <c r="H148" s="76"/>
      <c r="I148" s="76"/>
      <c r="J148" s="76"/>
      <c r="K148" s="76"/>
      <c r="L148" s="76"/>
      <c r="M148" s="76"/>
      <c r="N148" s="76"/>
    </row>
    <row r="149" spans="1:14">
      <c r="A149" s="37"/>
      <c r="B149" s="37"/>
      <c r="C149" s="37"/>
      <c r="D149" s="37"/>
      <c r="E149" s="37"/>
      <c r="F149" s="49"/>
      <c r="G149" s="76"/>
      <c r="H149" s="76"/>
      <c r="I149" s="76"/>
      <c r="J149" s="76"/>
      <c r="K149" s="76"/>
      <c r="L149" s="76"/>
      <c r="M149" s="76"/>
      <c r="N149" s="76"/>
    </row>
    <row r="150" spans="1:14">
      <c r="A150" s="37"/>
      <c r="B150" s="37"/>
      <c r="C150" s="37"/>
      <c r="D150" s="37"/>
      <c r="E150" s="37"/>
      <c r="F150" s="37"/>
      <c r="G150" s="78"/>
      <c r="H150" s="76"/>
      <c r="I150" s="76"/>
      <c r="J150" s="76"/>
      <c r="K150" s="76"/>
      <c r="L150" s="76"/>
      <c r="M150" s="76"/>
      <c r="N150" s="76"/>
    </row>
    <row r="151" spans="1:14">
      <c r="A151" s="37"/>
      <c r="B151" s="37"/>
      <c r="C151" s="37"/>
      <c r="D151" s="37"/>
      <c r="E151" s="37"/>
      <c r="F151" s="49"/>
      <c r="G151" s="76"/>
      <c r="H151" s="76"/>
      <c r="I151" s="76"/>
      <c r="J151" s="76"/>
      <c r="K151" s="76"/>
      <c r="L151" s="76"/>
      <c r="M151" s="76"/>
      <c r="N151" s="76"/>
    </row>
    <row r="152" spans="1:14">
      <c r="A152" s="37"/>
      <c r="B152" s="37"/>
      <c r="C152" s="37"/>
      <c r="D152" s="37"/>
      <c r="E152" s="37"/>
      <c r="F152" s="49"/>
      <c r="G152" s="76"/>
      <c r="H152" s="76"/>
      <c r="I152" s="76"/>
      <c r="J152" s="76"/>
      <c r="K152" s="76"/>
      <c r="L152" s="76"/>
      <c r="M152" s="76"/>
      <c r="N152" s="76"/>
    </row>
    <row r="153" spans="1:14">
      <c r="A153" s="37"/>
      <c r="B153" s="37"/>
      <c r="C153" s="37"/>
      <c r="D153" s="37"/>
      <c r="E153" s="37"/>
      <c r="F153" s="49"/>
      <c r="G153" s="76"/>
      <c r="H153" s="76"/>
      <c r="I153" s="76"/>
      <c r="J153" s="76"/>
      <c r="K153" s="76"/>
      <c r="L153" s="76"/>
      <c r="M153" s="76"/>
      <c r="N153" s="76"/>
    </row>
    <row r="154" spans="1:14">
      <c r="A154" s="37"/>
      <c r="B154" s="37"/>
      <c r="C154" s="37"/>
      <c r="D154" s="37"/>
      <c r="E154" s="37"/>
      <c r="F154" s="49"/>
      <c r="G154" s="76"/>
      <c r="H154" s="76"/>
      <c r="I154" s="76"/>
      <c r="J154" s="76"/>
      <c r="K154" s="76"/>
      <c r="L154" s="76"/>
      <c r="M154" s="76"/>
      <c r="N154" s="76"/>
    </row>
    <row r="155" spans="1:14">
      <c r="A155" s="37"/>
      <c r="B155" s="37"/>
      <c r="C155" s="37"/>
      <c r="D155" s="37"/>
      <c r="E155" s="37"/>
      <c r="F155" s="49"/>
      <c r="G155" s="76"/>
      <c r="H155" s="76"/>
      <c r="I155" s="76"/>
      <c r="J155" s="76"/>
      <c r="K155" s="76"/>
      <c r="L155" s="76"/>
      <c r="M155" s="76"/>
      <c r="N155" s="76"/>
    </row>
    <row r="183" spans="10:10">
      <c r="J183" s="4"/>
    </row>
    <row r="740" spans="16:24">
      <c r="V740" s="7"/>
    </row>
    <row r="742" spans="16:24">
      <c r="P742" t="s">
        <v>148</v>
      </c>
      <c r="S742" t="s">
        <v>149</v>
      </c>
      <c r="T742" t="s">
        <v>148</v>
      </c>
      <c r="U742" t="s">
        <v>150</v>
      </c>
      <c r="V742" t="s">
        <v>151</v>
      </c>
      <c r="W742" t="s">
        <v>152</v>
      </c>
    </row>
    <row r="743" spans="16:24">
      <c r="P743" s="290" t="s">
        <v>106</v>
      </c>
      <c r="S743" s="7" t="s">
        <v>153</v>
      </c>
      <c r="T743" s="7" t="s">
        <v>154</v>
      </c>
      <c r="U743" s="7" t="s">
        <v>155</v>
      </c>
      <c r="V743" s="7" t="s">
        <v>156</v>
      </c>
      <c r="W743" s="7" t="s">
        <v>157</v>
      </c>
      <c r="X743" s="7" t="str">
        <f>IF(B15="Residential","RR",IF(B15="Commercial","CL","UT"))</f>
        <v>RR</v>
      </c>
    </row>
    <row r="744" spans="16:24">
      <c r="P744" s="290" t="s">
        <v>158</v>
      </c>
    </row>
    <row r="745" spans="16:24">
      <c r="P745" s="290" t="s">
        <v>152</v>
      </c>
    </row>
    <row r="746" spans="16:24">
      <c r="P746" t="s">
        <v>152</v>
      </c>
    </row>
    <row r="749" spans="16:24">
      <c r="P749" t="s">
        <v>159</v>
      </c>
      <c r="S749" t="s">
        <v>108</v>
      </c>
      <c r="T749" t="s">
        <v>159</v>
      </c>
      <c r="X749" t="str">
        <f>B16</f>
        <v>Crystalline Silicon</v>
      </c>
    </row>
    <row r="750" spans="16:24">
      <c r="P750" t="s">
        <v>108</v>
      </c>
      <c r="S750" s="7" t="s">
        <v>160</v>
      </c>
      <c r="T750" s="7" t="s">
        <v>161</v>
      </c>
      <c r="U750" s="7"/>
      <c r="X750" s="7" t="str">
        <f>HLOOKUP(B$16,S749:U750,2)</f>
        <v>CS</v>
      </c>
    </row>
    <row r="752" spans="16:24">
      <c r="P752" s="290" t="s">
        <v>158</v>
      </c>
      <c r="Q752" t="s">
        <v>148</v>
      </c>
      <c r="R752" t="s">
        <v>150</v>
      </c>
      <c r="S752" t="s">
        <v>151</v>
      </c>
      <c r="T752" t="s">
        <v>152</v>
      </c>
      <c r="W752" t="str">
        <f>B15</f>
        <v>Residential</v>
      </c>
    </row>
    <row r="753" spans="14:24">
      <c r="P753" t="s">
        <v>110</v>
      </c>
      <c r="Q753" t="s">
        <v>110</v>
      </c>
      <c r="R753" t="s">
        <v>110</v>
      </c>
      <c r="S753" t="s">
        <v>110</v>
      </c>
      <c r="T753" t="s">
        <v>110</v>
      </c>
      <c r="W753" t="str">
        <f>HLOOKUP(B15,P$752:T$755,2)</f>
        <v>Fixed Mount</v>
      </c>
      <c r="X753" t="str">
        <f>IF(X$750="TF",W753,IF(W753=0,"",W753))</f>
        <v>Fixed Mount</v>
      </c>
    </row>
    <row r="754" spans="14:24">
      <c r="P754" t="s">
        <v>162</v>
      </c>
      <c r="Q754" t="s">
        <v>162</v>
      </c>
      <c r="R754" t="s">
        <v>162</v>
      </c>
      <c r="S754" t="s">
        <v>162</v>
      </c>
      <c r="T754" t="s">
        <v>162</v>
      </c>
      <c r="W754" t="str">
        <f>HLOOKUP(B$15,P$752:T$755,3)</f>
        <v>Single Axis</v>
      </c>
      <c r="X754" t="str">
        <f>IF(X$750="TF","",IF(W754=0,"",W754))</f>
        <v>Single Axis</v>
      </c>
    </row>
    <row r="755" spans="14:24">
      <c r="N755" s="304" t="s">
        <v>163</v>
      </c>
      <c r="W755">
        <f>HLOOKUP(B$15,P$752:T$755,4)</f>
        <v>0</v>
      </c>
      <c r="X755" t="str">
        <f>IF(W755=0,"",W755)</f>
        <v/>
      </c>
    </row>
    <row r="756" spans="14:24">
      <c r="N756" s="7">
        <v>2010</v>
      </c>
      <c r="O756" s="72" t="str">
        <f>UPPER('User Add-in Location'!B10)</f>
        <v>MYCOUNTY</v>
      </c>
      <c r="S756" t="s">
        <v>110</v>
      </c>
      <c r="T756" t="s">
        <v>162</v>
      </c>
      <c r="U756" t="s">
        <v>164</v>
      </c>
    </row>
    <row r="757" spans="14:24">
      <c r="N757" s="7">
        <f>N756+1</f>
        <v>2011</v>
      </c>
      <c r="O757" s="72" t="str">
        <f>UPPER('User Add-in Location'!C10)</f>
        <v>MYREGION</v>
      </c>
      <c r="S757" s="7" t="s">
        <v>165</v>
      </c>
      <c r="T757" s="7" t="s">
        <v>166</v>
      </c>
      <c r="U757" s="7" t="s">
        <v>167</v>
      </c>
      <c r="X757" s="7" t="str">
        <f>IF(X750="TF","FM",HLOOKUP(B17,S756:U757,2))</f>
        <v>FM</v>
      </c>
    </row>
    <row r="758" spans="14:24">
      <c r="N758" s="7">
        <f t="shared" ref="N758:N775" si="1">N757+1</f>
        <v>2012</v>
      </c>
      <c r="O758" s="72" t="s">
        <v>168</v>
      </c>
    </row>
    <row r="759" spans="14:24">
      <c r="N759" s="7">
        <f t="shared" si="1"/>
        <v>2013</v>
      </c>
      <c r="O759" s="72" t="s">
        <v>169</v>
      </c>
      <c r="X759" s="7" t="str">
        <f>CONCATENATE(X743,X750,X757)</f>
        <v>RRCSFM</v>
      </c>
    </row>
    <row r="760" spans="14:24">
      <c r="N760" s="7">
        <f t="shared" si="1"/>
        <v>2014</v>
      </c>
      <c r="O760" s="72" t="s">
        <v>102</v>
      </c>
    </row>
    <row r="761" spans="14:24">
      <c r="N761" s="7">
        <f t="shared" si="1"/>
        <v>2015</v>
      </c>
      <c r="O761" s="72" t="s">
        <v>170</v>
      </c>
    </row>
    <row r="762" spans="14:24">
      <c r="N762" s="7">
        <f t="shared" si="1"/>
        <v>2016</v>
      </c>
      <c r="O762" s="72" t="s">
        <v>171</v>
      </c>
    </row>
    <row r="763" spans="14:24">
      <c r="N763" s="7">
        <f t="shared" si="1"/>
        <v>2017</v>
      </c>
      <c r="O763" s="72" t="s">
        <v>172</v>
      </c>
    </row>
    <row r="764" spans="14:24">
      <c r="N764" s="7">
        <f t="shared" si="1"/>
        <v>2018</v>
      </c>
      <c r="O764" s="72" t="s">
        <v>173</v>
      </c>
    </row>
    <row r="765" spans="14:24">
      <c r="N765" s="7">
        <f t="shared" si="1"/>
        <v>2019</v>
      </c>
      <c r="O765" s="72" t="s">
        <v>174</v>
      </c>
    </row>
    <row r="766" spans="14:24">
      <c r="N766" s="7">
        <f t="shared" si="1"/>
        <v>2020</v>
      </c>
      <c r="O766" s="72" t="s">
        <v>175</v>
      </c>
    </row>
    <row r="767" spans="14:24">
      <c r="N767" s="7">
        <f t="shared" si="1"/>
        <v>2021</v>
      </c>
      <c r="O767" s="72" t="s">
        <v>176</v>
      </c>
    </row>
    <row r="768" spans="14:24">
      <c r="N768" s="7">
        <f t="shared" si="1"/>
        <v>2022</v>
      </c>
      <c r="O768" s="72" t="s">
        <v>177</v>
      </c>
    </row>
    <row r="769" spans="14:15">
      <c r="N769" s="7">
        <f t="shared" si="1"/>
        <v>2023</v>
      </c>
      <c r="O769" s="72" t="s">
        <v>178</v>
      </c>
    </row>
    <row r="770" spans="14:15">
      <c r="N770" s="7">
        <f t="shared" si="1"/>
        <v>2024</v>
      </c>
      <c r="O770" s="72" t="s">
        <v>179</v>
      </c>
    </row>
    <row r="771" spans="14:15">
      <c r="N771" s="7">
        <f t="shared" si="1"/>
        <v>2025</v>
      </c>
      <c r="O771" s="72" t="s">
        <v>180</v>
      </c>
    </row>
    <row r="772" spans="14:15">
      <c r="N772" s="7">
        <f t="shared" si="1"/>
        <v>2026</v>
      </c>
      <c r="O772" s="72" t="s">
        <v>181</v>
      </c>
    </row>
    <row r="773" spans="14:15">
      <c r="N773" s="7">
        <f t="shared" si="1"/>
        <v>2027</v>
      </c>
      <c r="O773" s="72" t="s">
        <v>182</v>
      </c>
    </row>
    <row r="774" spans="14:15">
      <c r="N774" s="7">
        <f t="shared" si="1"/>
        <v>2028</v>
      </c>
      <c r="O774" s="72" t="s">
        <v>183</v>
      </c>
    </row>
    <row r="775" spans="14:15">
      <c r="N775" s="7">
        <f t="shared" si="1"/>
        <v>2029</v>
      </c>
      <c r="O775" s="72" t="s">
        <v>184</v>
      </c>
    </row>
    <row r="776" spans="14:15">
      <c r="N776" s="7">
        <f>N775+1</f>
        <v>2030</v>
      </c>
      <c r="O776" s="72" t="s">
        <v>185</v>
      </c>
    </row>
    <row r="777" spans="14:15">
      <c r="O777" s="72" t="s">
        <v>186</v>
      </c>
    </row>
    <row r="778" spans="14:15">
      <c r="O778" s="72" t="s">
        <v>187</v>
      </c>
    </row>
    <row r="779" spans="14:15">
      <c r="O779" s="72" t="s">
        <v>188</v>
      </c>
    </row>
    <row r="780" spans="14:15">
      <c r="O780" s="72" t="s">
        <v>189</v>
      </c>
    </row>
    <row r="781" spans="14:15">
      <c r="O781" s="72" t="s">
        <v>190</v>
      </c>
    </row>
    <row r="782" spans="14:15">
      <c r="O782" s="72" t="s">
        <v>191</v>
      </c>
    </row>
    <row r="783" spans="14:15">
      <c r="O783" s="72" t="s">
        <v>192</v>
      </c>
    </row>
    <row r="784" spans="14:15">
      <c r="O784" s="72" t="s">
        <v>193</v>
      </c>
    </row>
    <row r="785" spans="15:25">
      <c r="O785" s="72" t="s">
        <v>194</v>
      </c>
    </row>
    <row r="786" spans="15:25">
      <c r="O786" s="72" t="s">
        <v>195</v>
      </c>
    </row>
    <row r="787" spans="15:25">
      <c r="O787" s="72" t="s">
        <v>196</v>
      </c>
    </row>
    <row r="788" spans="15:25">
      <c r="O788" s="72" t="s">
        <v>197</v>
      </c>
    </row>
    <row r="789" spans="15:25">
      <c r="O789" s="72" t="s">
        <v>198</v>
      </c>
    </row>
    <row r="790" spans="15:25">
      <c r="O790" s="72" t="s">
        <v>199</v>
      </c>
    </row>
    <row r="791" spans="15:25">
      <c r="O791" s="72" t="s">
        <v>200</v>
      </c>
    </row>
    <row r="792" spans="15:25">
      <c r="O792" s="72" t="s">
        <v>201</v>
      </c>
    </row>
    <row r="793" spans="15:25">
      <c r="O793" s="72" t="s">
        <v>202</v>
      </c>
    </row>
    <row r="794" spans="15:25">
      <c r="O794" s="72" t="s">
        <v>203</v>
      </c>
    </row>
    <row r="795" spans="15:25">
      <c r="O795" s="72" t="s">
        <v>204</v>
      </c>
    </row>
    <row r="796" spans="15:25">
      <c r="O796" s="72" t="s">
        <v>205</v>
      </c>
      <c r="Q796" s="281"/>
    </row>
    <row r="797" spans="15:25" ht="15.6">
      <c r="O797" s="72" t="s">
        <v>206</v>
      </c>
      <c r="Q797" s="282">
        <v>1</v>
      </c>
      <c r="R797" s="281" t="s">
        <v>207</v>
      </c>
      <c r="S797" s="281" t="s">
        <v>208</v>
      </c>
      <c r="T797" s="281" t="s">
        <v>209</v>
      </c>
      <c r="U797" s="281" t="s">
        <v>210</v>
      </c>
      <c r="V797" s="281" t="s">
        <v>211</v>
      </c>
      <c r="W797" s="281" t="s">
        <v>212</v>
      </c>
      <c r="X797" s="281" t="s">
        <v>213</v>
      </c>
      <c r="Y797" s="281" t="s">
        <v>214</v>
      </c>
    </row>
    <row r="798" spans="15:25" ht="15.6">
      <c r="O798" s="72" t="s">
        <v>215</v>
      </c>
      <c r="Q798" s="282">
        <v>2</v>
      </c>
      <c r="R798" s="282" t="s">
        <v>216</v>
      </c>
      <c r="S798" s="282" t="s">
        <v>217</v>
      </c>
      <c r="T798" s="282" t="s">
        <v>218</v>
      </c>
      <c r="U798" s="282" t="s">
        <v>219</v>
      </c>
      <c r="V798" s="282" t="s">
        <v>220</v>
      </c>
      <c r="W798" s="282" t="s">
        <v>221</v>
      </c>
      <c r="X798" s="282" t="s">
        <v>222</v>
      </c>
      <c r="Y798" s="282" t="s">
        <v>223</v>
      </c>
    </row>
    <row r="799" spans="15:25" ht="15.6">
      <c r="O799" s="72" t="s">
        <v>224</v>
      </c>
      <c r="Q799" s="282">
        <v>3</v>
      </c>
      <c r="R799" s="282" t="s">
        <v>225</v>
      </c>
      <c r="S799" s="282" t="s">
        <v>226</v>
      </c>
      <c r="T799" s="282" t="s">
        <v>227</v>
      </c>
      <c r="U799" s="282" t="s">
        <v>228</v>
      </c>
      <c r="V799" s="282" t="s">
        <v>229</v>
      </c>
      <c r="W799" s="282" t="s">
        <v>230</v>
      </c>
      <c r="X799" s="282" t="s">
        <v>231</v>
      </c>
      <c r="Y799" s="282" t="s">
        <v>232</v>
      </c>
    </row>
    <row r="800" spans="15:25" ht="15.6">
      <c r="O800" s="72" t="s">
        <v>233</v>
      </c>
      <c r="Q800" s="282">
        <v>4</v>
      </c>
      <c r="R800" s="282" t="s">
        <v>234</v>
      </c>
      <c r="S800" s="282" t="s">
        <v>235</v>
      </c>
      <c r="T800" s="282" t="s">
        <v>236</v>
      </c>
      <c r="U800" s="282" t="s">
        <v>237</v>
      </c>
      <c r="V800" s="282" t="s">
        <v>238</v>
      </c>
      <c r="W800" s="282" t="s">
        <v>239</v>
      </c>
      <c r="X800" s="282" t="s">
        <v>240</v>
      </c>
      <c r="Y800" s="282"/>
    </row>
    <row r="801" spans="15:25" ht="15.6">
      <c r="O801" s="72" t="s">
        <v>241</v>
      </c>
      <c r="Q801" s="282">
        <v>5</v>
      </c>
      <c r="R801" s="282" t="s">
        <v>242</v>
      </c>
      <c r="S801" s="282" t="s">
        <v>243</v>
      </c>
      <c r="T801" s="282" t="s">
        <v>244</v>
      </c>
      <c r="U801" s="282" t="s">
        <v>245</v>
      </c>
      <c r="V801" s="282" t="s">
        <v>246</v>
      </c>
      <c r="W801" s="282" t="s">
        <v>247</v>
      </c>
      <c r="X801" s="282" t="s">
        <v>248</v>
      </c>
      <c r="Y801" s="282"/>
    </row>
    <row r="802" spans="15:25" ht="15.6">
      <c r="O802" s="290" t="s">
        <v>249</v>
      </c>
      <c r="Q802" s="282">
        <v>6</v>
      </c>
      <c r="R802" s="282" t="s">
        <v>250</v>
      </c>
      <c r="S802" s="282"/>
      <c r="T802" s="282"/>
      <c r="U802" s="282" t="s">
        <v>251</v>
      </c>
      <c r="V802" s="282" t="s">
        <v>252</v>
      </c>
      <c r="W802" s="282" t="s">
        <v>253</v>
      </c>
      <c r="X802" s="282" t="s">
        <v>254</v>
      </c>
      <c r="Y802" s="282"/>
    </row>
    <row r="803" spans="15:25" ht="15.6">
      <c r="O803" s="72" t="s">
        <v>255</v>
      </c>
      <c r="Q803" s="282">
        <v>7</v>
      </c>
      <c r="R803" s="282" t="s">
        <v>256</v>
      </c>
      <c r="S803" s="282"/>
      <c r="T803" s="282"/>
      <c r="U803" s="282" t="s">
        <v>257</v>
      </c>
      <c r="V803" s="282" t="s">
        <v>258</v>
      </c>
      <c r="W803" s="282" t="s">
        <v>259</v>
      </c>
      <c r="X803" s="282" t="s">
        <v>260</v>
      </c>
      <c r="Y803" s="282"/>
    </row>
    <row r="804" spans="15:25" ht="15.6">
      <c r="O804" s="72" t="s">
        <v>261</v>
      </c>
      <c r="Q804" s="282">
        <v>8</v>
      </c>
      <c r="R804" s="282" t="s">
        <v>262</v>
      </c>
      <c r="S804" s="282"/>
      <c r="T804" s="282"/>
      <c r="U804" s="282"/>
      <c r="V804" s="282" t="s">
        <v>263</v>
      </c>
      <c r="W804" s="282"/>
      <c r="X804" s="282" t="s">
        <v>264</v>
      </c>
      <c r="Y804" s="282"/>
    </row>
    <row r="805" spans="15:25" ht="15.6">
      <c r="O805" s="72" t="s">
        <v>265</v>
      </c>
      <c r="Q805" s="282">
        <f>Q804+1</f>
        <v>9</v>
      </c>
      <c r="R805" s="281"/>
      <c r="S805" s="282"/>
      <c r="T805" s="282"/>
      <c r="U805" s="282"/>
      <c r="V805" s="282"/>
      <c r="W805" s="282"/>
      <c r="X805" s="282" t="s">
        <v>266</v>
      </c>
      <c r="Y805" s="282"/>
    </row>
    <row r="806" spans="15:25" ht="15.6">
      <c r="O806" s="72" t="s">
        <v>267</v>
      </c>
      <c r="Q806" s="282">
        <f t="shared" ref="Q806:Q811" si="2">Q805+1</f>
        <v>10</v>
      </c>
      <c r="R806" s="282"/>
      <c r="S806" s="282"/>
      <c r="T806" s="282"/>
      <c r="U806" s="282"/>
      <c r="V806" s="282"/>
      <c r="W806" s="282"/>
      <c r="X806" s="282" t="s">
        <v>268</v>
      </c>
      <c r="Y806" s="282"/>
    </row>
    <row r="807" spans="15:25" ht="15.6">
      <c r="O807" s="72" t="s">
        <v>269</v>
      </c>
      <c r="Q807" s="282">
        <f t="shared" si="2"/>
        <v>11</v>
      </c>
      <c r="R807" s="282"/>
      <c r="S807" s="282"/>
      <c r="T807" s="282"/>
      <c r="U807" s="282"/>
      <c r="V807" s="282"/>
      <c r="W807" s="282"/>
      <c r="X807" s="282" t="s">
        <v>270</v>
      </c>
      <c r="Y807" s="282"/>
    </row>
    <row r="808" spans="15:25" ht="15.6">
      <c r="O808" s="72" t="s">
        <v>271</v>
      </c>
      <c r="Q808" s="282">
        <f t="shared" si="2"/>
        <v>12</v>
      </c>
      <c r="R808" s="282"/>
      <c r="S808" s="282"/>
      <c r="T808" s="282"/>
      <c r="U808" s="282"/>
      <c r="V808" s="282"/>
      <c r="W808" s="282"/>
      <c r="X808" s="282" t="s">
        <v>272</v>
      </c>
      <c r="Y808" s="282"/>
    </row>
    <row r="809" spans="15:25" ht="15.6">
      <c r="O809" s="72" t="s">
        <v>273</v>
      </c>
      <c r="Q809" s="282">
        <f t="shared" si="2"/>
        <v>13</v>
      </c>
      <c r="R809" s="282"/>
      <c r="S809" s="282"/>
      <c r="T809" s="282"/>
      <c r="U809" s="282"/>
      <c r="V809" s="282"/>
      <c r="W809" s="282"/>
      <c r="X809" s="282" t="s">
        <v>274</v>
      </c>
      <c r="Y809" s="282"/>
    </row>
    <row r="810" spans="15:25" ht="15.6">
      <c r="O810" t="s">
        <v>207</v>
      </c>
      <c r="Q810" s="282">
        <f t="shared" si="2"/>
        <v>14</v>
      </c>
      <c r="R810" s="282"/>
      <c r="S810" s="282"/>
      <c r="T810" s="282"/>
      <c r="U810" s="282"/>
      <c r="V810" s="282"/>
      <c r="W810" s="282"/>
      <c r="X810" s="282" t="s">
        <v>275</v>
      </c>
      <c r="Y810" s="282"/>
    </row>
    <row r="811" spans="15:25" ht="15.6">
      <c r="O811" t="s">
        <v>208</v>
      </c>
      <c r="Q811" s="282">
        <f t="shared" si="2"/>
        <v>15</v>
      </c>
    </row>
    <row r="812" spans="15:25" ht="15.6">
      <c r="O812" t="s">
        <v>209</v>
      </c>
      <c r="Q812" s="282"/>
      <c r="S812" s="355"/>
    </row>
    <row r="813" spans="15:25">
      <c r="O813" t="s">
        <v>210</v>
      </c>
    </row>
    <row r="814" spans="15:25">
      <c r="O814" t="s">
        <v>211</v>
      </c>
      <c r="R814" s="355"/>
    </row>
    <row r="815" spans="15:25">
      <c r="O815" t="s">
        <v>212</v>
      </c>
    </row>
    <row r="816" spans="15:25">
      <c r="O816" t="s">
        <v>213</v>
      </c>
      <c r="R816" s="355"/>
    </row>
    <row r="817" spans="15:15">
      <c r="O817" t="s">
        <v>214</v>
      </c>
    </row>
  </sheetData>
  <sheetProtection algorithmName="SHA-512" hashValue="2WyHuSrNBs2foWtcis3GB0BfXk26lFh9946L+hKVsvG0D9HYiHGeMYf6z2QE26GGvYGTuwrVe4jBzORlMWi2ZQ==" saltValue="vfyUsB7xKQpKtdHhEhfMUQ==" spinCount="100000" sheet="1" objects="1" scenarios="1"/>
  <customSheetViews>
    <customSheetView guid="{55B80D82-F000-11D6-8735-C8E5A357943D}" showRuler="0">
      <selection activeCell="A80" sqref="A79:A80"/>
      <pageMargins left="0" right="0" top="0" bottom="0" header="0" footer="0"/>
      <pageSetup orientation="portrait" horizontalDpi="0" verticalDpi="0" copies="0" r:id="rId1"/>
      <headerFooter alignWithMargins="0"/>
    </customSheetView>
  </customSheetViews>
  <mergeCells count="8">
    <mergeCell ref="B30:G30"/>
    <mergeCell ref="H30:J30"/>
    <mergeCell ref="A26:A28"/>
    <mergeCell ref="A4:G4"/>
    <mergeCell ref="A6:G6"/>
    <mergeCell ref="A8:G9"/>
    <mergeCell ref="A5:G5"/>
    <mergeCell ref="A29:F29"/>
  </mergeCells>
  <phoneticPr fontId="0" type="noConversion"/>
  <conditionalFormatting sqref="E59:F83 C29:C32 B82 G29:N83 E29:F32 C37:C38 C60:C83 E37:E38 C40:C42 E40:E42 B29:B47 C46:C53 E46:E53 C55:C57 F37:F57 E55:E57 B49:B60 B62:B66 D29:D66 B70 D68:D75 B79:B80 D78:D80 D82 A29:A83">
    <cfRule type="expression" dxfId="23" priority="164">
      <formula>$B$26="Y"</formula>
    </cfRule>
  </conditionalFormatting>
  <conditionalFormatting sqref="A13:B13">
    <cfRule type="expression" dxfId="22" priority="159">
      <formula>$T$12=0</formula>
    </cfRule>
  </conditionalFormatting>
  <conditionalFormatting sqref="E59:F83 C29:C32 B82 G29:N83 E29:F32 C37:C38 C60:C83 E37:E38 C40:C42 E40:E42 B29:B47 C46:C53 E46:E53 C55:C57 F37:F57 E55:E57 B49:B60 B62:B66 D29:D66 B70 D68:D75 B79:B80 D78:D80 D82 A29:A83">
    <cfRule type="expression" dxfId="21" priority="156">
      <formula>$B$26="Y"</formula>
    </cfRule>
  </conditionalFormatting>
  <conditionalFormatting sqref="Y33:AC83">
    <cfRule type="expression" dxfId="20" priority="155">
      <formula>$B$26="Y"</formula>
    </cfRule>
  </conditionalFormatting>
  <conditionalFormatting sqref="B61">
    <cfRule type="expression" dxfId="19" priority="47">
      <formula>$B$26="Y"</formula>
    </cfRule>
  </conditionalFormatting>
  <conditionalFormatting sqref="C33:C36">
    <cfRule type="expression" dxfId="18" priority="19">
      <formula>$B$26="Y"</formula>
    </cfRule>
  </conditionalFormatting>
  <conditionalFormatting sqref="E33:F36">
    <cfRule type="expression" dxfId="17" priority="18">
      <formula>$B$26="Y"</formula>
    </cfRule>
  </conditionalFormatting>
  <conditionalFormatting sqref="C39">
    <cfRule type="expression" dxfId="16" priority="17">
      <formula>$B$26="Y"</formula>
    </cfRule>
  </conditionalFormatting>
  <conditionalFormatting sqref="E39">
    <cfRule type="expression" dxfId="15" priority="16">
      <formula>$B$26="Y"</formula>
    </cfRule>
  </conditionalFormatting>
  <conditionalFormatting sqref="C43:C45">
    <cfRule type="expression" dxfId="14" priority="15">
      <formula>$B$26="Y"</formula>
    </cfRule>
  </conditionalFormatting>
  <conditionalFormatting sqref="E43:E45">
    <cfRule type="expression" dxfId="13" priority="14">
      <formula>$B$26="Y"</formula>
    </cfRule>
  </conditionalFormatting>
  <conditionalFormatting sqref="B48">
    <cfRule type="expression" dxfId="12" priority="13">
      <formula>$B$26="Y"</formula>
    </cfRule>
  </conditionalFormatting>
  <conditionalFormatting sqref="C54">
    <cfRule type="expression" dxfId="11" priority="12">
      <formula>$B$26="Y"</formula>
    </cfRule>
  </conditionalFormatting>
  <conditionalFormatting sqref="E54">
    <cfRule type="expression" dxfId="10" priority="11">
      <formula>$B$26="Y"</formula>
    </cfRule>
  </conditionalFormatting>
  <conditionalFormatting sqref="C58:C59">
    <cfRule type="expression" dxfId="9" priority="10">
      <formula>$B$26="Y"</formula>
    </cfRule>
  </conditionalFormatting>
  <conditionalFormatting sqref="E58:F58">
    <cfRule type="expression" dxfId="8" priority="9">
      <formula>$B$26="Y"</formula>
    </cfRule>
  </conditionalFormatting>
  <conditionalFormatting sqref="B67:B69">
    <cfRule type="expression" dxfId="7" priority="8">
      <formula>$B$26="Y"</formula>
    </cfRule>
  </conditionalFormatting>
  <conditionalFormatting sqref="D67">
    <cfRule type="expression" dxfId="6" priority="7">
      <formula>$B$26="Y"</formula>
    </cfRule>
  </conditionalFormatting>
  <conditionalFormatting sqref="B71:B78">
    <cfRule type="expression" dxfId="5" priority="6">
      <formula>$B$26="Y"</formula>
    </cfRule>
  </conditionalFormatting>
  <conditionalFormatting sqref="D76:D77">
    <cfRule type="expression" dxfId="4" priority="5">
      <formula>$B$26="Y"</formula>
    </cfRule>
  </conditionalFormatting>
  <conditionalFormatting sqref="B81">
    <cfRule type="expression" dxfId="3" priority="4">
      <formula>$B$26="Y"</formula>
    </cfRule>
  </conditionalFormatting>
  <conditionalFormatting sqref="D81">
    <cfRule type="expression" dxfId="2" priority="3">
      <formula>$B$26="Y"</formula>
    </cfRule>
  </conditionalFormatting>
  <conditionalFormatting sqref="B83">
    <cfRule type="expression" dxfId="1" priority="2">
      <formula>$B$26="Y"</formula>
    </cfRule>
  </conditionalFormatting>
  <conditionalFormatting sqref="D83">
    <cfRule type="expression" dxfId="0" priority="1">
      <formula>$B$26="Y"</formula>
    </cfRule>
  </conditionalFormatting>
  <dataValidations count="5">
    <dataValidation type="list" allowBlank="1" showInputMessage="1" showErrorMessage="1" sqref="B12" xr:uid="{00000000-0002-0000-0400-000000000000}">
      <formula1>$O$756:$O$809</formula1>
    </dataValidation>
    <dataValidation type="list" allowBlank="1" showInputMessage="1" showErrorMessage="1" sqref="B15" xr:uid="{00000000-0002-0000-0400-000001000000}">
      <formula1>$P$743:$P$745</formula1>
    </dataValidation>
    <dataValidation type="list" allowBlank="1" showInputMessage="1" showErrorMessage="1" sqref="B17" xr:uid="{00000000-0002-0000-0400-000003000000}">
      <formula1>Tracking</formula1>
    </dataValidation>
    <dataValidation type="list" allowBlank="1" showInputMessage="1" showErrorMessage="1" sqref="B26" xr:uid="{00000000-0002-0000-0400-000004000000}">
      <formula1>YN</formula1>
    </dataValidation>
    <dataValidation type="list" allowBlank="1" showInputMessage="1" showErrorMessage="1" sqref="B14" xr:uid="{00000000-0002-0000-0400-000005000000}">
      <formula1>Years</formula1>
    </dataValidation>
  </dataValidations>
  <pageMargins left="0.75" right="0.75" top="1" bottom="1" header="0.5" footer="0.5"/>
  <pageSetup orientation="portrait" horizontalDpi="4294967293"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089" r:id="rId5" name="Button 41">
              <controlPr defaultSize="0" print="0" autoFill="0" autoPict="0" macro="[0]!Summary">
                <anchor moveWithCells="1" sizeWithCells="1">
                  <from>
                    <xdr:col>5</xdr:col>
                    <xdr:colOff>266700</xdr:colOff>
                    <xdr:row>65</xdr:row>
                    <xdr:rowOff>144780</xdr:rowOff>
                  </from>
                  <to>
                    <xdr:col>6</xdr:col>
                    <xdr:colOff>762000</xdr:colOff>
                    <xdr:row>68</xdr:row>
                    <xdr:rowOff>106680</xdr:rowOff>
                  </to>
                </anchor>
              </controlPr>
            </control>
          </mc:Choice>
        </mc:AlternateContent>
        <mc:AlternateContent xmlns:mc="http://schemas.openxmlformats.org/markup-compatibility/2006">
          <mc:Choice Requires="x14">
            <control shapeId="2091" r:id="rId6" name="Button 43">
              <controlPr defaultSize="0" print="0" autoFill="0" autoPict="0" macro="[0]!Project">
                <anchor moveWithCells="1" sizeWithCells="1">
                  <from>
                    <xdr:col>4</xdr:col>
                    <xdr:colOff>922020</xdr:colOff>
                    <xdr:row>71</xdr:row>
                    <xdr:rowOff>0</xdr:rowOff>
                  </from>
                  <to>
                    <xdr:col>7</xdr:col>
                    <xdr:colOff>312420</xdr:colOff>
                    <xdr:row>73</xdr:row>
                    <xdr:rowOff>144780</xdr:rowOff>
                  </to>
                </anchor>
              </controlPr>
            </control>
          </mc:Choice>
        </mc:AlternateContent>
        <mc:AlternateContent xmlns:mc="http://schemas.openxmlformats.org/markup-compatibility/2006">
          <mc:Choice Requires="x14">
            <control shapeId="2179" r:id="rId7" name="Button 131">
              <controlPr defaultSize="0" print="0" autoFill="0" autoPict="0" macro="[0]!ReviseDefaultData">
                <anchor moveWithCells="1" sizeWithCells="1">
                  <from>
                    <xdr:col>6</xdr:col>
                    <xdr:colOff>68580</xdr:colOff>
                    <xdr:row>28</xdr:row>
                    <xdr:rowOff>0</xdr:rowOff>
                  </from>
                  <to>
                    <xdr:col>7</xdr:col>
                    <xdr:colOff>381000</xdr:colOff>
                    <xdr:row>29</xdr:row>
                    <xdr:rowOff>182880</xdr:rowOff>
                  </to>
                </anchor>
              </controlPr>
            </control>
          </mc:Choice>
        </mc:AlternateContent>
        <mc:AlternateContent xmlns:mc="http://schemas.openxmlformats.org/markup-compatibility/2006">
          <mc:Choice Requires="x14">
            <control shapeId="2207" r:id="rId8" name="Button 159">
              <controlPr defaultSize="0" print="0" autoFill="0" autoPict="0" macro="[0]!Summary">
                <anchor moveWithCells="1" sizeWithCells="1">
                  <from>
                    <xdr:col>2</xdr:col>
                    <xdr:colOff>220980</xdr:colOff>
                    <xdr:row>26</xdr:row>
                    <xdr:rowOff>83820</xdr:rowOff>
                  </from>
                  <to>
                    <xdr:col>4</xdr:col>
                    <xdr:colOff>792480</xdr:colOff>
                    <xdr:row>27</xdr:row>
                    <xdr:rowOff>68580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autoPageBreaks="0" fitToPage="1"/>
  </sheetPr>
  <dimension ref="A1:BN156"/>
  <sheetViews>
    <sheetView workbookViewId="0">
      <selection activeCell="B12" sqref="B12"/>
    </sheetView>
  </sheetViews>
  <sheetFormatPr defaultColWidth="8.88671875" defaultRowHeight="13.2"/>
  <cols>
    <col min="1" max="1" width="45.33203125" customWidth="1"/>
    <col min="2" max="2" width="17.109375" customWidth="1"/>
    <col min="3" max="3" width="14.44140625" customWidth="1"/>
    <col min="4" max="5" width="13.6640625" customWidth="1"/>
    <col min="6" max="6" width="27" customWidth="1"/>
    <col min="7" max="7" width="7.6640625" customWidth="1"/>
    <col min="8" max="8" width="6.44140625" customWidth="1"/>
    <col min="11" max="18" width="9.109375"/>
    <col min="54" max="54" width="41.6640625" customWidth="1"/>
    <col min="55" max="55" width="16" customWidth="1"/>
    <col min="56" max="56" width="12" customWidth="1"/>
    <col min="57" max="58" width="14.33203125" customWidth="1"/>
    <col min="60" max="60" width="49" customWidth="1"/>
    <col min="61" max="61" width="18.44140625" customWidth="1"/>
    <col min="63" max="63" width="10.109375" customWidth="1"/>
    <col min="64" max="64" width="11" customWidth="1"/>
    <col min="65" max="65" width="14.109375" customWidth="1"/>
  </cols>
  <sheetData>
    <row r="1" spans="1:66" ht="17.399999999999999">
      <c r="A1" s="89" t="str">
        <f>CONCATENATE("Photovoltaic - Project Data Summary based on ",$AE$48, " values")</f>
        <v>Photovoltaic - Project Data Summary based on User modifications to default values</v>
      </c>
      <c r="B1" s="49"/>
      <c r="C1" s="49"/>
      <c r="D1" s="49"/>
      <c r="E1" s="49"/>
      <c r="F1" s="49"/>
      <c r="G1" s="49"/>
      <c r="H1" s="49"/>
      <c r="I1" s="49"/>
      <c r="J1" s="49"/>
      <c r="K1" s="76"/>
      <c r="L1" s="76"/>
      <c r="M1" s="76"/>
      <c r="N1" s="76"/>
      <c r="O1" s="76"/>
      <c r="P1" s="76"/>
      <c r="Q1" s="76"/>
      <c r="R1" s="76"/>
      <c r="S1" s="76"/>
      <c r="T1" s="76"/>
      <c r="U1" s="76"/>
      <c r="V1" s="76"/>
      <c r="W1" s="76"/>
      <c r="X1" s="76"/>
      <c r="BB1" s="59" t="str">
        <f>Summary_Results</f>
        <v>Photovoltaic - Project Data Summary based on User modifications to default values</v>
      </c>
      <c r="BD1" s="132"/>
      <c r="BH1" s="60" t="str">
        <f>Summary_Results</f>
        <v>Photovoltaic - Project Data Summary based on User modifications to default values</v>
      </c>
      <c r="BJ1" s="130"/>
      <c r="BK1" s="130"/>
    </row>
    <row r="2" spans="1:66">
      <c r="A2" s="38" t="s">
        <v>276</v>
      </c>
      <c r="B2" s="76"/>
      <c r="C2" s="35" t="str">
        <f>IF(ProjectData!B12="MyCounty",'User Add-in Location'!B3,IF(ProjectData!B12="MyRegion",'User Add-in Location'!B4,ProjectData!B12))</f>
        <v>UNITED STATES</v>
      </c>
      <c r="D2" s="124" t="str">
        <f>ProjectData!C14</f>
        <v/>
      </c>
      <c r="E2" s="124"/>
      <c r="F2" s="35"/>
      <c r="G2" s="49"/>
      <c r="H2" s="49"/>
      <c r="I2" s="49"/>
      <c r="J2" s="49"/>
      <c r="K2" s="76"/>
      <c r="L2" s="76"/>
      <c r="M2" s="76"/>
      <c r="N2" s="76"/>
      <c r="O2" s="76"/>
      <c r="P2" s="76"/>
      <c r="Q2" s="76"/>
      <c r="R2" s="76"/>
      <c r="S2" s="76"/>
      <c r="T2" s="76"/>
      <c r="U2" s="76"/>
      <c r="V2" s="76"/>
      <c r="W2" s="76"/>
      <c r="X2" s="76"/>
      <c r="BB2" s="19" t="s">
        <v>276</v>
      </c>
      <c r="BD2" s="304" t="str">
        <f t="shared" ref="BD2:BD9" si="0">C2</f>
        <v>UNITED STATES</v>
      </c>
      <c r="BH2" s="358" t="s">
        <v>101</v>
      </c>
      <c r="BI2" s="256" t="str">
        <f>ProjectData!B12</f>
        <v>UNITED STATES</v>
      </c>
      <c r="BJ2" s="290"/>
      <c r="BK2" s="117" t="str">
        <f>IF(BI2="MYREGION",IF('User Add-in Location'!BL14=0,"Error - No Regional multiplier data in User Add-in Location",""),IF(BI2="MYCOUNTY",IF('User Add-in Location'!BK14=0,"Error - No County multiplier data in User Add-in Location",""),""))</f>
        <v/>
      </c>
      <c r="BN2" s="132"/>
    </row>
    <row r="3" spans="1:66">
      <c r="A3" s="359" t="s">
        <v>277</v>
      </c>
      <c r="B3" s="76"/>
      <c r="C3" s="148">
        <f>ProjectData!B14</f>
        <v>2024</v>
      </c>
      <c r="D3" s="49"/>
      <c r="E3" s="49"/>
      <c r="F3" s="35"/>
      <c r="G3" s="49"/>
      <c r="H3" s="49"/>
      <c r="I3" s="49"/>
      <c r="J3" s="49"/>
      <c r="K3" s="76"/>
      <c r="L3" s="76"/>
      <c r="M3" s="76"/>
      <c r="N3" s="76"/>
      <c r="O3" s="76"/>
      <c r="P3" s="76"/>
      <c r="Q3" s="76"/>
      <c r="R3" s="76"/>
      <c r="S3" s="76"/>
      <c r="T3" s="76"/>
      <c r="U3" s="76"/>
      <c r="V3" s="76"/>
      <c r="W3" s="76"/>
      <c r="X3" s="76"/>
      <c r="BB3" s="360" t="s">
        <v>277</v>
      </c>
      <c r="BD3" s="304">
        <f t="shared" si="0"/>
        <v>2024</v>
      </c>
      <c r="BH3" s="256" t="str">
        <f>IF(ProjectData!$B13&gt;0,"Population","")</f>
        <v/>
      </c>
      <c r="BI3" s="256" t="str">
        <f>IF(ProjectData!$B13&gt;0,ProjectData!B13,"")</f>
        <v/>
      </c>
      <c r="BJ3" s="290"/>
      <c r="BK3" s="361"/>
      <c r="BN3" s="132"/>
    </row>
    <row r="4" spans="1:66">
      <c r="A4" s="359" t="s">
        <v>278</v>
      </c>
      <c r="B4" s="38"/>
      <c r="C4" s="278">
        <f>ProjectData!B18</f>
        <v>5</v>
      </c>
      <c r="D4" s="143" t="str">
        <f>ProjectData!D12</f>
        <v/>
      </c>
      <c r="E4" s="143"/>
      <c r="F4" s="35"/>
      <c r="G4" s="49"/>
      <c r="H4" s="49"/>
      <c r="I4" s="49"/>
      <c r="J4" s="49"/>
      <c r="K4" s="76"/>
      <c r="L4" s="76"/>
      <c r="M4" s="76"/>
      <c r="N4" s="76"/>
      <c r="O4" s="76"/>
      <c r="P4" s="76"/>
      <c r="Q4" s="76"/>
      <c r="R4" s="76"/>
      <c r="S4" s="76"/>
      <c r="T4" s="76"/>
      <c r="U4" s="76"/>
      <c r="V4" s="76"/>
      <c r="W4" s="76"/>
      <c r="X4" s="76"/>
      <c r="BB4" s="360" t="s">
        <v>278</v>
      </c>
      <c r="BD4" s="304">
        <f t="shared" si="0"/>
        <v>5</v>
      </c>
      <c r="BH4" s="360" t="s">
        <v>277</v>
      </c>
      <c r="BI4" s="256">
        <f>ProjectData!B14</f>
        <v>2024</v>
      </c>
      <c r="BJ4" s="117" t="str">
        <f>IF(BK3="","",IF(BI3&lt;1,"**Error - Population Data Missing**",""))</f>
        <v/>
      </c>
      <c r="BK4" s="362"/>
      <c r="BN4" s="132"/>
    </row>
    <row r="5" spans="1:66">
      <c r="A5" s="359" t="s">
        <v>279</v>
      </c>
      <c r="B5" s="76"/>
      <c r="C5" s="151">
        <f>ProjectData!B19</f>
        <v>200</v>
      </c>
      <c r="D5" s="143"/>
      <c r="E5" s="143"/>
      <c r="F5" s="35"/>
      <c r="G5" s="49"/>
      <c r="H5" s="49"/>
      <c r="I5" s="49"/>
      <c r="J5" s="49"/>
      <c r="K5" s="76"/>
      <c r="L5" s="76"/>
      <c r="M5" s="76"/>
      <c r="N5" s="76"/>
      <c r="O5" s="76"/>
      <c r="P5" s="76"/>
      <c r="Q5" s="76"/>
      <c r="R5" s="76"/>
      <c r="S5" s="76"/>
      <c r="T5" s="76"/>
      <c r="U5" s="76"/>
      <c r="V5" s="76"/>
      <c r="W5" s="76"/>
      <c r="X5" s="76"/>
      <c r="BB5" s="360" t="s">
        <v>279</v>
      </c>
      <c r="BD5" s="304">
        <f t="shared" si="0"/>
        <v>200</v>
      </c>
      <c r="BH5" s="360" t="s">
        <v>280</v>
      </c>
      <c r="BI5" s="264" t="str">
        <f>ProjectData!B15</f>
        <v>Residential</v>
      </c>
      <c r="BJ5" s="117"/>
      <c r="BK5" s="362"/>
      <c r="BL5" s="1"/>
      <c r="BN5" s="132"/>
    </row>
    <row r="6" spans="1:66">
      <c r="A6" s="144" t="s">
        <v>281</v>
      </c>
      <c r="B6" s="76"/>
      <c r="C6" s="280">
        <f>ProjectData!B20</f>
        <v>1000</v>
      </c>
      <c r="D6" s="143"/>
      <c r="E6" s="143"/>
      <c r="F6" s="35"/>
      <c r="G6" s="49"/>
      <c r="H6" s="49"/>
      <c r="I6" s="49"/>
      <c r="J6" s="49"/>
      <c r="K6" s="76"/>
      <c r="L6" s="76"/>
      <c r="M6" s="76"/>
      <c r="N6" s="76"/>
      <c r="O6" s="76"/>
      <c r="P6" s="76"/>
      <c r="Q6" s="76"/>
      <c r="R6" s="76"/>
      <c r="S6" s="76"/>
      <c r="T6" s="76"/>
      <c r="U6" s="76"/>
      <c r="V6" s="76"/>
      <c r="W6" s="76"/>
      <c r="X6" s="76"/>
      <c r="BB6" s="290" t="s">
        <v>282</v>
      </c>
      <c r="BD6" s="304">
        <f t="shared" si="0"/>
        <v>1000</v>
      </c>
      <c r="BH6" s="360" t="s">
        <v>283</v>
      </c>
      <c r="BI6" s="272" t="str">
        <f>ProjectData!B16</f>
        <v>Crystalline Silicon</v>
      </c>
      <c r="BJ6" s="290"/>
      <c r="BK6" s="362"/>
      <c r="BL6" s="1"/>
      <c r="BN6" s="132"/>
    </row>
    <row r="7" spans="1:66">
      <c r="A7" s="359" t="s">
        <v>283</v>
      </c>
      <c r="B7" s="76"/>
      <c r="C7" s="148" t="str">
        <f>ProjectData!B15</f>
        <v>Residential</v>
      </c>
      <c r="D7" s="49"/>
      <c r="E7" s="49"/>
      <c r="F7" s="35"/>
      <c r="G7" s="49"/>
      <c r="H7" s="49"/>
      <c r="I7" s="49"/>
      <c r="J7" s="49"/>
      <c r="K7" s="76"/>
      <c r="L7" s="76"/>
      <c r="M7" s="76"/>
      <c r="N7" s="76"/>
      <c r="O7" s="76"/>
      <c r="P7" s="76"/>
      <c r="Q7" s="76"/>
      <c r="R7" s="76"/>
      <c r="S7" s="76"/>
      <c r="T7" s="76"/>
      <c r="U7" s="76"/>
      <c r="V7" s="76"/>
      <c r="W7" s="76"/>
      <c r="X7" s="76"/>
      <c r="BB7" s="360" t="s">
        <v>283</v>
      </c>
      <c r="BD7" s="304" t="str">
        <f t="shared" si="0"/>
        <v>Residential</v>
      </c>
      <c r="BH7" s="360" t="s">
        <v>284</v>
      </c>
      <c r="BI7" s="272" t="str">
        <f>ProjectData!B17</f>
        <v>Fixed Mount</v>
      </c>
      <c r="BJ7" s="290"/>
      <c r="BK7" s="362"/>
    </row>
    <row r="8" spans="1:66">
      <c r="A8" s="359" t="s">
        <v>284</v>
      </c>
      <c r="B8" s="76"/>
      <c r="C8" s="148" t="str">
        <f>ProjectData!B16</f>
        <v>Crystalline Silicon</v>
      </c>
      <c r="D8" s="49"/>
      <c r="E8" s="49"/>
      <c r="F8" s="35"/>
      <c r="G8" s="49"/>
      <c r="H8" s="49"/>
      <c r="I8" s="49"/>
      <c r="J8" s="49"/>
      <c r="K8" s="76"/>
      <c r="L8" s="76"/>
      <c r="M8" s="76"/>
      <c r="N8" s="76"/>
      <c r="O8" s="76"/>
      <c r="P8" s="76"/>
      <c r="Q8" s="76"/>
      <c r="R8" s="76"/>
      <c r="S8" s="76"/>
      <c r="T8" s="76"/>
      <c r="U8" s="76"/>
      <c r="V8" s="76"/>
      <c r="W8" s="76"/>
      <c r="X8" s="76"/>
      <c r="BB8" s="360" t="s">
        <v>284</v>
      </c>
      <c r="BD8" s="304" t="str">
        <f t="shared" si="0"/>
        <v>Crystalline Silicon</v>
      </c>
      <c r="BH8" s="360" t="s">
        <v>285</v>
      </c>
      <c r="BI8" s="256">
        <f>ProjectData!B18</f>
        <v>5</v>
      </c>
      <c r="BJ8" s="290"/>
      <c r="BK8" s="362"/>
    </row>
    <row r="9" spans="1:66">
      <c r="A9" s="359" t="s">
        <v>285</v>
      </c>
      <c r="B9" s="76"/>
      <c r="C9" s="148" t="str">
        <f>ProjectData!B17</f>
        <v>Fixed Mount</v>
      </c>
      <c r="D9" s="49"/>
      <c r="E9" s="49"/>
      <c r="F9" s="35"/>
      <c r="G9" s="49"/>
      <c r="H9" s="49"/>
      <c r="I9" s="49"/>
      <c r="J9" s="49"/>
      <c r="K9" s="76"/>
      <c r="L9" s="76"/>
      <c r="M9" s="76"/>
      <c r="N9" s="76"/>
      <c r="O9" s="76"/>
      <c r="P9" s="76"/>
      <c r="Q9" s="76"/>
      <c r="R9" s="76"/>
      <c r="S9" s="76"/>
      <c r="T9" s="76"/>
      <c r="U9" s="76"/>
      <c r="V9" s="76"/>
      <c r="W9" s="76"/>
      <c r="X9" s="76"/>
      <c r="BB9" s="360" t="s">
        <v>285</v>
      </c>
      <c r="BD9" s="304" t="str">
        <f t="shared" si="0"/>
        <v>Fixed Mount</v>
      </c>
      <c r="BH9" s="360" t="s">
        <v>112</v>
      </c>
      <c r="BI9" s="256">
        <f>ProjectData!B19</f>
        <v>200</v>
      </c>
      <c r="BJ9" s="290"/>
      <c r="BK9" s="362"/>
    </row>
    <row r="10" spans="1:66" ht="14.25" customHeight="1">
      <c r="A10" s="359" t="s">
        <v>286</v>
      </c>
      <c r="B10" s="76"/>
      <c r="C10" s="150">
        <f>C13/C6</f>
        <v>2667.8184910322093</v>
      </c>
      <c r="D10" s="49"/>
      <c r="E10" s="49"/>
      <c r="F10" s="35"/>
      <c r="G10" s="49"/>
      <c r="H10" s="49"/>
      <c r="I10" s="49"/>
      <c r="J10" s="49"/>
      <c r="K10" s="76"/>
      <c r="L10" s="76"/>
      <c r="M10" s="76"/>
      <c r="N10" s="76"/>
      <c r="O10" s="76"/>
      <c r="P10" s="76"/>
      <c r="Q10" s="76"/>
      <c r="R10" s="76"/>
      <c r="S10" s="76"/>
      <c r="T10" s="76"/>
      <c r="U10" s="76"/>
      <c r="V10" s="76"/>
      <c r="W10" s="76"/>
      <c r="X10" s="76"/>
      <c r="BB10" s="360" t="s">
        <v>287</v>
      </c>
      <c r="BD10" s="363">
        <f t="shared" ref="BD10:BD21" si="1">C10</f>
        <v>2667.8184910322093</v>
      </c>
      <c r="BH10" s="360" t="s">
        <v>288</v>
      </c>
      <c r="BI10" s="256">
        <f>ProjectData!B20</f>
        <v>1000</v>
      </c>
      <c r="BJ10" s="290"/>
      <c r="BK10" s="362"/>
      <c r="BM10" s="132"/>
    </row>
    <row r="11" spans="1:66" ht="15.6">
      <c r="A11" s="359" t="s">
        <v>289</v>
      </c>
      <c r="B11" s="76"/>
      <c r="C11" s="152">
        <f>C16/C6</f>
        <v>32.799999999999997</v>
      </c>
      <c r="D11" s="49"/>
      <c r="E11" s="49"/>
      <c r="F11" s="34"/>
      <c r="G11" s="49"/>
      <c r="H11" s="49"/>
      <c r="I11" s="49"/>
      <c r="J11" s="49"/>
      <c r="K11" s="76"/>
      <c r="L11" s="76"/>
      <c r="M11" s="76"/>
      <c r="N11" s="76"/>
      <c r="O11" s="76"/>
      <c r="P11" s="76"/>
      <c r="Q11" s="76"/>
      <c r="R11" s="76"/>
      <c r="S11" s="76"/>
      <c r="T11" s="76"/>
      <c r="U11" s="76"/>
      <c r="V11" s="76"/>
      <c r="W11" s="76"/>
      <c r="X11" s="76"/>
      <c r="BB11" s="360" t="s">
        <v>289</v>
      </c>
      <c r="BD11" s="364">
        <f t="shared" si="1"/>
        <v>32.799999999999997</v>
      </c>
      <c r="BH11" s="358" t="s">
        <v>290</v>
      </c>
      <c r="BI11" s="257">
        <f>BD10</f>
        <v>2667.8184910322093</v>
      </c>
      <c r="BJ11" s="117"/>
      <c r="BK11" s="290"/>
      <c r="BM11" s="252"/>
      <c r="BN11" s="44"/>
    </row>
    <row r="12" spans="1:66">
      <c r="A12" s="359" t="s">
        <v>291</v>
      </c>
      <c r="B12" s="76"/>
      <c r="C12" s="149">
        <f>ProjectData!B24</f>
        <v>2010</v>
      </c>
      <c r="D12" s="49"/>
      <c r="E12" s="49"/>
      <c r="F12" s="34"/>
      <c r="G12" s="49"/>
      <c r="H12" s="49"/>
      <c r="I12" s="49"/>
      <c r="J12" s="49"/>
      <c r="K12" s="76"/>
      <c r="L12" s="76"/>
      <c r="M12" s="76"/>
      <c r="N12" s="76"/>
      <c r="O12" s="76"/>
      <c r="P12" s="76"/>
      <c r="Q12" s="76"/>
      <c r="R12" s="76"/>
      <c r="S12" s="76"/>
      <c r="T12" s="76"/>
      <c r="U12" s="76"/>
      <c r="V12" s="76"/>
      <c r="W12" s="76"/>
      <c r="X12" s="76"/>
      <c r="BB12" s="360" t="s">
        <v>291</v>
      </c>
      <c r="BD12" s="304">
        <f t="shared" si="1"/>
        <v>2010</v>
      </c>
      <c r="BH12" s="358" t="s">
        <v>116</v>
      </c>
      <c r="BI12" s="258">
        <f>BD11</f>
        <v>32.799999999999997</v>
      </c>
      <c r="BJ12" s="117"/>
      <c r="BK12" s="290"/>
      <c r="BM12" s="253"/>
    </row>
    <row r="13" spans="1:66">
      <c r="A13" s="38" t="s">
        <v>292</v>
      </c>
      <c r="B13" s="76"/>
      <c r="C13" s="34">
        <f>Calculations!D23</f>
        <v>2667818.4910322092</v>
      </c>
      <c r="D13" s="49"/>
      <c r="E13" s="49"/>
      <c r="F13" s="34"/>
      <c r="G13" s="49"/>
      <c r="H13" s="49"/>
      <c r="I13" s="49"/>
      <c r="J13" s="49"/>
      <c r="K13" s="76"/>
      <c r="L13" s="76"/>
      <c r="M13" s="76"/>
      <c r="N13" s="76"/>
      <c r="O13" s="76"/>
      <c r="P13" s="76"/>
      <c r="Q13" s="76"/>
      <c r="R13" s="76"/>
      <c r="S13" s="76"/>
      <c r="T13" s="76"/>
      <c r="U13" s="76"/>
      <c r="V13" s="76"/>
      <c r="W13" s="76"/>
      <c r="X13" s="76"/>
      <c r="BB13" s="19" t="s">
        <v>292</v>
      </c>
      <c r="BD13" s="363">
        <f t="shared" si="1"/>
        <v>2667818.4910322092</v>
      </c>
      <c r="BH13" s="358" t="s">
        <v>293</v>
      </c>
      <c r="BI13" s="256">
        <f>ProjectData!B24</f>
        <v>2010</v>
      </c>
      <c r="BJ13" s="290"/>
      <c r="BK13" s="290"/>
    </row>
    <row r="14" spans="1:66">
      <c r="A14" s="38" t="s">
        <v>294</v>
      </c>
      <c r="B14" s="76"/>
      <c r="C14" s="34">
        <f>+Calculations!F61</f>
        <v>2048210.1678958398</v>
      </c>
      <c r="D14" s="36"/>
      <c r="E14" s="36"/>
      <c r="F14" s="34"/>
      <c r="G14" s="49"/>
      <c r="H14" s="49"/>
      <c r="I14" s="49"/>
      <c r="J14" s="49"/>
      <c r="K14" s="76"/>
      <c r="L14" s="76"/>
      <c r="M14" s="76"/>
      <c r="N14" s="76"/>
      <c r="O14" s="76"/>
      <c r="P14" s="76"/>
      <c r="Q14" s="76"/>
      <c r="R14" s="76"/>
      <c r="S14" s="76"/>
      <c r="T14" s="76"/>
      <c r="U14" s="76"/>
      <c r="V14" s="76"/>
      <c r="W14" s="76"/>
      <c r="X14" s="76"/>
      <c r="BB14" s="19" t="s">
        <v>294</v>
      </c>
      <c r="BD14" s="363">
        <f t="shared" si="1"/>
        <v>2048210.1678958398</v>
      </c>
      <c r="BH14" s="290"/>
      <c r="BI14" s="365"/>
      <c r="BJ14" s="361"/>
      <c r="BK14" s="290"/>
    </row>
    <row r="15" spans="1:66" ht="15.6">
      <c r="A15" s="38" t="s">
        <v>295</v>
      </c>
      <c r="B15" s="76"/>
      <c r="C15" s="34">
        <f>C16+C18</f>
        <v>336651.74453131296</v>
      </c>
      <c r="D15" s="36"/>
      <c r="E15" s="36"/>
      <c r="F15" s="34"/>
      <c r="G15" s="49"/>
      <c r="H15" s="49"/>
      <c r="I15" s="49"/>
      <c r="J15" s="49"/>
      <c r="K15" s="76"/>
      <c r="L15" s="76"/>
      <c r="M15" s="76"/>
      <c r="N15" s="76"/>
      <c r="O15" s="76"/>
      <c r="P15" s="76"/>
      <c r="Q15" s="76"/>
      <c r="R15" s="76"/>
      <c r="S15" s="76"/>
      <c r="T15" s="76"/>
      <c r="U15" s="76"/>
      <c r="V15" s="76"/>
      <c r="W15" s="76"/>
      <c r="X15" s="76"/>
      <c r="BB15" s="19" t="s">
        <v>295</v>
      </c>
      <c r="BD15" s="363">
        <f t="shared" si="1"/>
        <v>336651.74453131296</v>
      </c>
      <c r="BH15" s="59" t="s">
        <v>121</v>
      </c>
      <c r="BI15" s="259"/>
      <c r="BJ15" s="366"/>
      <c r="BK15" s="366"/>
      <c r="BL15" s="254"/>
      <c r="BM15" s="254"/>
    </row>
    <row r="16" spans="1:66">
      <c r="A16" s="38" t="s">
        <v>296</v>
      </c>
      <c r="B16" s="76"/>
      <c r="C16" s="34">
        <f>Calculations!D78</f>
        <v>32800</v>
      </c>
      <c r="D16" s="36"/>
      <c r="E16" s="36"/>
      <c r="F16" s="34"/>
      <c r="G16" s="49"/>
      <c r="H16" s="49"/>
      <c r="I16" s="49"/>
      <c r="J16" s="49"/>
      <c r="K16" s="76"/>
      <c r="L16" s="76"/>
      <c r="M16" s="76"/>
      <c r="N16" s="76"/>
      <c r="O16" s="76"/>
      <c r="P16" s="76"/>
      <c r="Q16" s="76"/>
      <c r="R16" s="76"/>
      <c r="S16" s="76"/>
      <c r="T16" s="76"/>
      <c r="U16" s="76"/>
      <c r="V16" s="76"/>
      <c r="W16" s="76"/>
      <c r="X16" s="76"/>
      <c r="BB16" s="19" t="s">
        <v>296</v>
      </c>
      <c r="BD16" s="363">
        <f t="shared" si="1"/>
        <v>32800</v>
      </c>
      <c r="BH16" s="1" t="str">
        <f>ProjectData!A31</f>
        <v>Installation Costs</v>
      </c>
      <c r="BI16" s="111" t="str">
        <f>ProjectData!B31</f>
        <v>Cost</v>
      </c>
      <c r="BJ16" s="8" t="str">
        <f>ProjectData!C31</f>
        <v xml:space="preserve">Cost </v>
      </c>
      <c r="BK16" s="1" t="str">
        <f>ProjectData!D31</f>
        <v>Percent of</v>
      </c>
      <c r="BL16" s="1" t="str">
        <f>ProjectData!E31</f>
        <v>Purchased</v>
      </c>
      <c r="BM16" s="1" t="str">
        <f>ProjectData!F31</f>
        <v>Manufactured</v>
      </c>
    </row>
    <row r="17" spans="1:65" ht="12.75" customHeight="1">
      <c r="A17" s="38" t="s">
        <v>297</v>
      </c>
      <c r="B17" s="76"/>
      <c r="C17" s="34">
        <f>Calculations!G78</f>
        <v>29826.133333333331</v>
      </c>
      <c r="D17" s="36"/>
      <c r="E17" s="36"/>
      <c r="F17" s="34"/>
      <c r="G17" s="49"/>
      <c r="H17" s="49"/>
      <c r="I17" s="49"/>
      <c r="J17" s="49"/>
      <c r="K17" s="76"/>
      <c r="L17" s="76"/>
      <c r="M17" s="76"/>
      <c r="N17" s="76"/>
      <c r="O17" s="76"/>
      <c r="P17" s="76"/>
      <c r="Q17" s="76"/>
      <c r="R17" s="76"/>
      <c r="S17" s="76"/>
      <c r="T17" s="76"/>
      <c r="U17" s="76"/>
      <c r="V17" s="76"/>
      <c r="W17" s="76"/>
      <c r="X17" s="76"/>
      <c r="BB17" s="19" t="s">
        <v>297</v>
      </c>
      <c r="BD17" s="363">
        <f t="shared" si="1"/>
        <v>29826.133333333331</v>
      </c>
      <c r="BH17" s="290" t="str">
        <f>ProjectData!A32</f>
        <v xml:space="preserve">  Materials &amp; Equipment</v>
      </c>
      <c r="BI17" s="1"/>
      <c r="BJ17" s="8" t="str">
        <f>ProjectData!C32</f>
        <v>Per kW</v>
      </c>
      <c r="BK17" s="1" t="str">
        <f>ProjectData!D32</f>
        <v>Total Cost</v>
      </c>
      <c r="BL17" s="1" t="str">
        <f>ProjectData!E32</f>
        <v>Locally (%)</v>
      </c>
      <c r="BM17" s="1" t="str">
        <f>ProjectData!F32</f>
        <v>Locally (Y or N)</v>
      </c>
    </row>
    <row r="18" spans="1:65">
      <c r="A18" s="38" t="s">
        <v>298</v>
      </c>
      <c r="B18" s="76"/>
      <c r="C18" s="34">
        <f>Calculations!E78</f>
        <v>303851.74453131296</v>
      </c>
      <c r="D18" s="36"/>
      <c r="E18" s="36"/>
      <c r="F18" s="34"/>
      <c r="G18" s="49"/>
      <c r="H18" s="49"/>
      <c r="I18" s="49"/>
      <c r="J18" s="49"/>
      <c r="K18" s="76"/>
      <c r="L18" s="76"/>
      <c r="M18" s="76"/>
      <c r="N18" s="76"/>
      <c r="O18" s="76"/>
      <c r="P18" s="76"/>
      <c r="Q18" s="76"/>
      <c r="R18" s="76"/>
      <c r="S18" s="76"/>
      <c r="T18" s="76"/>
      <c r="U18" s="76"/>
      <c r="V18" s="76"/>
      <c r="W18" s="76"/>
      <c r="X18" s="76"/>
      <c r="BB18" s="19" t="s">
        <v>298</v>
      </c>
      <c r="BD18" s="363">
        <f t="shared" si="1"/>
        <v>303851.74453131296</v>
      </c>
      <c r="BH18" s="290" t="str">
        <f>ProjectData!A33</f>
        <v xml:space="preserve">    Mounting (rails, clamps, fittings, etc.)</v>
      </c>
      <c r="BI18" s="365">
        <f>BC59</f>
        <v>95726.004978933503</v>
      </c>
      <c r="BJ18" s="365">
        <f>BI18/BI$10</f>
        <v>95.726004978933503</v>
      </c>
      <c r="BK18" s="367">
        <f>BI18/BI$34</f>
        <v>3.5881753312945977E-2</v>
      </c>
      <c r="BL18" s="367">
        <f t="shared" ref="BL18:BM21" si="2">BD59</f>
        <v>1</v>
      </c>
      <c r="BM18" s="304" t="str">
        <f t="shared" si="2"/>
        <v>N</v>
      </c>
    </row>
    <row r="19" spans="1:65">
      <c r="A19" s="38" t="s">
        <v>297</v>
      </c>
      <c r="B19" s="76"/>
      <c r="C19" s="34">
        <f>Calculations!H78</f>
        <v>0</v>
      </c>
      <c r="D19" s="36"/>
      <c r="E19" s="36"/>
      <c r="F19" s="34"/>
      <c r="G19" s="49"/>
      <c r="H19" s="49"/>
      <c r="I19" s="49"/>
      <c r="J19" s="49"/>
      <c r="K19" s="76"/>
      <c r="L19" s="76"/>
      <c r="M19" s="76"/>
      <c r="N19" s="76"/>
      <c r="O19" s="76"/>
      <c r="P19" s="76"/>
      <c r="Q19" s="76"/>
      <c r="R19" s="76"/>
      <c r="S19" s="76"/>
      <c r="T19" s="76"/>
      <c r="U19" s="76"/>
      <c r="V19" s="76"/>
      <c r="W19" s="76"/>
      <c r="X19" s="76"/>
      <c r="BB19" s="19" t="s">
        <v>297</v>
      </c>
      <c r="BD19" s="363">
        <f t="shared" si="1"/>
        <v>0</v>
      </c>
      <c r="BH19" s="290" t="str">
        <f>ProjectData!A34</f>
        <v xml:space="preserve">    Modules</v>
      </c>
      <c r="BI19" s="365">
        <f>BC60</f>
        <v>304582.74311478843</v>
      </c>
      <c r="BJ19" s="365">
        <f t="shared" ref="BJ19:BJ24" si="3">BI19/BI$10</f>
        <v>304.58274311478846</v>
      </c>
      <c r="BK19" s="367">
        <f>BI19/BI$34</f>
        <v>0.11416921508664629</v>
      </c>
      <c r="BL19" s="367">
        <f t="shared" si="2"/>
        <v>1</v>
      </c>
      <c r="BM19" s="304" t="str">
        <f t="shared" si="2"/>
        <v>N</v>
      </c>
    </row>
    <row r="20" spans="1:65" ht="12.75" customHeight="1">
      <c r="A20" s="38" t="s">
        <v>299</v>
      </c>
      <c r="B20" s="76"/>
      <c r="C20" s="34">
        <f>SUM(Calculations!G75:G75)</f>
        <v>0</v>
      </c>
      <c r="D20" s="36"/>
      <c r="E20" s="36"/>
      <c r="F20" s="34"/>
      <c r="G20" s="49"/>
      <c r="H20" s="49"/>
      <c r="I20" s="49"/>
      <c r="J20" s="49"/>
      <c r="K20" s="76"/>
      <c r="L20" s="76"/>
      <c r="M20" s="76"/>
      <c r="N20" s="76"/>
      <c r="O20" s="76"/>
      <c r="P20" s="76"/>
      <c r="Q20" s="76"/>
      <c r="R20" s="76"/>
      <c r="S20" s="76"/>
      <c r="T20" s="76"/>
      <c r="U20" s="76"/>
      <c r="V20" s="76"/>
      <c r="W20" s="76"/>
      <c r="X20" s="76"/>
      <c r="BB20" s="19" t="s">
        <v>299</v>
      </c>
      <c r="BD20" s="363">
        <f t="shared" si="1"/>
        <v>0</v>
      </c>
      <c r="BH20" s="290" t="str">
        <f>ProjectData!A35</f>
        <v xml:space="preserve">    Electrical (wire, connectors, breakers, etc.)</v>
      </c>
      <c r="BI20" s="365">
        <f>BC61</f>
        <v>208856.73813585489</v>
      </c>
      <c r="BJ20" s="365">
        <f t="shared" si="3"/>
        <v>208.8567381358549</v>
      </c>
      <c r="BK20" s="367">
        <f>BI20/BI$34</f>
        <v>7.8287461773700301E-2</v>
      </c>
      <c r="BL20" s="367">
        <f t="shared" si="2"/>
        <v>1</v>
      </c>
      <c r="BM20" s="304" t="str">
        <f t="shared" si="2"/>
        <v>N</v>
      </c>
    </row>
    <row r="21" spans="1:65">
      <c r="A21" s="38" t="s">
        <v>300</v>
      </c>
      <c r="B21" s="76"/>
      <c r="C21" s="34">
        <f>Calculations!G76</f>
        <v>0</v>
      </c>
      <c r="D21" s="36"/>
      <c r="E21" s="36"/>
      <c r="F21" s="34"/>
      <c r="G21" s="49"/>
      <c r="H21" s="49"/>
      <c r="I21" s="49"/>
      <c r="J21" s="49"/>
      <c r="K21" s="76"/>
      <c r="L21" s="76"/>
      <c r="M21" s="76"/>
      <c r="N21" s="76"/>
      <c r="O21" s="76"/>
      <c r="P21" s="76"/>
      <c r="Q21" s="76"/>
      <c r="R21" s="76"/>
      <c r="S21" s="76"/>
      <c r="T21" s="76"/>
      <c r="U21" s="76"/>
      <c r="V21" s="76"/>
      <c r="W21" s="76"/>
      <c r="X21" s="76"/>
      <c r="BB21" s="19" t="s">
        <v>300</v>
      </c>
      <c r="BD21" s="363">
        <f t="shared" si="1"/>
        <v>0</v>
      </c>
      <c r="BH21" s="290" t="str">
        <f>ProjectData!A36</f>
        <v xml:space="preserve">    Inverter</v>
      </c>
      <c r="BI21" s="365">
        <f>BC62</f>
        <v>165344.91769088514</v>
      </c>
      <c r="BJ21" s="365">
        <f t="shared" si="3"/>
        <v>165.34491769088513</v>
      </c>
      <c r="BK21" s="367">
        <f>BI21/BI$34</f>
        <v>6.1977573904179406E-2</v>
      </c>
      <c r="BL21" s="367">
        <f t="shared" si="2"/>
        <v>1</v>
      </c>
      <c r="BM21" s="304" t="str">
        <f t="shared" si="2"/>
        <v>N</v>
      </c>
    </row>
    <row r="22" spans="1:65">
      <c r="A22" s="124"/>
      <c r="B22" s="124"/>
      <c r="C22" s="124"/>
      <c r="D22" s="36"/>
      <c r="E22" s="36"/>
      <c r="F22" s="34"/>
      <c r="G22" s="49"/>
      <c r="H22" s="49"/>
      <c r="I22" s="49"/>
      <c r="J22" s="49"/>
      <c r="K22" s="76"/>
      <c r="L22" s="76"/>
      <c r="M22" s="76"/>
      <c r="N22" s="76"/>
      <c r="O22" s="76"/>
      <c r="P22" s="76"/>
      <c r="Q22" s="76"/>
      <c r="R22" s="76"/>
      <c r="S22" s="76"/>
      <c r="T22" s="76"/>
      <c r="U22" s="76"/>
      <c r="V22" s="76"/>
      <c r="W22" s="76"/>
      <c r="X22" s="76"/>
      <c r="BH22" s="290" t="str">
        <f>ProjectData!A37</f>
        <v xml:space="preserve">    Subtotal</v>
      </c>
      <c r="BI22" s="365">
        <f>BC63</f>
        <v>774510.40392046201</v>
      </c>
      <c r="BJ22" s="365">
        <f t="shared" si="3"/>
        <v>774.51040392046195</v>
      </c>
      <c r="BK22" s="367">
        <f>BI22/BI$34</f>
        <v>0.29031600407747199</v>
      </c>
      <c r="BL22" s="367"/>
      <c r="BM22" s="290"/>
    </row>
    <row r="23" spans="1:65">
      <c r="A23" s="124"/>
      <c r="B23" s="48"/>
      <c r="C23" s="124"/>
      <c r="D23" s="49"/>
      <c r="E23" s="49"/>
      <c r="F23" s="34"/>
      <c r="G23" s="49"/>
      <c r="H23" s="49"/>
      <c r="I23" s="49"/>
      <c r="J23" s="49"/>
      <c r="K23" s="76"/>
      <c r="L23" s="76"/>
      <c r="M23" s="76"/>
      <c r="N23" s="76"/>
      <c r="O23" s="76"/>
      <c r="P23" s="76"/>
      <c r="Q23" s="76"/>
      <c r="R23" s="76"/>
      <c r="S23" s="76"/>
      <c r="T23" s="76"/>
      <c r="U23" s="76"/>
      <c r="V23" s="76"/>
      <c r="W23" s="76"/>
      <c r="X23" s="76"/>
      <c r="BB23" s="132"/>
      <c r="BC23" s="8"/>
      <c r="BD23" s="8"/>
      <c r="BE23" s="8"/>
      <c r="BH23" s="290" t="str">
        <f>ProjectData!A38</f>
        <v xml:space="preserve">  Labor</v>
      </c>
      <c r="BI23" s="365"/>
      <c r="BJ23" s="365"/>
      <c r="BK23" s="367"/>
      <c r="BL23" s="367"/>
      <c r="BM23" s="290"/>
    </row>
    <row r="24" spans="1:65" ht="15.6">
      <c r="A24" s="30" t="s">
        <v>301</v>
      </c>
      <c r="B24" s="32"/>
      <c r="C24" s="32"/>
      <c r="D24" s="32"/>
      <c r="E24" s="32"/>
      <c r="F24" s="32"/>
      <c r="G24" s="32"/>
      <c r="H24" s="32"/>
      <c r="I24" s="49"/>
      <c r="J24" s="49"/>
      <c r="K24" s="76"/>
      <c r="L24" s="76"/>
      <c r="M24" s="76"/>
      <c r="N24" s="76"/>
      <c r="O24" s="76"/>
      <c r="P24" s="76"/>
      <c r="Q24" s="76"/>
      <c r="R24" s="76"/>
      <c r="S24" s="76"/>
      <c r="T24" s="76"/>
      <c r="U24" s="76"/>
      <c r="V24" s="76"/>
      <c r="W24" s="76"/>
      <c r="X24" s="76"/>
      <c r="BB24" s="59" t="s">
        <v>301</v>
      </c>
      <c r="BH24" s="290" t="str">
        <f>ProjectData!A39</f>
        <v xml:space="preserve">    Installation</v>
      </c>
      <c r="BI24" s="365">
        <f>BC65</f>
        <v>261070.92266981862</v>
      </c>
      <c r="BJ24" s="365">
        <f t="shared" si="3"/>
        <v>261.07092266981863</v>
      </c>
      <c r="BK24" s="367">
        <f>BI24/BI$34</f>
        <v>9.7859327217125369E-2</v>
      </c>
      <c r="BL24" s="367">
        <f>BD65</f>
        <v>1</v>
      </c>
      <c r="BM24" s="290"/>
    </row>
    <row r="25" spans="1:65">
      <c r="A25" s="32"/>
      <c r="B25" s="32" t="s">
        <v>302</v>
      </c>
      <c r="C25" s="32" t="s">
        <v>303</v>
      </c>
      <c r="D25" s="32" t="s">
        <v>304</v>
      </c>
      <c r="E25" s="32" t="s">
        <v>305</v>
      </c>
      <c r="F25" s="49"/>
      <c r="G25" s="49"/>
      <c r="H25" s="49"/>
      <c r="I25" s="49"/>
      <c r="J25" s="49"/>
      <c r="K25" s="76"/>
      <c r="L25" s="76"/>
      <c r="M25" s="76"/>
      <c r="N25" s="76"/>
      <c r="O25" s="76"/>
      <c r="P25" s="76"/>
      <c r="Q25" s="76"/>
      <c r="R25" s="76"/>
      <c r="S25" s="76"/>
      <c r="T25" s="76"/>
      <c r="U25" s="76"/>
      <c r="V25" s="76"/>
      <c r="W25" s="76"/>
      <c r="X25" s="76"/>
      <c r="BB25" s="8"/>
      <c r="BC25" s="8" t="s">
        <v>302</v>
      </c>
      <c r="BD25" s="8" t="s">
        <v>303</v>
      </c>
      <c r="BE25" s="8" t="s">
        <v>304</v>
      </c>
      <c r="BF25" s="8" t="s">
        <v>305</v>
      </c>
      <c r="BH25" s="290" t="str">
        <f>ProjectData!A40</f>
        <v xml:space="preserve">    Subtotal</v>
      </c>
      <c r="BI25" s="365">
        <f>BC66</f>
        <v>261070.92266981862</v>
      </c>
      <c r="BJ25" s="365">
        <f>BI25/BI$10</f>
        <v>261.07092266981863</v>
      </c>
      <c r="BK25" s="367">
        <f>BI25/BI$34</f>
        <v>9.7859327217125369E-2</v>
      </c>
      <c r="BL25" s="367"/>
      <c r="BM25" s="290"/>
    </row>
    <row r="26" spans="1:65">
      <c r="A26" s="145" t="s">
        <v>306</v>
      </c>
      <c r="B26" s="49"/>
      <c r="C26" s="170" t="str">
        <f>CONCATENATE("$000 (",$C12,")")</f>
        <v>$000 (2010)</v>
      </c>
      <c r="D26" s="170" t="str">
        <f>CONCATENATE("$000 (",$C12,")")</f>
        <v>$000 (2010)</v>
      </c>
      <c r="E26" s="170" t="str">
        <f>CONCATENATE("$000 (",$C12,")")</f>
        <v>$000 (2010)</v>
      </c>
      <c r="F26" s="39"/>
      <c r="G26" s="40"/>
      <c r="H26" s="40"/>
      <c r="I26" s="49"/>
      <c r="J26" s="49"/>
      <c r="K26" s="76"/>
      <c r="L26" s="76"/>
      <c r="M26" s="76"/>
      <c r="N26" s="76"/>
      <c r="O26" s="76"/>
      <c r="P26" s="76"/>
      <c r="Q26" s="76"/>
      <c r="R26" s="76"/>
      <c r="S26" s="76"/>
      <c r="T26" s="76"/>
      <c r="U26" s="76"/>
      <c r="V26" s="76"/>
      <c r="W26" s="76"/>
      <c r="X26" s="76"/>
      <c r="BB26" s="25" t="s">
        <v>306</v>
      </c>
      <c r="BD26" s="134" t="str">
        <f>C26</f>
        <v>$000 (2010)</v>
      </c>
      <c r="BE26" s="134" t="str">
        <f>D26</f>
        <v>$000 (2010)</v>
      </c>
      <c r="BF26" s="134" t="str">
        <f>E26</f>
        <v>$000 (2010)</v>
      </c>
      <c r="BH26" s="290" t="str">
        <f>ProjectData!A41</f>
        <v xml:space="preserve">  Total</v>
      </c>
      <c r="BI26" s="365">
        <f>BC67</f>
        <v>1035581.3265902806</v>
      </c>
      <c r="BJ26" s="365">
        <f>BI26/BI$10</f>
        <v>1035.5813265902807</v>
      </c>
      <c r="BK26" s="367">
        <f>BI26/BI$34</f>
        <v>0.38817533129459736</v>
      </c>
      <c r="BL26" s="367"/>
      <c r="BM26" s="290"/>
    </row>
    <row r="27" spans="1:65" ht="14.25" customHeight="1">
      <c r="A27" s="261" t="s">
        <v>307</v>
      </c>
      <c r="B27" s="33"/>
      <c r="C27" s="40"/>
      <c r="D27" s="40"/>
      <c r="E27" s="40"/>
      <c r="F27" s="39"/>
      <c r="G27" s="40"/>
      <c r="H27" s="40"/>
      <c r="I27" s="49"/>
      <c r="J27" s="49"/>
      <c r="K27" s="76"/>
      <c r="L27" s="76"/>
      <c r="M27" s="76"/>
      <c r="N27" s="76"/>
      <c r="O27" s="76"/>
      <c r="P27" s="76"/>
      <c r="Q27" s="76"/>
      <c r="R27" s="76"/>
      <c r="S27" s="76"/>
      <c r="T27" s="76"/>
      <c r="U27" s="76"/>
      <c r="V27" s="76"/>
      <c r="W27" s="76"/>
      <c r="X27" s="76"/>
      <c r="BB27" s="178" t="s">
        <v>307</v>
      </c>
      <c r="BC27" s="368"/>
      <c r="BD27" s="369"/>
      <c r="BE27" s="369"/>
      <c r="BF27" s="369"/>
      <c r="BH27" s="1" t="str">
        <f>ProjectData!A42</f>
        <v>Other Costs</v>
      </c>
      <c r="BI27" s="365"/>
      <c r="BJ27" s="365"/>
      <c r="BK27" s="367"/>
      <c r="BL27" s="367"/>
      <c r="BM27" s="290"/>
    </row>
    <row r="28" spans="1:65">
      <c r="A28" s="262" t="s">
        <v>308</v>
      </c>
      <c r="B28" s="33">
        <f>Calculations!AH38</f>
        <v>4.3089037080548183</v>
      </c>
      <c r="C28" s="40">
        <f>Calculations!AI38</f>
        <v>261.0855269772328</v>
      </c>
      <c r="D28" s="40"/>
      <c r="E28" s="40"/>
      <c r="F28" s="64"/>
      <c r="G28" s="64"/>
      <c r="H28" s="40"/>
      <c r="I28" s="49"/>
      <c r="J28" s="49"/>
      <c r="K28" s="76"/>
      <c r="L28" s="76"/>
      <c r="M28" s="76"/>
      <c r="N28" s="76"/>
      <c r="O28" s="76"/>
      <c r="P28" s="76"/>
      <c r="Q28" s="76"/>
      <c r="R28" s="76"/>
      <c r="S28" s="76"/>
      <c r="T28" s="76"/>
      <c r="U28" s="76"/>
      <c r="V28" s="76"/>
      <c r="W28" s="76"/>
      <c r="X28" s="76"/>
      <c r="BB28" s="207" t="s">
        <v>308</v>
      </c>
      <c r="BC28" s="368">
        <f t="shared" ref="BC28:BC40" si="4">B28</f>
        <v>4.3089037080548183</v>
      </c>
      <c r="BD28" s="369">
        <f>C28</f>
        <v>261.0855269772328</v>
      </c>
      <c r="BE28" s="369"/>
      <c r="BF28" s="369"/>
      <c r="BH28" s="290" t="str">
        <f>ProjectData!A43</f>
        <v>Permitting, Fees, and Taxes</v>
      </c>
      <c r="BI28" s="365">
        <f t="shared" ref="BI28:BI34" si="5">BC69</f>
        <v>348094.56355975819</v>
      </c>
      <c r="BJ28" s="365">
        <f t="shared" ref="BJ28:BJ29" si="6">BI28/BI$10</f>
        <v>348.09456355975817</v>
      </c>
      <c r="BK28" s="367">
        <f t="shared" ref="BK28:BK34" si="7">BI28/BI$34</f>
        <v>0.13047910295616719</v>
      </c>
      <c r="BL28" s="367">
        <f>BD69</f>
        <v>1</v>
      </c>
      <c r="BM28" s="290"/>
    </row>
    <row r="29" spans="1:65" ht="13.5" customHeight="1">
      <c r="A29" s="261" t="s">
        <v>309</v>
      </c>
      <c r="B29" s="33">
        <f>Calculations!AH39</f>
        <v>6.434070052042216</v>
      </c>
      <c r="C29" s="40">
        <f>Calculations!AI39</f>
        <v>381.67665878822515</v>
      </c>
      <c r="D29" s="40"/>
      <c r="E29" s="40"/>
      <c r="F29" s="64"/>
      <c r="G29" s="64"/>
      <c r="H29" s="40"/>
      <c r="I29" s="49"/>
      <c r="J29" s="49"/>
      <c r="K29" s="76"/>
      <c r="L29" s="76"/>
      <c r="M29" s="76"/>
      <c r="N29" s="76"/>
      <c r="O29" s="76"/>
      <c r="P29" s="76"/>
      <c r="Q29" s="76"/>
      <c r="R29" s="76"/>
      <c r="S29" s="76"/>
      <c r="T29" s="76"/>
      <c r="U29" s="76"/>
      <c r="V29" s="76"/>
      <c r="W29" s="76"/>
      <c r="X29" s="76"/>
      <c r="BB29" s="178" t="s">
        <v>309</v>
      </c>
      <c r="BC29" s="368">
        <f t="shared" si="4"/>
        <v>6.434070052042216</v>
      </c>
      <c r="BD29" s="369">
        <f>C29</f>
        <v>381.67665878822515</v>
      </c>
      <c r="BE29" s="369"/>
      <c r="BF29" s="369"/>
      <c r="BH29" s="290" t="str">
        <f>ProjectData!A44</f>
        <v xml:space="preserve">  Other Costs</v>
      </c>
      <c r="BI29" s="365">
        <f t="shared" si="5"/>
        <v>661379.67076354055</v>
      </c>
      <c r="BJ29" s="365">
        <f t="shared" si="6"/>
        <v>661.3796707635405</v>
      </c>
      <c r="BK29" s="367">
        <f t="shared" si="7"/>
        <v>0.24791029561671762</v>
      </c>
      <c r="BL29" s="367">
        <f>BD70</f>
        <v>1</v>
      </c>
      <c r="BM29" s="290"/>
    </row>
    <row r="30" spans="1:65" ht="13.5" customHeight="1">
      <c r="A30" s="261" t="s">
        <v>310</v>
      </c>
      <c r="B30" s="33">
        <f>Calculations!AH40</f>
        <v>10.742973760097033</v>
      </c>
      <c r="C30" s="40">
        <f>Calculations!AI40</f>
        <v>642.76218576545796</v>
      </c>
      <c r="D30" s="40">
        <f>Calculations!AJ40</f>
        <v>1157.4791695990655</v>
      </c>
      <c r="E30" s="40">
        <f>Calculations!AK40</f>
        <v>875.79721459816164</v>
      </c>
      <c r="F30" s="64"/>
      <c r="G30" s="64"/>
      <c r="H30" s="40"/>
      <c r="I30" s="49"/>
      <c r="J30" s="49"/>
      <c r="K30" s="76"/>
      <c r="L30" s="76"/>
      <c r="M30" s="76"/>
      <c r="N30" s="76"/>
      <c r="O30" s="76"/>
      <c r="P30" s="76"/>
      <c r="Q30" s="76"/>
      <c r="R30" s="76"/>
      <c r="S30" s="76"/>
      <c r="T30" s="76"/>
      <c r="U30" s="76"/>
      <c r="V30" s="76"/>
      <c r="W30" s="76"/>
      <c r="X30" s="76"/>
      <c r="BB30" s="178" t="s">
        <v>310</v>
      </c>
      <c r="BC30" s="368">
        <f t="shared" ref="BC30" si="8">B30</f>
        <v>10.742973760097033</v>
      </c>
      <c r="BD30" s="369">
        <f>C30</f>
        <v>642.76218576545796</v>
      </c>
      <c r="BE30" s="369">
        <f>D30</f>
        <v>1157.4791695990655</v>
      </c>
      <c r="BF30" s="369">
        <f>E30</f>
        <v>875.79721459816164</v>
      </c>
      <c r="BH30" s="290" t="str">
        <f>ProjectData!A45</f>
        <v xml:space="preserve">  Business Overhead</v>
      </c>
      <c r="BI30" s="365">
        <f t="shared" si="5"/>
        <v>574356.02987360104</v>
      </c>
      <c r="BJ30" s="365">
        <f>BI30/BI$10</f>
        <v>574.35602987360107</v>
      </c>
      <c r="BK30" s="367">
        <f t="shared" si="7"/>
        <v>0.21529051987767586</v>
      </c>
      <c r="BL30" s="367">
        <f>BD71</f>
        <v>1</v>
      </c>
      <c r="BM30" s="290"/>
    </row>
    <row r="31" spans="1:65">
      <c r="A31" s="202" t="s">
        <v>311</v>
      </c>
      <c r="B31" s="33"/>
      <c r="C31" s="40"/>
      <c r="D31" s="40"/>
      <c r="E31" s="40"/>
      <c r="F31" s="39"/>
      <c r="G31" s="40"/>
      <c r="H31" s="40"/>
      <c r="I31" s="49"/>
      <c r="J31" s="49"/>
      <c r="K31" s="76"/>
      <c r="L31" s="76"/>
      <c r="M31" s="76"/>
      <c r="N31" s="76"/>
      <c r="O31" s="76"/>
      <c r="P31" s="76"/>
      <c r="Q31" s="76"/>
      <c r="R31" s="76"/>
      <c r="S31" s="76"/>
      <c r="T31" s="76"/>
      <c r="U31" s="76"/>
      <c r="V31" s="76"/>
      <c r="W31" s="76"/>
      <c r="X31" s="76"/>
      <c r="BB31" s="204" t="s">
        <v>311</v>
      </c>
      <c r="BC31" s="368"/>
      <c r="BD31" s="369"/>
      <c r="BE31" s="369"/>
      <c r="BF31" s="369"/>
      <c r="BH31" s="290" t="str">
        <f>ProjectData!A46</f>
        <v xml:space="preserve">  Subtotal</v>
      </c>
      <c r="BI31" s="365">
        <f t="shared" si="5"/>
        <v>1583830.2641968997</v>
      </c>
      <c r="BJ31" s="365">
        <f>BI31/BI$10</f>
        <v>1583.8302641968996</v>
      </c>
      <c r="BK31" s="367">
        <f t="shared" si="7"/>
        <v>0.59367991845056067</v>
      </c>
      <c r="BL31" s="367"/>
      <c r="BM31" s="290"/>
    </row>
    <row r="32" spans="1:65">
      <c r="A32" s="49" t="s">
        <v>312</v>
      </c>
      <c r="B32" s="33">
        <f>Calculations!AH42</f>
        <v>0</v>
      </c>
      <c r="C32" s="40">
        <f>Calculations!AI42</f>
        <v>0</v>
      </c>
      <c r="D32" s="40">
        <f>Calculations!AJ42</f>
        <v>0</v>
      </c>
      <c r="E32" s="40">
        <f>Calculations!AK42</f>
        <v>0</v>
      </c>
      <c r="F32" s="39"/>
      <c r="G32" s="40"/>
      <c r="H32" s="40"/>
      <c r="I32" s="49"/>
      <c r="J32" s="49"/>
      <c r="K32" s="76"/>
      <c r="L32" s="76"/>
      <c r="M32" s="76"/>
      <c r="N32" s="76"/>
      <c r="O32" s="76"/>
      <c r="P32" s="76"/>
      <c r="Q32" s="76"/>
      <c r="R32" s="76"/>
      <c r="S32" s="76"/>
      <c r="T32" s="76"/>
      <c r="U32" s="76"/>
      <c r="V32" s="76"/>
      <c r="W32" s="76"/>
      <c r="X32" s="76"/>
      <c r="BB32" s="290" t="s">
        <v>313</v>
      </c>
      <c r="BC32" s="368">
        <f>B32</f>
        <v>0</v>
      </c>
      <c r="BD32" s="369">
        <f>C32</f>
        <v>0</v>
      </c>
      <c r="BE32" s="369">
        <f>D32</f>
        <v>0</v>
      </c>
      <c r="BF32" s="369">
        <f>E32</f>
        <v>0</v>
      </c>
      <c r="BH32" s="290" t="str">
        <f>ProjectData!A47</f>
        <v>Subtotal</v>
      </c>
      <c r="BI32" s="365">
        <f t="shared" si="5"/>
        <v>2619411.5907871802</v>
      </c>
      <c r="BJ32" s="365">
        <f>BI32/BI$10</f>
        <v>2619.4115907871801</v>
      </c>
      <c r="BK32" s="367">
        <f t="shared" si="7"/>
        <v>0.98185524974515792</v>
      </c>
      <c r="BL32" s="367"/>
      <c r="BM32" s="290"/>
    </row>
    <row r="33" spans="1:65">
      <c r="A33" s="297" t="s">
        <v>314</v>
      </c>
      <c r="B33" s="33">
        <f>Calculations!AH43</f>
        <v>2.0426375451781666</v>
      </c>
      <c r="C33" s="40">
        <f>Calculations!AI43</f>
        <v>118.73521901888743</v>
      </c>
      <c r="D33" s="40">
        <f>Calculations!AJ43</f>
        <v>410.78862250947168</v>
      </c>
      <c r="E33" s="40">
        <f>Calculations!AK43</f>
        <v>241.9371915102995</v>
      </c>
      <c r="F33" s="39"/>
      <c r="G33" s="40"/>
      <c r="H33" s="40"/>
      <c r="I33" s="49"/>
      <c r="J33" s="49"/>
      <c r="K33" s="76"/>
      <c r="L33" s="76"/>
      <c r="M33" s="76"/>
      <c r="N33" s="76"/>
      <c r="O33" s="76"/>
      <c r="P33" s="76"/>
      <c r="Q33" s="76"/>
      <c r="R33" s="76"/>
      <c r="S33" s="76"/>
      <c r="T33" s="76"/>
      <c r="U33" s="76"/>
      <c r="V33" s="76"/>
      <c r="W33" s="76"/>
      <c r="X33" s="76"/>
      <c r="BB33" s="290" t="s">
        <v>315</v>
      </c>
      <c r="BC33" s="368">
        <f t="shared" ref="BC33:BC38" si="9">B33</f>
        <v>2.0426375451781666</v>
      </c>
      <c r="BD33" s="369">
        <f t="shared" ref="BD33:BD38" si="10">C33</f>
        <v>118.73521901888743</v>
      </c>
      <c r="BE33" s="369">
        <f t="shared" ref="BE33:BF38" si="11">D33</f>
        <v>410.78862250947168</v>
      </c>
      <c r="BF33" s="369">
        <f t="shared" si="11"/>
        <v>241.9371915102995</v>
      </c>
      <c r="BH33" s="290" t="str">
        <f>ProjectData!A48</f>
        <v>Sales Tax (Materials &amp; Equipment Purchases)</v>
      </c>
      <c r="BI33" s="365">
        <f t="shared" si="5"/>
        <v>48406.900245028875</v>
      </c>
      <c r="BJ33" s="365">
        <f>BI33/BI$10</f>
        <v>48.406900245028872</v>
      </c>
      <c r="BK33" s="367">
        <f t="shared" si="7"/>
        <v>1.8144750254841999E-2</v>
      </c>
      <c r="BL33" s="367">
        <f>BD74</f>
        <v>1</v>
      </c>
      <c r="BM33" s="290"/>
    </row>
    <row r="34" spans="1:65">
      <c r="A34" s="297" t="s">
        <v>316</v>
      </c>
      <c r="B34" s="33">
        <f>Calculations!AH44</f>
        <v>0</v>
      </c>
      <c r="C34" s="40">
        <f>Calculations!AI44</f>
        <v>0</v>
      </c>
      <c r="D34" s="40">
        <f>Calculations!AJ44</f>
        <v>0</v>
      </c>
      <c r="E34" s="40">
        <f>Calculations!AK44</f>
        <v>0</v>
      </c>
      <c r="F34" s="39"/>
      <c r="G34" s="40"/>
      <c r="H34" s="40"/>
      <c r="I34" s="49"/>
      <c r="J34" s="49"/>
      <c r="K34" s="76"/>
      <c r="L34" s="76"/>
      <c r="M34" s="76"/>
      <c r="N34" s="76"/>
      <c r="O34" s="76"/>
      <c r="P34" s="76"/>
      <c r="Q34" s="76"/>
      <c r="R34" s="76"/>
      <c r="S34" s="76"/>
      <c r="T34" s="76"/>
      <c r="U34" s="76"/>
      <c r="V34" s="76"/>
      <c r="W34" s="76"/>
      <c r="X34" s="76"/>
      <c r="BB34" s="290" t="s">
        <v>317</v>
      </c>
      <c r="BC34" s="368">
        <f t="shared" si="9"/>
        <v>0</v>
      </c>
      <c r="BD34" s="369">
        <f t="shared" si="10"/>
        <v>0</v>
      </c>
      <c r="BE34" s="369">
        <f t="shared" si="11"/>
        <v>0</v>
      </c>
      <c r="BF34" s="369">
        <f t="shared" si="11"/>
        <v>0</v>
      </c>
      <c r="BH34" s="290" t="str">
        <f>ProjectData!A49</f>
        <v>Total</v>
      </c>
      <c r="BI34" s="365">
        <f t="shared" si="5"/>
        <v>2667818.4910322092</v>
      </c>
      <c r="BJ34" s="365">
        <f>BI34/BI$10</f>
        <v>2667.8184910322093</v>
      </c>
      <c r="BK34" s="367">
        <f t="shared" si="7"/>
        <v>1</v>
      </c>
      <c r="BL34" s="367"/>
      <c r="BM34" s="290"/>
    </row>
    <row r="35" spans="1:65">
      <c r="A35" s="297" t="s">
        <v>318</v>
      </c>
      <c r="B35" s="33">
        <f>Calculations!AH45</f>
        <v>2.7148360516344301</v>
      </c>
      <c r="C35" s="40">
        <f>Calculations!AI45</f>
        <v>132.79297261712418</v>
      </c>
      <c r="D35" s="40">
        <f>Calculations!AJ45</f>
        <v>423.42624491044239</v>
      </c>
      <c r="E35" s="40">
        <f>Calculations!AK45</f>
        <v>245.756368917564</v>
      </c>
      <c r="F35" s="39"/>
      <c r="G35" s="40"/>
      <c r="H35" s="40"/>
      <c r="I35" s="49"/>
      <c r="J35" s="49"/>
      <c r="K35" s="76"/>
      <c r="L35" s="76"/>
      <c r="M35" s="76"/>
      <c r="N35" s="76"/>
      <c r="O35" s="76"/>
      <c r="P35" s="76"/>
      <c r="Q35" s="76"/>
      <c r="R35" s="76"/>
      <c r="S35" s="76"/>
      <c r="T35" s="76"/>
      <c r="U35" s="76"/>
      <c r="V35" s="76"/>
      <c r="W35" s="76"/>
      <c r="X35" s="76"/>
      <c r="BB35" s="290" t="s">
        <v>319</v>
      </c>
      <c r="BC35" s="368">
        <f t="shared" si="9"/>
        <v>2.7148360516344301</v>
      </c>
      <c r="BD35" s="369">
        <f t="shared" si="10"/>
        <v>132.79297261712418</v>
      </c>
      <c r="BE35" s="369">
        <f t="shared" si="11"/>
        <v>423.42624491044239</v>
      </c>
      <c r="BF35" s="369">
        <f t="shared" si="11"/>
        <v>245.756368917564</v>
      </c>
      <c r="BH35" s="290"/>
      <c r="BI35" s="365"/>
      <c r="BJ35" s="365"/>
      <c r="BK35" s="367"/>
      <c r="BL35" s="367"/>
      <c r="BM35" s="290"/>
    </row>
    <row r="36" spans="1:65">
      <c r="A36" s="297" t="s">
        <v>320</v>
      </c>
      <c r="B36" s="33">
        <f>Calculations!AH46</f>
        <v>4.6848747048899844</v>
      </c>
      <c r="C36" s="40">
        <f>Calculations!AI46</f>
        <v>261.62844950140476</v>
      </c>
      <c r="D36" s="40">
        <f>Calculations!AJ46</f>
        <v>744.45111558261726</v>
      </c>
      <c r="E36" s="40">
        <f>Calculations!AK46</f>
        <v>438.09427262758243</v>
      </c>
      <c r="F36" s="39"/>
      <c r="G36" s="40"/>
      <c r="H36" s="40"/>
      <c r="I36" s="49"/>
      <c r="J36" s="49"/>
      <c r="K36" s="76"/>
      <c r="L36" s="76"/>
      <c r="M36" s="76"/>
      <c r="N36" s="76"/>
      <c r="O36" s="76"/>
      <c r="P36" s="76"/>
      <c r="Q36" s="76"/>
      <c r="R36" s="76"/>
      <c r="S36" s="76"/>
      <c r="T36" s="76"/>
      <c r="U36" s="76"/>
      <c r="V36" s="76"/>
      <c r="W36" s="76"/>
      <c r="X36" s="76"/>
      <c r="BB36" s="290" t="s">
        <v>321</v>
      </c>
      <c r="BC36" s="368">
        <f t="shared" si="9"/>
        <v>4.6848747048899844</v>
      </c>
      <c r="BD36" s="369">
        <f t="shared" si="10"/>
        <v>261.62844950140476</v>
      </c>
      <c r="BE36" s="369">
        <f t="shared" si="11"/>
        <v>744.45111558261726</v>
      </c>
      <c r="BF36" s="369">
        <f t="shared" si="11"/>
        <v>438.09427262758243</v>
      </c>
      <c r="BH36" s="1" t="str">
        <f>ProjectData!A51</f>
        <v>PV System Annual Operating and Maintenance Costs</v>
      </c>
      <c r="BI36" s="365"/>
      <c r="BJ36" s="365"/>
      <c r="BK36" s="367"/>
      <c r="BL36" s="367"/>
      <c r="BM36" s="290"/>
    </row>
    <row r="37" spans="1:65">
      <c r="A37" s="144" t="s">
        <v>322</v>
      </c>
      <c r="B37" s="33">
        <f>Calculations!AH47</f>
        <v>4.4423554257713214</v>
      </c>
      <c r="C37" s="40">
        <f>Calculations!AI47</f>
        <v>165.12818757917807</v>
      </c>
      <c r="D37" s="40">
        <f>Calculations!AJ47</f>
        <v>451.1795203355241</v>
      </c>
      <c r="E37" s="40">
        <f>Calculations!AK47</f>
        <v>273.06238931268308</v>
      </c>
      <c r="F37" s="39"/>
      <c r="G37" s="40"/>
      <c r="H37" s="40"/>
      <c r="I37" s="49"/>
      <c r="J37" s="49"/>
      <c r="K37" s="76"/>
      <c r="L37" s="76"/>
      <c r="M37" s="76"/>
      <c r="N37" s="76"/>
      <c r="O37" s="76"/>
      <c r="P37" s="76"/>
      <c r="Q37" s="76"/>
      <c r="R37" s="76"/>
      <c r="S37" s="76"/>
      <c r="T37" s="76"/>
      <c r="U37" s="76"/>
      <c r="V37" s="76"/>
      <c r="W37" s="76"/>
      <c r="X37" s="76"/>
      <c r="BB37" s="290" t="s">
        <v>323</v>
      </c>
      <c r="BC37" s="368">
        <f t="shared" si="9"/>
        <v>4.4423554257713214</v>
      </c>
      <c r="BD37" s="369">
        <f t="shared" si="10"/>
        <v>165.12818757917807</v>
      </c>
      <c r="BE37" s="369">
        <f t="shared" si="11"/>
        <v>451.1795203355241</v>
      </c>
      <c r="BF37" s="369">
        <f t="shared" si="11"/>
        <v>273.06238931268308</v>
      </c>
      <c r="BH37" s="290"/>
      <c r="BI37" s="251" t="str">
        <f>ProjectData!B52</f>
        <v>Cost</v>
      </c>
      <c r="BJ37" s="163" t="str">
        <f>ProjectData!C52</f>
        <v xml:space="preserve">Cost </v>
      </c>
      <c r="BK37" s="255" t="str">
        <f>ProjectData!D52</f>
        <v>Percent of</v>
      </c>
      <c r="BL37" s="255" t="str">
        <f>ProjectData!E52</f>
        <v>Local</v>
      </c>
      <c r="BM37" s="1" t="str">
        <f>ProjectData!F56</f>
        <v>Manufactured</v>
      </c>
    </row>
    <row r="38" spans="1:65">
      <c r="A38" s="261" t="s">
        <v>310</v>
      </c>
      <c r="B38" s="33">
        <f>Calculations!AH48</f>
        <v>13.884703727473902</v>
      </c>
      <c r="C38" s="40">
        <f>Calculations!AI48</f>
        <v>678.28482871659446</v>
      </c>
      <c r="D38" s="40">
        <f>Calculations!AJ48</f>
        <v>2029.8455033380556</v>
      </c>
      <c r="E38" s="40">
        <f>Calculations!AK48</f>
        <v>1198.8502223681289</v>
      </c>
      <c r="F38" s="39"/>
      <c r="G38" s="40"/>
      <c r="H38" s="40"/>
      <c r="I38" s="49"/>
      <c r="J38" s="49"/>
      <c r="K38" s="76"/>
      <c r="L38" s="76"/>
      <c r="M38" s="76"/>
      <c r="N38" s="76"/>
      <c r="O38" s="76"/>
      <c r="P38" s="76"/>
      <c r="Q38" s="76"/>
      <c r="R38" s="76"/>
      <c r="S38" s="76"/>
      <c r="T38" s="76"/>
      <c r="U38" s="76"/>
      <c r="V38" s="76"/>
      <c r="W38" s="76"/>
      <c r="X38" s="76"/>
      <c r="BB38" s="290" t="s">
        <v>324</v>
      </c>
      <c r="BC38" s="368">
        <f t="shared" si="9"/>
        <v>13.884703727473902</v>
      </c>
      <c r="BD38" s="369">
        <f t="shared" si="10"/>
        <v>678.28482871659446</v>
      </c>
      <c r="BE38" s="369">
        <f t="shared" si="11"/>
        <v>2029.8455033380556</v>
      </c>
      <c r="BF38" s="369">
        <f t="shared" si="11"/>
        <v>1198.8502223681289</v>
      </c>
      <c r="BH38" s="290" t="str">
        <f>ProjectData!A53</f>
        <v>Labor</v>
      </c>
      <c r="BI38" s="146"/>
      <c r="BJ38" s="163" t="str">
        <f>ProjectData!C53</f>
        <v>Per kW</v>
      </c>
      <c r="BK38" s="255" t="str">
        <f>ProjectData!D53</f>
        <v>Total Cost</v>
      </c>
      <c r="BL38" s="255" t="str">
        <f>ProjectData!E53</f>
        <v>Share (%)</v>
      </c>
      <c r="BM38" s="1" t="str">
        <f>ProjectData!F57</f>
        <v>Locally (Y or N)</v>
      </c>
    </row>
    <row r="39" spans="1:65">
      <c r="A39" s="62" t="s">
        <v>325</v>
      </c>
      <c r="B39" s="33">
        <f>Calculations!AH49</f>
        <v>12.863980463979527</v>
      </c>
      <c r="C39" s="40">
        <f>Calculations!AI49</f>
        <v>552.81991653263833</v>
      </c>
      <c r="D39" s="40">
        <f>Calculations!AJ49</f>
        <v>1981.9830149873219</v>
      </c>
      <c r="E39" s="40">
        <f>Calculations!AK49</f>
        <v>1117.7923619072674</v>
      </c>
      <c r="F39" s="39"/>
      <c r="G39" s="40"/>
      <c r="H39" s="40"/>
      <c r="I39" s="49"/>
      <c r="J39" s="49"/>
      <c r="K39" s="76"/>
      <c r="L39" s="76"/>
      <c r="M39" s="76"/>
      <c r="N39" s="76"/>
      <c r="O39" s="76"/>
      <c r="P39" s="76"/>
      <c r="Q39" s="76"/>
      <c r="R39" s="76"/>
      <c r="S39" s="76"/>
      <c r="T39" s="76"/>
      <c r="U39" s="76"/>
      <c r="V39" s="76"/>
      <c r="W39" s="76"/>
      <c r="X39" s="76"/>
      <c r="BB39" s="26" t="s">
        <v>325</v>
      </c>
      <c r="BC39" s="368">
        <f t="shared" si="4"/>
        <v>12.863980463979527</v>
      </c>
      <c r="BD39" s="369">
        <f t="shared" ref="BD39:BF40" si="12">C39</f>
        <v>552.81991653263833</v>
      </c>
      <c r="BE39" s="369">
        <f t="shared" si="12"/>
        <v>1981.9830149873219</v>
      </c>
      <c r="BF39" s="369">
        <f t="shared" si="12"/>
        <v>1117.7923619072674</v>
      </c>
      <c r="BH39" s="290" t="str">
        <f>ProjectData!A54</f>
        <v xml:space="preserve">  Technicians</v>
      </c>
      <c r="BI39" s="365">
        <f>BC79</f>
        <v>17930.666666666664</v>
      </c>
      <c r="BJ39" s="365">
        <f>BI39/BI$10</f>
        <v>17.930666666666664</v>
      </c>
      <c r="BK39" s="367">
        <f>BI39/BI$46</f>
        <v>0.54666666666666663</v>
      </c>
      <c r="BL39" s="367">
        <f>BD80</f>
        <v>0</v>
      </c>
      <c r="BM39" s="290"/>
    </row>
    <row r="40" spans="1:65">
      <c r="A40" s="53" t="s">
        <v>326</v>
      </c>
      <c r="B40" s="166">
        <f>Calculations!AH50</f>
        <v>37.491657951550465</v>
      </c>
      <c r="C40" s="164">
        <f>Calculations!AI50</f>
        <v>1873.8669310146906</v>
      </c>
      <c r="D40" s="164">
        <f>Calculations!AJ50</f>
        <v>5169.3076879244427</v>
      </c>
      <c r="E40" s="164">
        <f>Calculations!AK50</f>
        <v>3192.4397988735577</v>
      </c>
      <c r="F40" s="49"/>
      <c r="G40" s="40"/>
      <c r="H40" s="40"/>
      <c r="I40" s="49"/>
      <c r="J40" s="49"/>
      <c r="K40" s="76"/>
      <c r="L40" s="76"/>
      <c r="M40" s="76"/>
      <c r="N40" s="76"/>
      <c r="O40" s="76"/>
      <c r="P40" s="76"/>
      <c r="Q40" s="76"/>
      <c r="R40" s="76"/>
      <c r="S40" s="76"/>
      <c r="T40" s="76"/>
      <c r="U40" s="76"/>
      <c r="V40" s="76"/>
      <c r="W40" s="76"/>
      <c r="X40" s="76"/>
      <c r="BB40" s="1" t="s">
        <v>326</v>
      </c>
      <c r="BC40" s="183">
        <f t="shared" si="4"/>
        <v>37.491657951550465</v>
      </c>
      <c r="BD40" s="260">
        <f t="shared" si="12"/>
        <v>1873.8669310146906</v>
      </c>
      <c r="BE40" s="260">
        <f t="shared" si="12"/>
        <v>5169.3076879244427</v>
      </c>
      <c r="BF40" s="260">
        <f t="shared" si="12"/>
        <v>3192.4397988735577</v>
      </c>
      <c r="BH40" s="290" t="str">
        <f>ProjectData!A55</f>
        <v xml:space="preserve">  Subtotal</v>
      </c>
      <c r="BI40" s="365">
        <f>BC80</f>
        <v>17930.666666666664</v>
      </c>
      <c r="BJ40" s="365">
        <f>BI40/BI$10</f>
        <v>17.930666666666664</v>
      </c>
      <c r="BK40" s="367">
        <f>BI40/BI$46</f>
        <v>0.54666666666666663</v>
      </c>
      <c r="BL40" s="367"/>
      <c r="BM40" s="290"/>
    </row>
    <row r="41" spans="1:65">
      <c r="A41" s="53"/>
      <c r="B41" s="166"/>
      <c r="C41" s="164"/>
      <c r="D41" s="164"/>
      <c r="E41" s="164"/>
      <c r="F41" s="49"/>
      <c r="G41" s="40"/>
      <c r="H41" s="40"/>
      <c r="I41" s="49"/>
      <c r="J41" s="49"/>
      <c r="K41" s="76"/>
      <c r="L41" s="76"/>
      <c r="M41" s="76"/>
      <c r="N41" s="76"/>
      <c r="O41" s="76"/>
      <c r="P41" s="76"/>
      <c r="Q41" s="76"/>
      <c r="R41" s="76"/>
      <c r="S41" s="76"/>
      <c r="T41" s="76"/>
      <c r="U41" s="76"/>
      <c r="V41" s="76"/>
      <c r="W41" s="76"/>
      <c r="X41" s="76"/>
      <c r="BB41" s="1"/>
      <c r="BC41" s="133"/>
      <c r="BD41" s="134"/>
      <c r="BE41" s="134"/>
      <c r="BF41" s="134"/>
      <c r="BH41" s="290" t="str">
        <f>ProjectData!A57</f>
        <v>Materials and Services</v>
      </c>
      <c r="BI41" s="365"/>
      <c r="BJ41" s="365"/>
      <c r="BK41" s="367"/>
      <c r="BL41" s="367"/>
    </row>
    <row r="42" spans="1:65">
      <c r="A42" s="53"/>
      <c r="B42" s="166"/>
      <c r="C42" s="164" t="s">
        <v>327</v>
      </c>
      <c r="D42" s="164" t="s">
        <v>327</v>
      </c>
      <c r="E42" s="164" t="s">
        <v>327</v>
      </c>
      <c r="F42" s="49"/>
      <c r="G42" s="40"/>
      <c r="H42" s="40"/>
      <c r="I42" s="49"/>
      <c r="J42" s="49"/>
      <c r="K42" s="76"/>
      <c r="L42" s="76"/>
      <c r="M42" s="76"/>
      <c r="N42" s="76"/>
      <c r="O42" s="76"/>
      <c r="P42" s="76"/>
      <c r="Q42" s="76"/>
      <c r="R42" s="76"/>
      <c r="S42" s="76"/>
      <c r="T42" s="76"/>
      <c r="U42" s="76"/>
      <c r="V42" s="76"/>
      <c r="W42" s="76"/>
      <c r="X42" s="76"/>
      <c r="BB42" s="1"/>
      <c r="BC42" s="8"/>
      <c r="BD42" s="8" t="str">
        <f t="shared" ref="BD42:BF44" si="13">C42</f>
        <v>Annual</v>
      </c>
      <c r="BE42" s="8" t="str">
        <f t="shared" si="13"/>
        <v>Annual</v>
      </c>
      <c r="BF42" s="8" t="str">
        <f t="shared" si="13"/>
        <v>Annual</v>
      </c>
      <c r="BH42" s="290" t="str">
        <f>ProjectData!A58</f>
        <v xml:space="preserve">  Materials &amp; Equipment</v>
      </c>
      <c r="BI42" s="365">
        <f>BC82</f>
        <v>14869.333333333334</v>
      </c>
      <c r="BJ42" s="365">
        <f>BI42/BI$10</f>
        <v>14.869333333333334</v>
      </c>
      <c r="BK42" s="367">
        <f>BI42/BI$46</f>
        <v>0.45333333333333337</v>
      </c>
      <c r="BL42" s="367">
        <f>BD83</f>
        <v>1</v>
      </c>
      <c r="BM42" s="304" t="str">
        <f>ProjectData!F58</f>
        <v>N</v>
      </c>
    </row>
    <row r="43" spans="1:65">
      <c r="A43" s="53"/>
      <c r="B43" s="166" t="s">
        <v>327</v>
      </c>
      <c r="C43" s="164" t="s">
        <v>303</v>
      </c>
      <c r="D43" s="164" t="s">
        <v>304</v>
      </c>
      <c r="E43" s="164" t="s">
        <v>304</v>
      </c>
      <c r="F43" s="49"/>
      <c r="G43" s="40"/>
      <c r="H43" s="49"/>
      <c r="I43" s="49"/>
      <c r="J43" s="49"/>
      <c r="K43" s="76"/>
      <c r="L43" s="76"/>
      <c r="M43" s="76"/>
      <c r="N43" s="76"/>
      <c r="O43" s="76"/>
      <c r="P43" s="76"/>
      <c r="Q43" s="76"/>
      <c r="R43" s="76"/>
      <c r="S43" s="76"/>
      <c r="T43" s="76"/>
      <c r="U43" s="76"/>
      <c r="V43" s="76"/>
      <c r="W43" s="76"/>
      <c r="X43" s="76"/>
      <c r="BB43" s="1"/>
      <c r="BC43" s="8" t="str">
        <f>B43</f>
        <v>Annual</v>
      </c>
      <c r="BD43" s="8" t="str">
        <f t="shared" si="13"/>
        <v>Earnings</v>
      </c>
      <c r="BE43" s="8" t="str">
        <f t="shared" si="13"/>
        <v>Output</v>
      </c>
      <c r="BF43" s="8" t="str">
        <f t="shared" si="13"/>
        <v>Output</v>
      </c>
      <c r="BH43" s="290" t="str">
        <f>ProjectData!A59</f>
        <v xml:space="preserve">  Services</v>
      </c>
      <c r="BI43" s="365">
        <f>BC83</f>
        <v>0</v>
      </c>
      <c r="BJ43" s="365">
        <f>BI43/BI$10</f>
        <v>0</v>
      </c>
      <c r="BK43" s="367">
        <f>BI43/BI$46</f>
        <v>0</v>
      </c>
      <c r="BL43" s="367">
        <f>BD84</f>
        <v>0</v>
      </c>
      <c r="BM43" s="290"/>
    </row>
    <row r="44" spans="1:65">
      <c r="A44" s="145" t="s">
        <v>328</v>
      </c>
      <c r="B44" s="166" t="s">
        <v>302</v>
      </c>
      <c r="C44" s="222" t="str">
        <f>CONCATENATE("$000 (",$C12,")")</f>
        <v>$000 (2010)</v>
      </c>
      <c r="D44" s="222" t="str">
        <f>CONCATENATE("$000 (",$C12,")")</f>
        <v>$000 (2010)</v>
      </c>
      <c r="E44" s="222" t="str">
        <f>CONCATENATE("$000 (",$C12,")")</f>
        <v>$000 (2010)</v>
      </c>
      <c r="F44" s="35"/>
      <c r="G44" s="40"/>
      <c r="H44" s="49"/>
      <c r="I44" s="49"/>
      <c r="J44" s="49"/>
      <c r="K44" s="76"/>
      <c r="L44" s="76"/>
      <c r="M44" s="76"/>
      <c r="N44" s="76"/>
      <c r="O44" s="76"/>
      <c r="P44" s="76"/>
      <c r="Q44" s="76"/>
      <c r="R44" s="76"/>
      <c r="S44" s="76"/>
      <c r="T44" s="76"/>
      <c r="U44" s="76"/>
      <c r="V44" s="76"/>
      <c r="W44" s="76"/>
      <c r="X44" s="76"/>
      <c r="BB44" s="25" t="s">
        <v>328</v>
      </c>
      <c r="BC44" s="8" t="str">
        <f>B44</f>
        <v>Jobs</v>
      </c>
      <c r="BD44" s="8" t="str">
        <f t="shared" si="13"/>
        <v>$000 (2010)</v>
      </c>
      <c r="BE44" s="8" t="str">
        <f t="shared" si="13"/>
        <v>$000 (2010)</v>
      </c>
      <c r="BF44" s="8" t="str">
        <f t="shared" si="13"/>
        <v>$000 (2010)</v>
      </c>
      <c r="BH44" s="290" t="str">
        <f>ProjectData!A60</f>
        <v xml:space="preserve">  Subtotal</v>
      </c>
      <c r="BI44" s="365">
        <f>BC84</f>
        <v>14869.333333333334</v>
      </c>
      <c r="BJ44" s="365">
        <f>BI44/BI$10</f>
        <v>14.869333333333334</v>
      </c>
      <c r="BK44" s="367">
        <f>BI44/BI$46</f>
        <v>0.45333333333333337</v>
      </c>
      <c r="BL44" s="8"/>
      <c r="BM44" s="1"/>
    </row>
    <row r="45" spans="1:65">
      <c r="A45" s="261" t="s">
        <v>329</v>
      </c>
      <c r="B45" s="33"/>
      <c r="C45" s="40"/>
      <c r="D45" s="40"/>
      <c r="E45" s="40"/>
      <c r="F45" s="33"/>
      <c r="G45" s="41"/>
      <c r="H45" s="41"/>
      <c r="I45" s="49"/>
      <c r="J45" s="49"/>
      <c r="K45" s="76"/>
      <c r="L45" s="76"/>
      <c r="M45" s="76"/>
      <c r="N45" s="76"/>
      <c r="O45" s="76"/>
      <c r="P45" s="76"/>
      <c r="Q45" s="76"/>
      <c r="R45" s="76"/>
      <c r="S45" s="76"/>
      <c r="T45" s="76"/>
      <c r="U45" s="76"/>
      <c r="V45" s="76"/>
      <c r="W45" s="76"/>
      <c r="X45" s="76"/>
      <c r="BB45" s="178" t="s">
        <v>329</v>
      </c>
      <c r="BC45" s="368"/>
      <c r="BD45" s="364"/>
      <c r="BE45" s="364"/>
      <c r="BF45" s="364"/>
      <c r="BH45" s="290" t="str">
        <f>ProjectData!A61</f>
        <v>Sales Tax (Materials &amp; Equipment Purchases)</v>
      </c>
      <c r="BI45" s="365">
        <f>BC85</f>
        <v>0</v>
      </c>
      <c r="BJ45" s="365">
        <f>BI45/BI$10</f>
        <v>0</v>
      </c>
      <c r="BK45" s="367">
        <f>BI45/BI$46</f>
        <v>0</v>
      </c>
      <c r="BM45" s="1"/>
    </row>
    <row r="46" spans="1:65">
      <c r="A46" s="262" t="s">
        <v>330</v>
      </c>
      <c r="B46" s="33">
        <f>Calculations!AH54</f>
        <v>0.29594071717289261</v>
      </c>
      <c r="C46" s="40">
        <f>Calculations!AI54</f>
        <v>16.655168913668085</v>
      </c>
      <c r="D46" s="40">
        <f>Calculations!AJ54</f>
        <v>16.655168913668085</v>
      </c>
      <c r="E46" s="40">
        <f>Calculations!AK54</f>
        <v>16.655168913668085</v>
      </c>
      <c r="F46" s="33"/>
      <c r="G46" s="41"/>
      <c r="H46" s="40"/>
      <c r="I46" s="49"/>
      <c r="J46" s="49"/>
      <c r="K46" s="76"/>
      <c r="L46" s="76"/>
      <c r="M46" s="76"/>
      <c r="N46" s="76"/>
      <c r="O46" s="76"/>
      <c r="P46" s="76"/>
      <c r="Q46" s="76"/>
      <c r="R46" s="76"/>
      <c r="S46" s="76"/>
      <c r="T46" s="76"/>
      <c r="U46" s="76"/>
      <c r="V46" s="76"/>
      <c r="W46" s="76"/>
      <c r="X46" s="76"/>
      <c r="AE46" s="10"/>
      <c r="BB46" s="207" t="s">
        <v>330</v>
      </c>
      <c r="BC46" s="368">
        <f t="shared" ref="BC46:BF49" si="14">B46</f>
        <v>0.29594071717289261</v>
      </c>
      <c r="BD46" s="369">
        <f t="shared" si="14"/>
        <v>16.655168913668085</v>
      </c>
      <c r="BE46" s="369">
        <f t="shared" si="14"/>
        <v>16.655168913668085</v>
      </c>
      <c r="BF46" s="369">
        <f t="shared" si="14"/>
        <v>16.655168913668085</v>
      </c>
      <c r="BH46" s="290" t="str">
        <f>ProjectData!A62</f>
        <v>Total</v>
      </c>
      <c r="BI46" s="365">
        <f>BI45+BI44+BI40</f>
        <v>32800</v>
      </c>
      <c r="BJ46" s="365">
        <f>BJ45+BJ44+BJ40</f>
        <v>32.799999999999997</v>
      </c>
      <c r="BK46" s="367">
        <f>BK45+BK44+BK40</f>
        <v>1</v>
      </c>
      <c r="BL46" s="8"/>
      <c r="BM46" s="1"/>
    </row>
    <row r="47" spans="1:65">
      <c r="A47" s="202" t="s">
        <v>331</v>
      </c>
      <c r="B47" s="33">
        <f>Calculations!AH55</f>
        <v>0.13571323287147569</v>
      </c>
      <c r="C47" s="40">
        <f>Calculations!AI55</f>
        <v>7.5092426320467531</v>
      </c>
      <c r="D47" s="40">
        <f>Calculations!AJ55</f>
        <v>27.312984458765214</v>
      </c>
      <c r="E47" s="40">
        <f>Calculations!AK55</f>
        <v>15.618722605467845</v>
      </c>
      <c r="F47" s="33"/>
      <c r="G47" s="40"/>
      <c r="H47" s="40"/>
      <c r="I47" s="49"/>
      <c r="J47" s="49"/>
      <c r="K47" s="76"/>
      <c r="L47" s="76"/>
      <c r="M47" s="76"/>
      <c r="N47" s="76"/>
      <c r="O47" s="76"/>
      <c r="P47" s="76"/>
      <c r="Q47" s="76"/>
      <c r="R47" s="76"/>
      <c r="S47" s="76"/>
      <c r="T47" s="76"/>
      <c r="U47" s="76"/>
      <c r="V47" s="76"/>
      <c r="W47" s="76"/>
      <c r="X47" s="76"/>
      <c r="AE47" s="10"/>
      <c r="BB47" s="204" t="s">
        <v>331</v>
      </c>
      <c r="BC47" s="368">
        <f t="shared" si="14"/>
        <v>0.13571323287147569</v>
      </c>
      <c r="BD47" s="369">
        <f t="shared" si="14"/>
        <v>7.5092426320467531</v>
      </c>
      <c r="BE47" s="369">
        <f t="shared" si="14"/>
        <v>27.312984458765214</v>
      </c>
      <c r="BF47" s="369">
        <f t="shared" si="14"/>
        <v>15.618722605467845</v>
      </c>
      <c r="BH47" s="290"/>
      <c r="BI47" s="365"/>
      <c r="BJ47" s="290"/>
      <c r="BK47" s="367"/>
      <c r="BL47" s="8"/>
      <c r="BM47" s="1"/>
    </row>
    <row r="48" spans="1:65">
      <c r="A48" s="62" t="s">
        <v>325</v>
      </c>
      <c r="B48" s="33">
        <f>Calculations!AH56</f>
        <v>0.13060843730404842</v>
      </c>
      <c r="C48" s="40">
        <f>Calculations!AI56</f>
        <v>5.6127327813347732</v>
      </c>
      <c r="D48" s="40">
        <f>Calculations!AJ56</f>
        <v>20.12382837816001</v>
      </c>
      <c r="E48" s="40">
        <f>Calculations!AK56</f>
        <v>11.349188172558009</v>
      </c>
      <c r="F48" s="33"/>
      <c r="G48" s="40"/>
      <c r="H48" s="40"/>
      <c r="I48" s="49"/>
      <c r="J48" s="49"/>
      <c r="K48" s="76"/>
      <c r="L48" s="76"/>
      <c r="M48" s="76"/>
      <c r="N48" s="76"/>
      <c r="O48" s="76"/>
      <c r="P48" s="76"/>
      <c r="Q48" s="76"/>
      <c r="R48" s="76"/>
      <c r="S48" s="76"/>
      <c r="T48" s="76"/>
      <c r="U48" s="76"/>
      <c r="V48" s="76"/>
      <c r="W48" s="76"/>
      <c r="X48" s="76"/>
      <c r="AE48" t="str">
        <f>IF(ProjectData!B26="Y","model default","User modifications to default")</f>
        <v>User modifications to default</v>
      </c>
      <c r="BB48" s="26" t="s">
        <v>325</v>
      </c>
      <c r="BC48" s="368">
        <f t="shared" si="14"/>
        <v>0.13060843730404842</v>
      </c>
      <c r="BD48" s="369">
        <f t="shared" si="14"/>
        <v>5.6127327813347732</v>
      </c>
      <c r="BE48" s="369">
        <f t="shared" si="14"/>
        <v>20.12382837816001</v>
      </c>
      <c r="BF48" s="369">
        <f t="shared" si="14"/>
        <v>11.349188172558009</v>
      </c>
      <c r="BH48" s="1" t="str">
        <f>ProjectData!A64</f>
        <v>Other Parameters</v>
      </c>
      <c r="BI48" s="365"/>
      <c r="BJ48" s="290"/>
      <c r="BK48" s="367"/>
      <c r="BL48" s="8"/>
      <c r="BM48" s="1"/>
    </row>
    <row r="49" spans="1:66">
      <c r="A49" s="53" t="s">
        <v>326</v>
      </c>
      <c r="B49" s="166">
        <f>Calculations!AH57</f>
        <v>0.56226238734841671</v>
      </c>
      <c r="C49" s="164">
        <f>Calculations!AI57</f>
        <v>29.777144327049612</v>
      </c>
      <c r="D49" s="164">
        <f>Calculations!AJ57</f>
        <v>64.091981750593305</v>
      </c>
      <c r="E49" s="164">
        <f>Calculations!AK57</f>
        <v>43.623079691693938</v>
      </c>
      <c r="F49" s="33"/>
      <c r="G49" s="40"/>
      <c r="H49" s="164"/>
      <c r="I49" s="49"/>
      <c r="J49" s="49"/>
      <c r="K49" s="76"/>
      <c r="L49" s="76"/>
      <c r="M49" s="76"/>
      <c r="N49" s="76"/>
      <c r="O49" s="76"/>
      <c r="P49" s="76"/>
      <c r="Q49" s="76"/>
      <c r="R49" s="76"/>
      <c r="S49" s="76"/>
      <c r="T49" s="76"/>
      <c r="U49" s="76"/>
      <c r="V49" s="76"/>
      <c r="W49" s="76"/>
      <c r="X49" s="76"/>
      <c r="BB49" s="1" t="s">
        <v>326</v>
      </c>
      <c r="BC49" s="183">
        <f t="shared" si="14"/>
        <v>0.56226238734841671</v>
      </c>
      <c r="BD49" s="260">
        <f t="shared" si="14"/>
        <v>29.777144327049612</v>
      </c>
      <c r="BE49" s="260">
        <f t="shared" si="14"/>
        <v>64.091981750593305</v>
      </c>
      <c r="BF49" s="260">
        <f t="shared" si="14"/>
        <v>43.623079691693938</v>
      </c>
      <c r="BH49" s="290" t="str">
        <f>ProjectData!A65</f>
        <v>Financial Parameters</v>
      </c>
      <c r="BI49" s="365"/>
      <c r="BJ49" s="290"/>
      <c r="BK49" s="367" t="str">
        <f>ProjectData!D65</f>
        <v>Local Share</v>
      </c>
      <c r="BL49" s="8"/>
      <c r="BM49" s="1"/>
    </row>
    <row r="50" spans="1:66">
      <c r="A50" s="47" t="str">
        <f>CONCATENATE("Notes:  Earnings and Output values are thousands of dollars in year ",C12, " dollars.  Construction and")</f>
        <v>Notes:  Earnings and Output values are thousands of dollars in year 2010 dollars.  Construction and</v>
      </c>
      <c r="B50" s="32"/>
      <c r="C50" s="65"/>
      <c r="D50" s="65"/>
      <c r="E50" s="65"/>
      <c r="F50" s="33"/>
      <c r="G50" s="40"/>
      <c r="H50" s="49"/>
      <c r="I50" s="49"/>
      <c r="J50" s="49"/>
      <c r="K50" s="76"/>
      <c r="L50" s="76"/>
      <c r="M50" s="76"/>
      <c r="N50" s="76"/>
      <c r="O50" s="76"/>
      <c r="P50" s="76"/>
      <c r="Q50" s="76"/>
      <c r="R50" s="76"/>
      <c r="S50" s="76"/>
      <c r="T50" s="76"/>
      <c r="U50" s="76"/>
      <c r="V50" s="76"/>
      <c r="W50" s="76"/>
      <c r="X50" s="76"/>
      <c r="BB50" s="135" t="str">
        <f>CONCATENATE("Notes:  Earnings and Output values are thousands of dollars in year ",BD12, " dollars.  Construction and")</f>
        <v>Notes:  Earnings and Output values are thousands of dollars in year 2010 dollars.  Construction and</v>
      </c>
      <c r="BC50" s="8"/>
      <c r="BD50" s="134"/>
      <c r="BE50" s="134"/>
      <c r="BG50" s="247"/>
      <c r="BH50" s="290" t="str">
        <f>ProjectData!A66</f>
        <v>Debt Financing</v>
      </c>
      <c r="BI50" s="365"/>
      <c r="BJ50" s="290"/>
      <c r="BK50" s="367"/>
      <c r="BL50" s="8"/>
      <c r="BM50" s="1"/>
    </row>
    <row r="51" spans="1:66">
      <c r="A51" s="47" t="s">
        <v>332</v>
      </c>
      <c r="B51" s="32"/>
      <c r="C51" s="65"/>
      <c r="D51" s="65"/>
      <c r="E51" s="65"/>
      <c r="F51" s="33"/>
      <c r="G51" s="40"/>
      <c r="H51" s="49"/>
      <c r="I51" s="49"/>
      <c r="J51" s="49"/>
      <c r="K51" s="76"/>
      <c r="L51" s="76"/>
      <c r="M51" s="76"/>
      <c r="N51" s="76"/>
      <c r="O51" s="76"/>
      <c r="P51" s="76"/>
      <c r="Q51" s="76"/>
      <c r="R51" s="76"/>
      <c r="S51" s="76"/>
      <c r="T51" s="76"/>
      <c r="U51" s="76"/>
      <c r="V51" s="76"/>
      <c r="W51" s="76"/>
      <c r="X51" s="76"/>
      <c r="BB51" s="135" t="s">
        <v>332</v>
      </c>
      <c r="BC51" s="8"/>
      <c r="BD51" s="134"/>
      <c r="BE51" s="134"/>
      <c r="BG51" s="248"/>
      <c r="BH51" s="290" t="str">
        <f>ProjectData!A67</f>
        <v xml:space="preserve">  Percentage financed</v>
      </c>
      <c r="BI51" s="370">
        <f>BC93</f>
        <v>0.8</v>
      </c>
      <c r="BJ51" s="290"/>
      <c r="BK51" s="371">
        <f>BD93</f>
        <v>0</v>
      </c>
      <c r="BL51" s="8"/>
      <c r="BM51" s="1"/>
    </row>
    <row r="52" spans="1:66">
      <c r="A52" s="47" t="s">
        <v>333</v>
      </c>
      <c r="B52" s="32"/>
      <c r="C52" s="65"/>
      <c r="D52" s="65"/>
      <c r="E52" s="65"/>
      <c r="F52" s="33"/>
      <c r="G52" s="40"/>
      <c r="H52" s="49"/>
      <c r="I52" s="49"/>
      <c r="J52" s="49"/>
      <c r="K52" s="76"/>
      <c r="L52" s="76"/>
      <c r="M52" s="76"/>
      <c r="N52" s="76"/>
      <c r="O52" s="76"/>
      <c r="P52" s="76"/>
      <c r="Q52" s="76"/>
      <c r="R52" s="76"/>
      <c r="S52" s="76"/>
      <c r="T52" s="76"/>
      <c r="U52" s="76"/>
      <c r="V52" s="76"/>
      <c r="W52" s="76"/>
      <c r="X52" s="76"/>
      <c r="BB52" s="135" t="s">
        <v>333</v>
      </c>
      <c r="BC52" s="8"/>
      <c r="BD52" s="134"/>
      <c r="BE52" s="134"/>
      <c r="BG52" s="248"/>
      <c r="BH52" s="290" t="str">
        <f>ProjectData!A68</f>
        <v xml:space="preserve">  Years financed (term)</v>
      </c>
      <c r="BI52" s="372">
        <f>BC94</f>
        <v>10</v>
      </c>
      <c r="BJ52" s="290"/>
      <c r="BK52" s="367"/>
      <c r="BL52" s="8"/>
      <c r="BM52" s="1"/>
    </row>
    <row r="53" spans="1:66">
      <c r="A53" s="373" t="s">
        <v>334</v>
      </c>
      <c r="B53" s="49"/>
      <c r="C53" s="49"/>
      <c r="D53" s="49"/>
      <c r="E53" s="49"/>
      <c r="F53" s="49"/>
      <c r="G53" s="40"/>
      <c r="H53" s="49"/>
      <c r="I53" s="49"/>
      <c r="J53" s="49"/>
      <c r="K53" s="76"/>
      <c r="L53" s="76"/>
      <c r="M53" s="76"/>
      <c r="N53" s="76"/>
      <c r="O53" s="76"/>
      <c r="P53" s="76"/>
      <c r="Q53" s="76"/>
      <c r="R53" s="76"/>
      <c r="S53" s="76"/>
      <c r="T53" s="76"/>
      <c r="U53" s="76"/>
      <c r="V53" s="76"/>
      <c r="W53" s="76"/>
      <c r="X53" s="76"/>
      <c r="BB53" s="374" t="s">
        <v>334</v>
      </c>
      <c r="BG53" s="247"/>
      <c r="BH53" s="290" t="str">
        <f>ProjectData!A69</f>
        <v xml:space="preserve">  Interest rate</v>
      </c>
      <c r="BI53" s="370">
        <f>BC95</f>
        <v>0.1</v>
      </c>
      <c r="BJ53" s="290"/>
      <c r="BK53" s="367"/>
      <c r="BL53" s="8"/>
      <c r="BM53" s="1"/>
    </row>
    <row r="54" spans="1:66">
      <c r="A54" s="49"/>
      <c r="B54" s="49"/>
      <c r="C54" s="49"/>
      <c r="D54" s="49"/>
      <c r="E54" s="49"/>
      <c r="F54" s="49"/>
      <c r="G54" s="49"/>
      <c r="H54" s="49"/>
      <c r="I54" s="49"/>
      <c r="J54" s="49"/>
      <c r="K54" s="76"/>
      <c r="L54" s="76"/>
      <c r="M54" s="76"/>
      <c r="N54" s="76"/>
      <c r="O54" s="76"/>
      <c r="P54" s="76"/>
      <c r="Q54" s="76"/>
      <c r="R54" s="76"/>
      <c r="S54" s="76"/>
      <c r="T54" s="76"/>
      <c r="U54" s="76"/>
      <c r="V54" s="76"/>
      <c r="W54" s="76"/>
      <c r="X54" s="76"/>
      <c r="BG54" s="247"/>
      <c r="BH54" s="290" t="str">
        <f>ProjectData!A70</f>
        <v>Tax Parameters</v>
      </c>
      <c r="BI54" s="365"/>
      <c r="BJ54" s="290"/>
      <c r="BK54" s="367"/>
      <c r="BL54" s="8"/>
      <c r="BM54" s="1"/>
    </row>
    <row r="55" spans="1:66" ht="15.6">
      <c r="A55" s="55" t="s">
        <v>335</v>
      </c>
      <c r="B55" s="32" t="str">
        <f>Calculations!AC3</f>
        <v>UNITED STATES</v>
      </c>
      <c r="C55" s="49"/>
      <c r="D55" s="49"/>
      <c r="E55" s="49"/>
      <c r="F55" s="49"/>
      <c r="G55" s="49"/>
      <c r="H55" s="49"/>
      <c r="I55" s="49"/>
      <c r="J55" s="49"/>
      <c r="K55" s="76"/>
      <c r="L55" s="76"/>
      <c r="M55" s="76"/>
      <c r="N55" s="76"/>
      <c r="O55" s="76"/>
      <c r="P55" s="76"/>
      <c r="Q55" s="76"/>
      <c r="R55" s="76"/>
      <c r="S55" s="76"/>
      <c r="T55" s="76"/>
      <c r="U55" s="76"/>
      <c r="V55" s="76"/>
      <c r="W55" s="76"/>
      <c r="X55" s="76"/>
      <c r="BB55" s="60" t="s">
        <v>335</v>
      </c>
      <c r="BD55" s="8"/>
      <c r="BH55" s="290" t="str">
        <f>ProjectData!A71</f>
        <v xml:space="preserve">  Local Property Tax (percent of taxable value)</v>
      </c>
      <c r="BI55" s="370">
        <f t="shared" ref="BI55:BI61" si="15">BC97</f>
        <v>0</v>
      </c>
      <c r="BJ55" s="290"/>
      <c r="BK55" s="367"/>
      <c r="BL55" s="8"/>
      <c r="BM55" s="1"/>
    </row>
    <row r="56" spans="1:66">
      <c r="A56" s="49"/>
      <c r="B56" s="49"/>
      <c r="C56" s="32" t="s">
        <v>125</v>
      </c>
      <c r="D56" s="145" t="s">
        <v>126</v>
      </c>
      <c r="E56" s="145"/>
      <c r="F56" s="49"/>
      <c r="G56" s="49"/>
      <c r="H56" s="49"/>
      <c r="I56" s="49"/>
      <c r="J56" s="49"/>
      <c r="K56" s="76"/>
      <c r="L56" s="76"/>
      <c r="M56" s="76"/>
      <c r="N56" s="76"/>
      <c r="O56" s="76"/>
      <c r="P56" s="76"/>
      <c r="Q56" s="76"/>
      <c r="R56" s="76"/>
      <c r="S56" s="76"/>
      <c r="T56" s="76"/>
      <c r="U56" s="76"/>
      <c r="V56" s="76"/>
      <c r="W56" s="76"/>
      <c r="X56" s="76"/>
      <c r="BD56" s="8" t="s">
        <v>125</v>
      </c>
      <c r="BE56" s="8" t="s">
        <v>126</v>
      </c>
      <c r="BH56" s="290" t="str">
        <f>ProjectData!A72</f>
        <v xml:space="preserve">  Assessed Value (percent of construction cost)</v>
      </c>
      <c r="BI56" s="370">
        <f t="shared" si="15"/>
        <v>0</v>
      </c>
      <c r="BJ56" s="290"/>
      <c r="BK56" s="367"/>
      <c r="BL56" s="8"/>
      <c r="BM56" s="1"/>
    </row>
    <row r="57" spans="1:66">
      <c r="A57" s="53" t="s">
        <v>336</v>
      </c>
      <c r="B57" s="32" t="str">
        <f>Calculations!AC5</f>
        <v>Cost</v>
      </c>
      <c r="C57" s="32" t="s">
        <v>129</v>
      </c>
      <c r="D57" s="145" t="s">
        <v>130</v>
      </c>
      <c r="E57" s="145"/>
      <c r="F57" s="49"/>
      <c r="G57" s="49"/>
      <c r="H57" s="49"/>
      <c r="I57" s="49"/>
      <c r="J57" s="49"/>
      <c r="K57" s="76"/>
      <c r="L57" s="76"/>
      <c r="M57" s="76"/>
      <c r="N57" s="76"/>
      <c r="O57" s="76"/>
      <c r="P57" s="76"/>
      <c r="Q57" s="76"/>
      <c r="R57" s="76"/>
      <c r="S57" s="76"/>
      <c r="T57" s="76"/>
      <c r="U57" s="76"/>
      <c r="V57" s="76"/>
      <c r="W57" s="76"/>
      <c r="X57" s="76"/>
      <c r="BB57" s="1" t="s">
        <v>337</v>
      </c>
      <c r="BC57" s="111" t="s">
        <v>122</v>
      </c>
      <c r="BD57" s="8" t="s">
        <v>129</v>
      </c>
      <c r="BE57" s="8" t="s">
        <v>130</v>
      </c>
      <c r="BH57" s="290" t="str">
        <f>ProjectData!A73</f>
        <v xml:space="preserve">  Taxable Value (percent of assessed value)</v>
      </c>
      <c r="BI57" s="370">
        <f t="shared" si="15"/>
        <v>0</v>
      </c>
      <c r="BJ57" s="290"/>
      <c r="BK57" s="367"/>
      <c r="BL57" s="8"/>
      <c r="BM57" s="1"/>
    </row>
    <row r="58" spans="1:66">
      <c r="A58" s="144" t="s">
        <v>338</v>
      </c>
      <c r="B58" s="375"/>
      <c r="C58" s="375"/>
      <c r="D58" s="32"/>
      <c r="E58" s="32"/>
      <c r="F58" s="76"/>
      <c r="G58" s="76"/>
      <c r="H58" s="76"/>
      <c r="I58" s="76"/>
      <c r="J58" s="76"/>
      <c r="K58" s="76"/>
      <c r="L58" s="76"/>
      <c r="M58" s="76"/>
      <c r="N58" s="76"/>
      <c r="O58" s="76"/>
      <c r="P58" s="76"/>
      <c r="Q58" s="76"/>
      <c r="R58" s="76"/>
      <c r="S58" s="76"/>
      <c r="T58" s="76"/>
      <c r="U58" s="76"/>
      <c r="V58" s="76"/>
      <c r="W58" s="76"/>
      <c r="X58" s="76"/>
      <c r="BB58" s="290" t="s">
        <v>338</v>
      </c>
      <c r="BD58" s="371"/>
      <c r="BH58" s="290" t="str">
        <f>ProjectData!A74</f>
        <v xml:space="preserve">  Taxable Value</v>
      </c>
      <c r="BI58" s="376">
        <f t="shared" si="15"/>
        <v>0</v>
      </c>
      <c r="BJ58" s="290"/>
      <c r="BK58" s="367"/>
      <c r="BL58" s="8"/>
      <c r="BM58" s="1"/>
    </row>
    <row r="59" spans="1:66">
      <c r="A59" s="144" t="s">
        <v>339</v>
      </c>
      <c r="B59" s="377">
        <f>Calculations!AC7</f>
        <v>95726.004978933503</v>
      </c>
      <c r="C59" s="378">
        <f>Calculations!AD7</f>
        <v>1</v>
      </c>
      <c r="D59" s="375" t="str">
        <f>Calculations!AE7</f>
        <v>N</v>
      </c>
      <c r="E59" s="375"/>
      <c r="F59" s="76"/>
      <c r="G59" s="76"/>
      <c r="H59" s="76"/>
      <c r="I59" s="76"/>
      <c r="J59" s="76"/>
      <c r="K59" s="76"/>
      <c r="L59" s="76"/>
      <c r="M59" s="76"/>
      <c r="N59" s="76"/>
      <c r="O59" s="76"/>
      <c r="P59" s="76"/>
      <c r="Q59" s="76"/>
      <c r="R59" s="76"/>
      <c r="S59" s="76"/>
      <c r="T59" s="76"/>
      <c r="U59" s="76"/>
      <c r="V59" s="76"/>
      <c r="W59" s="76"/>
      <c r="X59" s="76"/>
      <c r="BB59" s="290" t="s">
        <v>339</v>
      </c>
      <c r="BC59" s="5">
        <f t="shared" ref="BC59:BE62" si="16">B59</f>
        <v>95726.004978933503</v>
      </c>
      <c r="BD59" s="371">
        <f t="shared" si="16"/>
        <v>1</v>
      </c>
      <c r="BE59" s="371" t="str">
        <f t="shared" si="16"/>
        <v>N</v>
      </c>
      <c r="BH59" s="26" t="s">
        <v>137</v>
      </c>
      <c r="BI59" s="370">
        <f t="shared" si="15"/>
        <v>1</v>
      </c>
      <c r="BJ59" s="290"/>
      <c r="BK59" s="290"/>
      <c r="BL59" s="8"/>
      <c r="BM59" s="1"/>
    </row>
    <row r="60" spans="1:66">
      <c r="A60" s="144" t="s">
        <v>340</v>
      </c>
      <c r="B60" s="377">
        <f>Calculations!AC8</f>
        <v>304582.74311478843</v>
      </c>
      <c r="C60" s="378">
        <f>Calculations!AD8</f>
        <v>1</v>
      </c>
      <c r="D60" s="375" t="str">
        <f>Calculations!AE8</f>
        <v>N</v>
      </c>
      <c r="E60" s="375"/>
      <c r="F60" s="76"/>
      <c r="G60" s="76"/>
      <c r="H60" s="76"/>
      <c r="I60" s="76"/>
      <c r="J60" s="76"/>
      <c r="K60" s="76"/>
      <c r="L60" s="76"/>
      <c r="M60" s="76"/>
      <c r="N60" s="76"/>
      <c r="O60" s="76"/>
      <c r="P60" s="76"/>
      <c r="Q60" s="76"/>
      <c r="R60" s="76"/>
      <c r="S60" s="76"/>
      <c r="T60" s="76"/>
      <c r="U60" s="76"/>
      <c r="V60" s="76"/>
      <c r="W60" s="76"/>
      <c r="X60" s="76"/>
      <c r="BB60" s="290" t="s">
        <v>340</v>
      </c>
      <c r="BC60" s="5">
        <f t="shared" si="16"/>
        <v>304582.74311478843</v>
      </c>
      <c r="BD60" s="371">
        <f t="shared" si="16"/>
        <v>1</v>
      </c>
      <c r="BE60" s="371" t="str">
        <f t="shared" si="16"/>
        <v>N</v>
      </c>
      <c r="BH60" s="290" t="str">
        <f>ProjectData!A76</f>
        <v xml:space="preserve">  Local Property Taxes</v>
      </c>
      <c r="BI60" s="376">
        <f t="shared" si="15"/>
        <v>0</v>
      </c>
      <c r="BJ60" s="290"/>
      <c r="BK60" s="371">
        <f>BD102</f>
        <v>1</v>
      </c>
      <c r="BL60" s="8"/>
      <c r="BM60" s="1"/>
    </row>
    <row r="61" spans="1:66">
      <c r="A61" s="144" t="s">
        <v>341</v>
      </c>
      <c r="B61" s="377">
        <f>Calculations!AC9</f>
        <v>208856.73813585489</v>
      </c>
      <c r="C61" s="378">
        <f>Calculations!AD9</f>
        <v>1</v>
      </c>
      <c r="D61" s="375" t="str">
        <f>Calculations!AE9</f>
        <v>N</v>
      </c>
      <c r="E61" s="375"/>
      <c r="F61" s="76"/>
      <c r="G61" s="76"/>
      <c r="H61" s="76"/>
      <c r="I61" s="76"/>
      <c r="J61" s="76"/>
      <c r="K61" s="76"/>
      <c r="L61" s="76"/>
      <c r="M61" s="76"/>
      <c r="N61" s="76"/>
      <c r="O61" s="76"/>
      <c r="P61" s="76"/>
      <c r="Q61" s="76"/>
      <c r="R61" s="76"/>
      <c r="S61" s="76"/>
      <c r="T61" s="76"/>
      <c r="U61" s="76"/>
      <c r="V61" s="76"/>
      <c r="W61" s="76"/>
      <c r="X61" s="76"/>
      <c r="BB61" s="290" t="s">
        <v>341</v>
      </c>
      <c r="BC61" s="5">
        <f t="shared" si="16"/>
        <v>208856.73813585489</v>
      </c>
      <c r="BD61" s="371">
        <f t="shared" si="16"/>
        <v>1</v>
      </c>
      <c r="BE61" s="371" t="str">
        <f t="shared" si="16"/>
        <v>N</v>
      </c>
      <c r="BH61" s="290" t="str">
        <f>ProjectData!A77</f>
        <v xml:space="preserve">  Local Sales Tax Rate</v>
      </c>
      <c r="BI61" s="379">
        <f t="shared" si="15"/>
        <v>6.25E-2</v>
      </c>
      <c r="BJ61" s="290"/>
      <c r="BK61" s="371">
        <f>BD103</f>
        <v>1</v>
      </c>
      <c r="BL61" s="8"/>
      <c r="BM61" s="1"/>
    </row>
    <row r="62" spans="1:66">
      <c r="A62" s="144" t="s">
        <v>342</v>
      </c>
      <c r="B62" s="377">
        <f>Calculations!AC10</f>
        <v>165344.91769088514</v>
      </c>
      <c r="C62" s="378">
        <f>Calculations!AD10</f>
        <v>1</v>
      </c>
      <c r="D62" s="375" t="str">
        <f>Calculations!AE10</f>
        <v>N</v>
      </c>
      <c r="E62" s="375"/>
      <c r="F62" s="76"/>
      <c r="G62" s="76"/>
      <c r="H62" s="76"/>
      <c r="I62" s="76"/>
      <c r="J62" s="76"/>
      <c r="K62" s="76"/>
      <c r="L62" s="76"/>
      <c r="M62" s="76"/>
      <c r="N62" s="76"/>
      <c r="O62" s="76"/>
      <c r="P62" s="76"/>
      <c r="Q62" s="76"/>
      <c r="R62" s="76"/>
      <c r="S62" s="76"/>
      <c r="T62" s="76"/>
      <c r="U62" s="76"/>
      <c r="V62" s="76"/>
      <c r="W62" s="76"/>
      <c r="X62" s="76"/>
      <c r="BB62" s="290" t="s">
        <v>342</v>
      </c>
      <c r="BC62" s="5">
        <f t="shared" si="16"/>
        <v>165344.91769088514</v>
      </c>
      <c r="BD62" s="371">
        <f t="shared" si="16"/>
        <v>1</v>
      </c>
      <c r="BE62" s="371" t="str">
        <f t="shared" si="16"/>
        <v>N</v>
      </c>
      <c r="BH62" s="26" t="s">
        <v>140</v>
      </c>
      <c r="BL62" s="8"/>
      <c r="BM62" s="1"/>
    </row>
    <row r="63" spans="1:66">
      <c r="A63" s="144" t="s">
        <v>343</v>
      </c>
      <c r="B63" s="377">
        <f>Calculations!AC11</f>
        <v>774510.40392046201</v>
      </c>
      <c r="C63" s="378"/>
      <c r="D63" s="375"/>
      <c r="E63" s="375"/>
      <c r="F63" s="76"/>
      <c r="G63" s="76"/>
      <c r="H63" s="76"/>
      <c r="I63" s="76"/>
      <c r="J63" s="76"/>
      <c r="K63" s="76"/>
      <c r="L63" s="76"/>
      <c r="M63" s="76"/>
      <c r="N63" s="76"/>
      <c r="O63" s="76"/>
      <c r="P63" s="76"/>
      <c r="Q63" s="76"/>
      <c r="R63" s="76"/>
      <c r="S63" s="76"/>
      <c r="T63" s="76"/>
      <c r="U63" s="76"/>
      <c r="V63" s="76"/>
      <c r="W63" s="76"/>
      <c r="X63" s="76"/>
      <c r="BB63" s="290" t="s">
        <v>343</v>
      </c>
      <c r="BC63" s="5">
        <f>B63</f>
        <v>774510.40392046201</v>
      </c>
      <c r="BD63" s="371"/>
      <c r="BH63" s="290" t="str">
        <f>ProjectData!A79</f>
        <v>Payroll Parameters</v>
      </c>
      <c r="BI63" s="365"/>
      <c r="BJ63" s="290"/>
      <c r="BK63" s="367"/>
      <c r="BL63" s="8"/>
      <c r="BM63" s="1"/>
      <c r="BN63" s="8"/>
    </row>
    <row r="64" spans="1:66">
      <c r="A64" s="144" t="s">
        <v>344</v>
      </c>
      <c r="B64" s="377"/>
      <c r="C64" s="378"/>
      <c r="D64" s="375"/>
      <c r="E64" s="375"/>
      <c r="F64" s="76"/>
      <c r="G64" s="76"/>
      <c r="H64" s="76"/>
      <c r="I64" s="76"/>
      <c r="J64" s="76"/>
      <c r="K64" s="76"/>
      <c r="L64" s="76"/>
      <c r="M64" s="76"/>
      <c r="N64" s="76"/>
      <c r="O64" s="76"/>
      <c r="P64" s="76"/>
      <c r="Q64" s="76"/>
      <c r="R64" s="76"/>
      <c r="S64" s="76"/>
      <c r="T64" s="76"/>
      <c r="U64" s="76"/>
      <c r="V64" s="76"/>
      <c r="W64" s="76"/>
      <c r="X64" s="76"/>
      <c r="BB64" s="290" t="s">
        <v>344</v>
      </c>
      <c r="BC64" s="5"/>
      <c r="BD64" s="371"/>
      <c r="BH64" s="290" t="str">
        <f>ProjectData!A80</f>
        <v xml:space="preserve">  Construction and Installation Labor</v>
      </c>
      <c r="BI64" s="380" t="str">
        <f>ProjectData!B80</f>
        <v>Wage per hour</v>
      </c>
      <c r="BJ64" s="290"/>
      <c r="BK64" s="367" t="str">
        <f>ProjectData!D80</f>
        <v>Employer Payroll Overhead</v>
      </c>
      <c r="BL64" s="8"/>
      <c r="BM64" s="1"/>
    </row>
    <row r="65" spans="1:66">
      <c r="A65" s="144" t="s">
        <v>345</v>
      </c>
      <c r="B65" s="377">
        <f>Calculations!AC13</f>
        <v>261070.92266981862</v>
      </c>
      <c r="C65" s="378">
        <f>Calculations!AD13</f>
        <v>1</v>
      </c>
      <c r="D65" s="375"/>
      <c r="E65" s="375"/>
      <c r="F65" s="76"/>
      <c r="G65" s="76"/>
      <c r="H65" s="76"/>
      <c r="I65" s="76"/>
      <c r="J65" s="76"/>
      <c r="K65" s="76"/>
      <c r="L65" s="76"/>
      <c r="M65" s="76"/>
      <c r="N65" s="76"/>
      <c r="O65" s="76"/>
      <c r="P65" s="76"/>
      <c r="Q65" s="76"/>
      <c r="R65" s="76"/>
      <c r="S65" s="76"/>
      <c r="T65" s="76"/>
      <c r="U65" s="76"/>
      <c r="V65" s="76"/>
      <c r="W65" s="76"/>
      <c r="X65" s="76"/>
      <c r="BB65" s="290" t="s">
        <v>345</v>
      </c>
      <c r="BC65" s="5">
        <f>B65</f>
        <v>261070.92266981862</v>
      </c>
      <c r="BD65" s="371">
        <f>C65</f>
        <v>1</v>
      </c>
      <c r="BH65" s="290" t="str">
        <f>ProjectData!A81</f>
        <v xml:space="preserve">  Construction Workers / Installers</v>
      </c>
      <c r="BI65" s="381">
        <f>BC107</f>
        <v>20.010433545334923</v>
      </c>
      <c r="BJ65" s="290"/>
      <c r="BK65" s="371">
        <f>BD107</f>
        <v>0.45569999999999999</v>
      </c>
      <c r="BL65" s="8"/>
      <c r="BN65" s="4"/>
    </row>
    <row r="66" spans="1:66">
      <c r="A66" s="144" t="s">
        <v>343</v>
      </c>
      <c r="B66" s="377">
        <f>Calculations!AC14</f>
        <v>261070.92266981862</v>
      </c>
      <c r="C66" s="378"/>
      <c r="D66" s="375"/>
      <c r="E66" s="375"/>
      <c r="F66" s="76"/>
      <c r="G66" s="76"/>
      <c r="H66" s="76"/>
      <c r="I66" s="76"/>
      <c r="J66" s="76"/>
      <c r="K66" s="76"/>
      <c r="L66" s="76"/>
      <c r="M66" s="76"/>
      <c r="N66" s="76"/>
      <c r="O66" s="76"/>
      <c r="P66" s="76"/>
      <c r="Q66" s="76"/>
      <c r="R66" s="76"/>
      <c r="S66" s="76"/>
      <c r="T66" s="76"/>
      <c r="U66" s="76"/>
      <c r="V66" s="76"/>
      <c r="W66" s="76"/>
      <c r="X66" s="76"/>
      <c r="BB66" s="290" t="s">
        <v>343</v>
      </c>
      <c r="BC66" s="5">
        <f>B66</f>
        <v>261070.92266981862</v>
      </c>
      <c r="BD66" s="371"/>
      <c r="BH66" s="290" t="str">
        <f>ProjectData!A82</f>
        <v xml:space="preserve">  O &amp; M Labor</v>
      </c>
      <c r="BI66" s="382"/>
      <c r="BJ66" s="290"/>
      <c r="BK66" s="367"/>
      <c r="BN66" s="4"/>
    </row>
    <row r="67" spans="1:66">
      <c r="A67" s="144" t="s">
        <v>131</v>
      </c>
      <c r="B67" s="377">
        <f>Calculations!AC15</f>
        <v>1035581.3265902806</v>
      </c>
      <c r="C67" s="378"/>
      <c r="D67" s="375"/>
      <c r="E67" s="375"/>
      <c r="F67" s="76"/>
      <c r="G67" s="76"/>
      <c r="H67" s="76"/>
      <c r="I67" s="76"/>
      <c r="J67" s="76"/>
      <c r="K67" s="76"/>
      <c r="L67" s="76"/>
      <c r="M67" s="76"/>
      <c r="N67" s="76"/>
      <c r="O67" s="76"/>
      <c r="P67" s="76"/>
      <c r="Q67" s="76"/>
      <c r="R67" s="76"/>
      <c r="S67" s="76"/>
      <c r="T67" s="76"/>
      <c r="U67" s="76"/>
      <c r="V67" s="76"/>
      <c r="W67" s="76"/>
      <c r="X67" s="76"/>
      <c r="BB67" s="290" t="s">
        <v>131</v>
      </c>
      <c r="BC67" s="5">
        <f>B67</f>
        <v>1035581.3265902806</v>
      </c>
      <c r="BD67" s="371"/>
      <c r="BH67" s="290" t="str">
        <f>ProjectData!A83</f>
        <v xml:space="preserve">  Technicians</v>
      </c>
      <c r="BI67" s="381">
        <f>BC109</f>
        <v>20.010433545334923</v>
      </c>
      <c r="BJ67" s="290"/>
      <c r="BK67" s="371">
        <f>BD109</f>
        <v>0.45569999999999999</v>
      </c>
      <c r="BN67" s="4"/>
    </row>
    <row r="68" spans="1:66">
      <c r="A68" s="144" t="s">
        <v>346</v>
      </c>
      <c r="B68" s="377"/>
      <c r="C68" s="378"/>
      <c r="D68" s="375"/>
      <c r="E68" s="375"/>
      <c r="F68" s="76"/>
      <c r="G68" s="76"/>
      <c r="H68" s="76"/>
      <c r="I68" s="76"/>
      <c r="J68" s="76"/>
      <c r="K68" s="76"/>
      <c r="L68" s="76"/>
      <c r="M68" s="76"/>
      <c r="N68" s="76"/>
      <c r="O68" s="76"/>
      <c r="P68" s="76"/>
      <c r="Q68" s="76"/>
      <c r="R68" s="76"/>
      <c r="S68" s="76"/>
      <c r="T68" s="76"/>
      <c r="U68" s="76"/>
      <c r="V68" s="76"/>
      <c r="W68" s="76"/>
      <c r="X68" s="76"/>
      <c r="BB68" s="290" t="s">
        <v>346</v>
      </c>
      <c r="BC68" s="5"/>
      <c r="BD68" s="371"/>
      <c r="BN68" s="4"/>
    </row>
    <row r="69" spans="1:66">
      <c r="A69" s="144" t="s">
        <v>347</v>
      </c>
      <c r="B69" s="377">
        <f>Calculations!AC17</f>
        <v>348094.56355975819</v>
      </c>
      <c r="C69" s="378">
        <f>Calculations!AD17</f>
        <v>1</v>
      </c>
      <c r="D69" s="375"/>
      <c r="E69" s="375"/>
      <c r="F69" s="76"/>
      <c r="G69" s="76"/>
      <c r="H69" s="76"/>
      <c r="I69" s="76"/>
      <c r="J69" s="76"/>
      <c r="K69" s="76"/>
      <c r="L69" s="76"/>
      <c r="M69" s="76"/>
      <c r="N69" s="76"/>
      <c r="O69" s="76"/>
      <c r="P69" s="76"/>
      <c r="Q69" s="76"/>
      <c r="R69" s="76"/>
      <c r="S69" s="76"/>
      <c r="T69" s="76"/>
      <c r="U69" s="76"/>
      <c r="V69" s="76"/>
      <c r="W69" s="76"/>
      <c r="X69" s="76"/>
      <c r="BB69" s="290" t="s">
        <v>347</v>
      </c>
      <c r="BC69" s="5">
        <f t="shared" ref="BC69:BD71" si="17">B69</f>
        <v>348094.56355975819</v>
      </c>
      <c r="BD69" s="371">
        <f t="shared" si="17"/>
        <v>1</v>
      </c>
      <c r="BN69" s="4"/>
    </row>
    <row r="70" spans="1:66">
      <c r="A70" s="144" t="s">
        <v>348</v>
      </c>
      <c r="B70" s="377">
        <f>Calculations!AC18</f>
        <v>661379.67076354055</v>
      </c>
      <c r="C70" s="378">
        <f>Calculations!AD18</f>
        <v>1</v>
      </c>
      <c r="D70" s="378"/>
      <c r="E70" s="378"/>
      <c r="F70" s="76"/>
      <c r="G70" s="76"/>
      <c r="H70" s="76"/>
      <c r="I70" s="76"/>
      <c r="J70" s="76"/>
      <c r="K70" s="76"/>
      <c r="L70" s="76"/>
      <c r="M70" s="76"/>
      <c r="N70" s="76"/>
      <c r="O70" s="76"/>
      <c r="P70" s="76"/>
      <c r="Q70" s="76"/>
      <c r="R70" s="76"/>
      <c r="S70" s="76"/>
      <c r="T70" s="76"/>
      <c r="U70" s="76"/>
      <c r="V70" s="76"/>
      <c r="W70" s="76"/>
      <c r="X70" s="76"/>
      <c r="BB70" s="290" t="s">
        <v>348</v>
      </c>
      <c r="BC70" s="5">
        <f t="shared" si="17"/>
        <v>661379.67076354055</v>
      </c>
      <c r="BD70" s="371">
        <f t="shared" si="17"/>
        <v>1</v>
      </c>
      <c r="BE70" s="371"/>
      <c r="BN70" s="4"/>
    </row>
    <row r="71" spans="1:66">
      <c r="A71" s="144" t="s">
        <v>349</v>
      </c>
      <c r="B71" s="377">
        <f>Calculations!AC19</f>
        <v>574356.02987360104</v>
      </c>
      <c r="C71" s="378">
        <f>Calculations!AD19</f>
        <v>1</v>
      </c>
      <c r="D71" s="378"/>
      <c r="E71" s="378"/>
      <c r="F71" s="76"/>
      <c r="G71" s="76"/>
      <c r="H71" s="76"/>
      <c r="I71" s="76"/>
      <c r="J71" s="76"/>
      <c r="K71" s="76"/>
      <c r="L71" s="76"/>
      <c r="M71" s="76"/>
      <c r="N71" s="76"/>
      <c r="O71" s="76"/>
      <c r="P71" s="76"/>
      <c r="Q71" s="76"/>
      <c r="R71" s="76"/>
      <c r="S71" s="76"/>
      <c r="T71" s="76"/>
      <c r="U71" s="76"/>
      <c r="V71" s="76"/>
      <c r="W71" s="76"/>
      <c r="X71" s="76"/>
      <c r="BB71" s="290" t="s">
        <v>349</v>
      </c>
      <c r="BC71" s="5">
        <f t="shared" si="17"/>
        <v>574356.02987360104</v>
      </c>
      <c r="BD71" s="371">
        <f t="shared" si="17"/>
        <v>1</v>
      </c>
      <c r="BE71" s="371"/>
      <c r="BN71" s="4"/>
    </row>
    <row r="72" spans="1:66">
      <c r="A72" s="144" t="s">
        <v>343</v>
      </c>
      <c r="B72" s="377">
        <f>Calculations!AC20</f>
        <v>1583830.2641968997</v>
      </c>
      <c r="C72" s="378"/>
      <c r="D72" s="32"/>
      <c r="E72" s="32"/>
      <c r="F72" s="76"/>
      <c r="G72" s="76"/>
      <c r="H72" s="76"/>
      <c r="I72" s="76"/>
      <c r="J72" s="76"/>
      <c r="K72" s="76"/>
      <c r="L72" s="76"/>
      <c r="M72" s="76"/>
      <c r="N72" s="76"/>
      <c r="O72" s="76"/>
      <c r="P72" s="76"/>
      <c r="Q72" s="76"/>
      <c r="R72" s="76"/>
      <c r="S72" s="76"/>
      <c r="T72" s="76"/>
      <c r="U72" s="76"/>
      <c r="V72" s="76"/>
      <c r="W72" s="76"/>
      <c r="X72" s="76"/>
      <c r="BB72" s="290" t="s">
        <v>343</v>
      </c>
      <c r="BC72" s="5">
        <f>B72</f>
        <v>1583830.2641968997</v>
      </c>
      <c r="BD72" s="371"/>
      <c r="BN72" s="4"/>
    </row>
    <row r="73" spans="1:66">
      <c r="A73" s="144" t="s">
        <v>131</v>
      </c>
      <c r="B73" s="377">
        <f>Calculations!AC21</f>
        <v>2619411.5907871802</v>
      </c>
      <c r="C73" s="378"/>
      <c r="D73" s="32"/>
      <c r="E73" s="32"/>
      <c r="F73" s="76"/>
      <c r="G73" s="76"/>
      <c r="H73" s="76"/>
      <c r="I73" s="76"/>
      <c r="J73" s="76"/>
      <c r="K73" s="76"/>
      <c r="L73" s="76"/>
      <c r="M73" s="76"/>
      <c r="N73" s="76"/>
      <c r="O73" s="76"/>
      <c r="P73" s="76"/>
      <c r="Q73" s="76"/>
      <c r="R73" s="76"/>
      <c r="S73" s="76"/>
      <c r="T73" s="76"/>
      <c r="U73" s="76"/>
      <c r="V73" s="76"/>
      <c r="W73" s="76"/>
      <c r="X73" s="76"/>
      <c r="BB73" s="290" t="s">
        <v>131</v>
      </c>
      <c r="BC73" s="5">
        <f>B73</f>
        <v>2619411.5907871802</v>
      </c>
      <c r="BD73" s="371"/>
      <c r="BN73" s="4"/>
    </row>
    <row r="74" spans="1:66">
      <c r="A74" s="144" t="s">
        <v>132</v>
      </c>
      <c r="B74" s="377">
        <f>Calculations!AC22</f>
        <v>48406.900245028875</v>
      </c>
      <c r="C74" s="378">
        <f>Calculations!AD22</f>
        <v>1</v>
      </c>
      <c r="D74" s="32"/>
      <c r="E74" s="32"/>
      <c r="F74" s="76"/>
      <c r="G74" s="76"/>
      <c r="H74" s="76"/>
      <c r="I74" s="76"/>
      <c r="J74" s="76"/>
      <c r="K74" s="76"/>
      <c r="L74" s="76"/>
      <c r="M74" s="76"/>
      <c r="N74" s="76"/>
      <c r="O74" s="76"/>
      <c r="P74" s="76"/>
      <c r="Q74" s="76"/>
      <c r="R74" s="76"/>
      <c r="S74" s="76"/>
      <c r="T74" s="76"/>
      <c r="U74" s="76"/>
      <c r="V74" s="76"/>
      <c r="W74" s="76"/>
      <c r="X74" s="76"/>
      <c r="BB74" s="290" t="s">
        <v>132</v>
      </c>
      <c r="BC74" s="5">
        <f>B74</f>
        <v>48406.900245028875</v>
      </c>
      <c r="BD74" s="371">
        <f>C74</f>
        <v>1</v>
      </c>
      <c r="BN74" s="4"/>
    </row>
    <row r="75" spans="1:66">
      <c r="A75" s="144" t="s">
        <v>133</v>
      </c>
      <c r="B75" s="377">
        <f>Calculations!AC23</f>
        <v>2667818.4910322092</v>
      </c>
      <c r="C75" s="378"/>
      <c r="D75" s="32"/>
      <c r="E75" s="32"/>
      <c r="F75" s="76"/>
      <c r="G75" s="76"/>
      <c r="H75" s="76"/>
      <c r="I75" s="76"/>
      <c r="J75" s="76"/>
      <c r="K75" s="76"/>
      <c r="L75" s="76"/>
      <c r="M75" s="76"/>
      <c r="N75" s="76"/>
      <c r="O75" s="76"/>
      <c r="P75" s="76"/>
      <c r="Q75" s="76"/>
      <c r="R75" s="76"/>
      <c r="S75" s="76"/>
      <c r="T75" s="76"/>
      <c r="U75" s="76"/>
      <c r="V75" s="76"/>
      <c r="W75" s="76"/>
      <c r="X75" s="76"/>
      <c r="BB75" s="290" t="s">
        <v>133</v>
      </c>
      <c r="BC75" s="5">
        <f>B75</f>
        <v>2667818.4910322092</v>
      </c>
      <c r="BD75" s="371"/>
    </row>
    <row r="76" spans="1:66">
      <c r="A76" s="144"/>
      <c r="B76" s="377"/>
      <c r="C76" s="378"/>
      <c r="D76" s="32"/>
      <c r="E76" s="32"/>
      <c r="F76" s="76"/>
      <c r="G76" s="76"/>
      <c r="H76" s="76"/>
      <c r="I76" s="76"/>
      <c r="J76" s="76"/>
      <c r="K76" s="76"/>
      <c r="L76" s="76"/>
      <c r="M76" s="76"/>
      <c r="N76" s="76"/>
      <c r="O76" s="76"/>
      <c r="P76" s="76"/>
      <c r="Q76" s="76"/>
      <c r="R76" s="76"/>
      <c r="S76" s="76"/>
      <c r="T76" s="76"/>
      <c r="U76" s="76"/>
      <c r="V76" s="76"/>
      <c r="W76" s="76"/>
      <c r="X76" s="76"/>
      <c r="BB76" s="290"/>
      <c r="BD76" s="5"/>
      <c r="BE76" s="371"/>
    </row>
    <row r="77" spans="1:66">
      <c r="A77" s="53" t="s">
        <v>350</v>
      </c>
      <c r="B77" s="377"/>
      <c r="C77" s="378"/>
      <c r="D77" s="32" t="str">
        <f>D56</f>
        <v>Manufactured</v>
      </c>
      <c r="E77" s="32"/>
      <c r="F77" s="76"/>
      <c r="G77" s="76"/>
      <c r="H77" s="76"/>
      <c r="I77" s="76"/>
      <c r="J77" s="76"/>
      <c r="K77" s="76"/>
      <c r="L77" s="76"/>
      <c r="M77" s="76"/>
      <c r="N77" s="76"/>
      <c r="O77" s="76"/>
      <c r="P77" s="76"/>
      <c r="Q77" s="76"/>
      <c r="R77" s="76"/>
      <c r="S77" s="76"/>
      <c r="T77" s="76"/>
      <c r="U77" s="76"/>
      <c r="V77" s="76"/>
      <c r="W77" s="76"/>
      <c r="X77" s="76"/>
      <c r="BB77" s="1" t="s">
        <v>350</v>
      </c>
      <c r="BC77" s="251" t="s">
        <v>122</v>
      </c>
      <c r="BD77" s="136" t="s">
        <v>136</v>
      </c>
      <c r="BE77" s="371"/>
    </row>
    <row r="78" spans="1:66">
      <c r="A78" s="144"/>
      <c r="B78" s="120" t="str">
        <f>Calculations!AC26</f>
        <v>Cost</v>
      </c>
      <c r="C78" s="118" t="str">
        <f>Calculations!AD26</f>
        <v>Local Share</v>
      </c>
      <c r="D78" s="145" t="str">
        <f>D57</f>
        <v>Locally (Y or N)</v>
      </c>
      <c r="E78" s="145"/>
      <c r="F78" s="76"/>
      <c r="G78" s="76"/>
      <c r="H78" s="76"/>
      <c r="I78" s="76"/>
      <c r="J78" s="76"/>
      <c r="K78" s="76"/>
      <c r="L78" s="76"/>
      <c r="M78" s="76"/>
      <c r="N78" s="76"/>
      <c r="O78" s="76"/>
      <c r="P78" s="76"/>
      <c r="Q78" s="76"/>
      <c r="R78" s="76"/>
      <c r="S78" s="76"/>
      <c r="T78" s="76"/>
      <c r="U78" s="76"/>
      <c r="V78" s="76"/>
      <c r="W78" s="76"/>
      <c r="X78" s="76"/>
      <c r="BB78" s="290" t="s">
        <v>344</v>
      </c>
      <c r="BC78" s="5"/>
      <c r="BD78" s="371"/>
    </row>
    <row r="79" spans="1:66">
      <c r="A79" s="144" t="s">
        <v>344</v>
      </c>
      <c r="B79" s="377"/>
      <c r="C79" s="378"/>
      <c r="D79" s="32"/>
      <c r="E79" s="32"/>
      <c r="F79" s="76"/>
      <c r="G79" s="76"/>
      <c r="H79" s="76"/>
      <c r="I79" s="76"/>
      <c r="J79" s="76"/>
      <c r="K79" s="76"/>
      <c r="L79" s="76"/>
      <c r="M79" s="76"/>
      <c r="N79" s="76"/>
      <c r="O79" s="76"/>
      <c r="P79" s="76"/>
      <c r="Q79" s="76"/>
      <c r="R79" s="76"/>
      <c r="S79" s="76"/>
      <c r="T79" s="76"/>
      <c r="U79" s="76"/>
      <c r="V79" s="76"/>
      <c r="W79" s="76"/>
      <c r="X79" s="76"/>
      <c r="BB79" s="290" t="s">
        <v>351</v>
      </c>
      <c r="BC79" s="250">
        <f>B80</f>
        <v>17930.666666666664</v>
      </c>
      <c r="BD79" s="371">
        <f>C80</f>
        <v>1</v>
      </c>
    </row>
    <row r="80" spans="1:66">
      <c r="A80" s="144" t="s">
        <v>351</v>
      </c>
      <c r="B80" s="377">
        <f>Calculations!AC28</f>
        <v>17930.666666666664</v>
      </c>
      <c r="C80" s="378">
        <f>Calculations!AD28</f>
        <v>1</v>
      </c>
      <c r="D80" s="32"/>
      <c r="E80" s="32"/>
      <c r="F80" s="76"/>
      <c r="G80" s="76"/>
      <c r="H80" s="76"/>
      <c r="I80" s="76"/>
      <c r="J80" s="76"/>
      <c r="K80" s="76"/>
      <c r="L80" s="76"/>
      <c r="M80" s="76"/>
      <c r="N80" s="76"/>
      <c r="O80" s="76"/>
      <c r="P80" s="76"/>
      <c r="Q80" s="76"/>
      <c r="R80" s="76"/>
      <c r="S80" s="76"/>
      <c r="T80" s="76"/>
      <c r="U80" s="76"/>
      <c r="V80" s="76"/>
      <c r="W80" s="76"/>
      <c r="X80" s="76"/>
      <c r="BB80" s="290" t="s">
        <v>343</v>
      </c>
      <c r="BC80" s="250">
        <f>B81</f>
        <v>17930.666666666664</v>
      </c>
      <c r="BD80" s="371"/>
    </row>
    <row r="81" spans="1:57">
      <c r="A81" s="144" t="s">
        <v>343</v>
      </c>
      <c r="B81" s="377">
        <f>Calculations!AC29</f>
        <v>17930.666666666664</v>
      </c>
      <c r="C81" s="378"/>
      <c r="D81" s="32"/>
      <c r="E81" s="32"/>
      <c r="F81" s="76"/>
      <c r="G81" s="76"/>
      <c r="H81" s="76"/>
      <c r="I81" s="76"/>
      <c r="J81" s="76"/>
      <c r="K81" s="76"/>
      <c r="L81" s="76"/>
      <c r="M81" s="76"/>
      <c r="N81" s="76"/>
      <c r="O81" s="76"/>
      <c r="P81" s="76"/>
      <c r="Q81" s="76"/>
      <c r="R81" s="76"/>
      <c r="S81" s="76"/>
      <c r="T81" s="76"/>
      <c r="U81" s="76"/>
      <c r="V81" s="76"/>
      <c r="W81" s="76"/>
      <c r="X81" s="76"/>
      <c r="BB81" s="290" t="s">
        <v>352</v>
      </c>
      <c r="BC81" s="250"/>
      <c r="BD81" s="371"/>
    </row>
    <row r="82" spans="1:57">
      <c r="A82" s="144" t="s">
        <v>352</v>
      </c>
      <c r="B82" s="377"/>
      <c r="C82" s="378"/>
      <c r="D82" s="32"/>
      <c r="E82" s="32"/>
      <c r="F82" s="76"/>
      <c r="G82" s="76"/>
      <c r="H82" s="76"/>
      <c r="I82" s="76"/>
      <c r="J82" s="76"/>
      <c r="K82" s="76"/>
      <c r="L82" s="76"/>
      <c r="M82" s="76"/>
      <c r="N82" s="76"/>
      <c r="O82" s="76"/>
      <c r="P82" s="76"/>
      <c r="Q82" s="76"/>
      <c r="R82" s="76"/>
      <c r="S82" s="76"/>
      <c r="T82" s="76"/>
      <c r="U82" s="76"/>
      <c r="V82" s="76"/>
      <c r="W82" s="76"/>
      <c r="X82" s="76"/>
      <c r="BB82" s="290" t="s">
        <v>353</v>
      </c>
      <c r="BC82" s="250">
        <f>B83</f>
        <v>14869.333333333334</v>
      </c>
      <c r="BD82" s="371">
        <f>C83</f>
        <v>1</v>
      </c>
    </row>
    <row r="83" spans="1:57">
      <c r="A83" s="144" t="s">
        <v>353</v>
      </c>
      <c r="B83" s="377">
        <f>Calculations!AC31</f>
        <v>14869.333333333334</v>
      </c>
      <c r="C83" s="378">
        <f>Calculations!AD31</f>
        <v>1</v>
      </c>
      <c r="D83" s="375" t="str">
        <f>Calculations!AE31</f>
        <v>N</v>
      </c>
      <c r="E83" s="375"/>
      <c r="F83" s="76"/>
      <c r="G83" s="76"/>
      <c r="H83" s="76"/>
      <c r="I83" s="76"/>
      <c r="J83" s="76"/>
      <c r="K83" s="76"/>
      <c r="L83" s="76"/>
      <c r="M83" s="76"/>
      <c r="N83" s="76"/>
      <c r="O83" s="76"/>
      <c r="P83" s="76"/>
      <c r="Q83" s="76"/>
      <c r="R83" s="76"/>
      <c r="S83" s="76"/>
      <c r="T83" s="76"/>
      <c r="U83" s="76"/>
      <c r="V83" s="76"/>
      <c r="W83" s="76"/>
      <c r="X83" s="76"/>
      <c r="BB83" s="290" t="s">
        <v>354</v>
      </c>
      <c r="BC83" s="250">
        <f>B84</f>
        <v>0</v>
      </c>
      <c r="BD83" s="371">
        <f>C84</f>
        <v>1</v>
      </c>
    </row>
    <row r="84" spans="1:57">
      <c r="A84" s="144" t="s">
        <v>354</v>
      </c>
      <c r="B84" s="377">
        <f>Calculations!AC32</f>
        <v>0</v>
      </c>
      <c r="C84" s="378">
        <f>Calculations!AD32</f>
        <v>1</v>
      </c>
      <c r="D84" s="32"/>
      <c r="E84" s="32"/>
      <c r="F84" s="76"/>
      <c r="G84" s="76"/>
      <c r="H84" s="76"/>
      <c r="I84" s="76"/>
      <c r="J84" s="76"/>
      <c r="K84" s="76"/>
      <c r="L84" s="76"/>
      <c r="M84" s="76"/>
      <c r="N84" s="76"/>
      <c r="O84" s="76"/>
      <c r="P84" s="76"/>
      <c r="Q84" s="76"/>
      <c r="R84" s="76"/>
      <c r="S84" s="76"/>
      <c r="T84" s="76"/>
      <c r="U84" s="76"/>
      <c r="V84" s="76"/>
      <c r="W84" s="76"/>
      <c r="X84" s="76"/>
      <c r="BB84" s="290" t="s">
        <v>343</v>
      </c>
      <c r="BC84" s="250">
        <f>B85</f>
        <v>14869.333333333334</v>
      </c>
      <c r="BD84" s="371"/>
    </row>
    <row r="85" spans="1:57">
      <c r="A85" s="144" t="s">
        <v>343</v>
      </c>
      <c r="B85" s="377">
        <f>Calculations!AC33</f>
        <v>14869.333333333334</v>
      </c>
      <c r="C85" s="378"/>
      <c r="D85" s="32"/>
      <c r="E85" s="32"/>
      <c r="F85" s="76"/>
      <c r="G85" s="76"/>
      <c r="H85" s="76"/>
      <c r="I85" s="76"/>
      <c r="J85" s="76"/>
      <c r="K85" s="76"/>
      <c r="L85" s="76"/>
      <c r="M85" s="76"/>
      <c r="N85" s="76"/>
      <c r="O85" s="76"/>
      <c r="P85" s="76"/>
      <c r="Q85" s="76"/>
      <c r="R85" s="76"/>
      <c r="S85" s="76"/>
      <c r="T85" s="76"/>
      <c r="U85" s="76"/>
      <c r="V85" s="76"/>
      <c r="W85" s="76"/>
      <c r="X85" s="76"/>
      <c r="BB85" s="290" t="s">
        <v>132</v>
      </c>
      <c r="BC85" s="250">
        <f>B86</f>
        <v>0</v>
      </c>
      <c r="BD85" s="371">
        <f>C86</f>
        <v>1</v>
      </c>
    </row>
    <row r="86" spans="1:57">
      <c r="A86" s="144" t="s">
        <v>132</v>
      </c>
      <c r="B86" s="377">
        <f>Calculations!AC34</f>
        <v>0</v>
      </c>
      <c r="C86" s="378">
        <f>Calculations!AD34</f>
        <v>1</v>
      </c>
      <c r="D86" s="32"/>
      <c r="E86" s="32"/>
      <c r="F86" s="76"/>
      <c r="G86" s="76"/>
      <c r="H86" s="76"/>
      <c r="I86" s="76"/>
      <c r="J86" s="76"/>
      <c r="K86" s="76"/>
      <c r="L86" s="76"/>
      <c r="M86" s="76"/>
      <c r="N86" s="76"/>
      <c r="O86" s="76"/>
      <c r="P86" s="76"/>
      <c r="Q86" s="76"/>
      <c r="R86" s="76"/>
      <c r="S86" s="76"/>
      <c r="T86" s="76"/>
      <c r="U86" s="76"/>
      <c r="V86" s="76"/>
      <c r="W86" s="76"/>
      <c r="X86" s="76"/>
      <c r="BB86" s="290" t="s">
        <v>355</v>
      </c>
      <c r="BC86" s="250">
        <f>B87</f>
        <v>303851.74453131296</v>
      </c>
      <c r="BD86" s="371">
        <f>C87</f>
        <v>0</v>
      </c>
    </row>
    <row r="87" spans="1:57">
      <c r="A87" s="144" t="s">
        <v>355</v>
      </c>
      <c r="B87" s="377">
        <f>Calculations!AC35</f>
        <v>303851.74453131296</v>
      </c>
      <c r="C87" s="378">
        <f>Calculations!AD35</f>
        <v>0</v>
      </c>
      <c r="D87" s="32"/>
      <c r="E87" s="32"/>
      <c r="F87" s="76"/>
      <c r="G87" s="76"/>
      <c r="H87" s="76"/>
      <c r="I87" s="76"/>
      <c r="J87" s="76"/>
      <c r="K87" s="76"/>
      <c r="L87" s="76"/>
      <c r="M87" s="76"/>
      <c r="N87" s="76"/>
      <c r="O87" s="76"/>
      <c r="P87" s="76"/>
      <c r="Q87" s="76"/>
      <c r="R87" s="76"/>
      <c r="S87" s="76"/>
      <c r="T87" s="76"/>
      <c r="U87" s="76"/>
      <c r="V87" s="76"/>
      <c r="W87" s="76"/>
      <c r="X87" s="76"/>
      <c r="BB87" s="290" t="s">
        <v>356</v>
      </c>
      <c r="BC87" s="250">
        <f>B88</f>
        <v>0</v>
      </c>
      <c r="BD87" s="371">
        <f>C88</f>
        <v>1</v>
      </c>
    </row>
    <row r="88" spans="1:57">
      <c r="A88" s="144" t="s">
        <v>356</v>
      </c>
      <c r="B88" s="377">
        <f>Calculations!AC36</f>
        <v>0</v>
      </c>
      <c r="C88" s="378">
        <f>Calculations!AD36</f>
        <v>1</v>
      </c>
      <c r="D88" s="32"/>
      <c r="E88" s="32"/>
      <c r="F88" s="76"/>
      <c r="G88" s="76"/>
      <c r="H88" s="76"/>
      <c r="I88" s="76"/>
      <c r="J88" s="76"/>
      <c r="K88" s="76"/>
      <c r="L88" s="76"/>
      <c r="M88" s="76"/>
      <c r="N88" s="76"/>
      <c r="O88" s="76"/>
      <c r="P88" s="76"/>
      <c r="Q88" s="76"/>
      <c r="R88" s="76"/>
      <c r="S88" s="76"/>
      <c r="T88" s="76"/>
      <c r="U88" s="76"/>
      <c r="V88" s="76"/>
      <c r="W88" s="76"/>
      <c r="X88" s="76"/>
      <c r="BB88" s="290" t="s">
        <v>133</v>
      </c>
      <c r="BC88" s="250">
        <f>B89</f>
        <v>336651.74453131296</v>
      </c>
      <c r="BD88" s="371"/>
    </row>
    <row r="89" spans="1:57">
      <c r="A89" s="144" t="s">
        <v>133</v>
      </c>
      <c r="B89" s="377">
        <f>Calculations!AC37</f>
        <v>336651.74453131296</v>
      </c>
      <c r="C89" s="378"/>
      <c r="D89" s="32"/>
      <c r="E89" s="32"/>
      <c r="F89" s="76"/>
      <c r="G89" s="76"/>
      <c r="H89" s="76"/>
      <c r="I89" s="76"/>
      <c r="J89" s="76"/>
      <c r="K89" s="76"/>
      <c r="L89" s="76"/>
      <c r="M89" s="76"/>
      <c r="N89" s="76"/>
      <c r="O89" s="76"/>
      <c r="P89" s="76"/>
      <c r="Q89" s="76"/>
      <c r="R89" s="76"/>
      <c r="S89" s="76"/>
      <c r="T89" s="76"/>
      <c r="U89" s="76"/>
      <c r="V89" s="76"/>
      <c r="W89" s="76"/>
      <c r="X89" s="76"/>
      <c r="BB89" s="290"/>
      <c r="BD89" s="171"/>
      <c r="BE89" s="371"/>
    </row>
    <row r="90" spans="1:57">
      <c r="A90" s="144"/>
      <c r="B90" s="377"/>
      <c r="C90" s="378"/>
      <c r="D90" s="32"/>
      <c r="E90" s="32"/>
      <c r="F90" s="76"/>
      <c r="G90" s="76"/>
      <c r="H90" s="76"/>
      <c r="I90" s="76"/>
      <c r="J90" s="76"/>
      <c r="K90" s="76"/>
      <c r="L90" s="76"/>
      <c r="M90" s="76"/>
      <c r="N90" s="76"/>
      <c r="O90" s="76"/>
      <c r="P90" s="76"/>
      <c r="Q90" s="76"/>
      <c r="R90" s="76"/>
      <c r="S90" s="76"/>
      <c r="T90" s="76"/>
      <c r="U90" s="76"/>
      <c r="V90" s="76"/>
      <c r="W90" s="76"/>
      <c r="X90" s="76"/>
      <c r="BB90" s="1" t="s">
        <v>357</v>
      </c>
      <c r="BD90" s="171"/>
      <c r="BE90" s="371"/>
    </row>
    <row r="91" spans="1:57">
      <c r="A91" s="53" t="s">
        <v>357</v>
      </c>
      <c r="B91" s="377"/>
      <c r="C91" s="378"/>
      <c r="D91" s="32"/>
      <c r="E91" s="32"/>
      <c r="F91" s="76"/>
      <c r="G91" s="76"/>
      <c r="H91" s="76"/>
      <c r="I91" s="76"/>
      <c r="J91" s="76"/>
      <c r="K91" s="76"/>
      <c r="L91" s="76"/>
      <c r="M91" s="76"/>
      <c r="N91" s="76"/>
      <c r="O91" s="76"/>
      <c r="P91" s="76"/>
      <c r="Q91" s="76"/>
      <c r="R91" s="76"/>
      <c r="S91" s="76"/>
      <c r="T91" s="76"/>
      <c r="U91" s="76"/>
      <c r="V91" s="76"/>
      <c r="W91" s="76"/>
      <c r="X91" s="76"/>
      <c r="BB91" s="290" t="s">
        <v>358</v>
      </c>
      <c r="BD91" s="171"/>
      <c r="BE91" s="371"/>
    </row>
    <row r="92" spans="1:57">
      <c r="A92" s="144" t="s">
        <v>358</v>
      </c>
      <c r="B92" s="377"/>
      <c r="C92" s="378"/>
      <c r="D92" s="32"/>
      <c r="E92" s="32"/>
      <c r="F92" s="76"/>
      <c r="G92" s="76"/>
      <c r="H92" s="76"/>
      <c r="I92" s="76"/>
      <c r="J92" s="76"/>
      <c r="K92" s="76"/>
      <c r="L92" s="76"/>
      <c r="M92" s="76"/>
      <c r="N92" s="76"/>
      <c r="O92" s="76"/>
      <c r="P92" s="76"/>
      <c r="Q92" s="76"/>
      <c r="R92" s="76"/>
      <c r="S92" s="76"/>
      <c r="T92" s="76"/>
      <c r="U92" s="76"/>
      <c r="V92" s="76"/>
      <c r="W92" s="76"/>
      <c r="X92" s="76"/>
      <c r="BB92" s="290" t="s">
        <v>359</v>
      </c>
      <c r="BD92" s="171"/>
      <c r="BE92" s="371"/>
    </row>
    <row r="93" spans="1:57">
      <c r="A93" s="144" t="s">
        <v>359</v>
      </c>
      <c r="B93" s="377"/>
      <c r="C93" s="378"/>
      <c r="D93" s="32"/>
      <c r="E93" s="32"/>
      <c r="F93" s="76"/>
      <c r="G93" s="76"/>
      <c r="H93" s="76"/>
      <c r="I93" s="76"/>
      <c r="J93" s="76"/>
      <c r="K93" s="76"/>
      <c r="L93" s="76"/>
      <c r="M93" s="76"/>
      <c r="N93" s="76"/>
      <c r="O93" s="76"/>
      <c r="P93" s="76"/>
      <c r="Q93" s="76"/>
      <c r="R93" s="76"/>
      <c r="S93" s="76"/>
      <c r="T93" s="76"/>
      <c r="U93" s="76"/>
      <c r="V93" s="76"/>
      <c r="W93" s="76"/>
      <c r="X93" s="76"/>
      <c r="BB93" s="290" t="s">
        <v>360</v>
      </c>
      <c r="BC93" s="137">
        <f>B94</f>
        <v>0.8</v>
      </c>
      <c r="BD93" s="371">
        <f>C94</f>
        <v>0</v>
      </c>
    </row>
    <row r="94" spans="1:57">
      <c r="A94" s="144" t="s">
        <v>360</v>
      </c>
      <c r="B94" s="378">
        <f>Calculations!AC43</f>
        <v>0.8</v>
      </c>
      <c r="C94" s="378">
        <f>Calculations!AD43</f>
        <v>0</v>
      </c>
      <c r="D94" s="32"/>
      <c r="E94" s="32"/>
      <c r="F94" s="76"/>
      <c r="G94" s="76"/>
      <c r="H94" s="76"/>
      <c r="I94" s="76"/>
      <c r="J94" s="76"/>
      <c r="K94" s="76"/>
      <c r="L94" s="76"/>
      <c r="M94" s="76"/>
      <c r="N94" s="76"/>
      <c r="O94" s="76"/>
      <c r="P94" s="76"/>
      <c r="Q94" s="76"/>
      <c r="R94" s="76"/>
      <c r="S94" s="76"/>
      <c r="T94" s="76"/>
      <c r="U94" s="76"/>
      <c r="V94" s="76"/>
      <c r="W94" s="76"/>
      <c r="X94" s="76"/>
      <c r="BB94" s="290" t="s">
        <v>361</v>
      </c>
      <c r="BC94" s="86">
        <f>B95</f>
        <v>10</v>
      </c>
      <c r="BD94" s="371"/>
    </row>
    <row r="95" spans="1:57">
      <c r="A95" s="144" t="s">
        <v>361</v>
      </c>
      <c r="B95" s="383">
        <f>Calculations!AC44</f>
        <v>10</v>
      </c>
      <c r="C95" s="378"/>
      <c r="D95" s="32"/>
      <c r="E95" s="32"/>
      <c r="F95" s="76"/>
      <c r="G95" s="76"/>
      <c r="H95" s="76"/>
      <c r="I95" s="76"/>
      <c r="J95" s="76"/>
      <c r="K95" s="76"/>
      <c r="L95" s="76"/>
      <c r="M95" s="76"/>
      <c r="N95" s="76"/>
      <c r="O95" s="76"/>
      <c r="P95" s="76"/>
      <c r="Q95" s="76"/>
      <c r="R95" s="76"/>
      <c r="S95" s="76"/>
      <c r="T95" s="76"/>
      <c r="U95" s="76"/>
      <c r="V95" s="76"/>
      <c r="W95" s="76"/>
      <c r="X95" s="76"/>
      <c r="BB95" s="290" t="s">
        <v>362</v>
      </c>
      <c r="BC95" s="137">
        <f>B96</f>
        <v>0.1</v>
      </c>
      <c r="BD95" s="371"/>
    </row>
    <row r="96" spans="1:57">
      <c r="A96" s="144" t="s">
        <v>362</v>
      </c>
      <c r="B96" s="378">
        <f>Calculations!AC45</f>
        <v>0.1</v>
      </c>
      <c r="C96" s="378"/>
      <c r="D96" s="32"/>
      <c r="E96" s="32"/>
      <c r="F96" s="76"/>
      <c r="G96" s="76"/>
      <c r="H96" s="76"/>
      <c r="I96" s="76"/>
      <c r="J96" s="76"/>
      <c r="K96" s="76"/>
      <c r="L96" s="76"/>
      <c r="M96" s="76"/>
      <c r="N96" s="76"/>
      <c r="O96" s="76"/>
      <c r="P96" s="76"/>
      <c r="Q96" s="76"/>
      <c r="R96" s="76"/>
      <c r="S96" s="76"/>
      <c r="T96" s="76"/>
      <c r="U96" s="76"/>
      <c r="V96" s="76"/>
      <c r="W96" s="76"/>
      <c r="X96" s="76"/>
      <c r="BB96" s="290" t="s">
        <v>363</v>
      </c>
      <c r="BC96" s="171"/>
      <c r="BD96" s="371"/>
    </row>
    <row r="97" spans="1:57">
      <c r="A97" s="144" t="s">
        <v>363</v>
      </c>
      <c r="B97" s="377"/>
      <c r="C97" s="378"/>
      <c r="D97" s="32"/>
      <c r="E97" s="32"/>
      <c r="F97" s="76"/>
      <c r="G97" s="76"/>
      <c r="H97" s="76"/>
      <c r="I97" s="76"/>
      <c r="J97" s="76"/>
      <c r="K97" s="76"/>
      <c r="L97" s="76"/>
      <c r="M97" s="76"/>
      <c r="N97" s="76"/>
      <c r="O97" s="76"/>
      <c r="P97" s="76"/>
      <c r="Q97" s="76"/>
      <c r="R97" s="76"/>
      <c r="S97" s="76"/>
      <c r="T97" s="76"/>
      <c r="U97" s="76"/>
      <c r="V97" s="76"/>
      <c r="W97" s="76"/>
      <c r="X97" s="76"/>
      <c r="BB97" s="290" t="s">
        <v>364</v>
      </c>
      <c r="BC97" s="11">
        <f t="shared" ref="BC97:BC104" si="18">B98</f>
        <v>0</v>
      </c>
      <c r="BD97" s="371"/>
    </row>
    <row r="98" spans="1:57">
      <c r="A98" s="144" t="s">
        <v>364</v>
      </c>
      <c r="B98" s="378">
        <f>Calculations!AC47</f>
        <v>0</v>
      </c>
      <c r="C98" s="378"/>
      <c r="D98" s="32"/>
      <c r="E98" s="32"/>
      <c r="F98" s="76"/>
      <c r="G98" s="76"/>
      <c r="H98" s="76"/>
      <c r="I98" s="76"/>
      <c r="J98" s="76"/>
      <c r="K98" s="76"/>
      <c r="L98" s="76"/>
      <c r="M98" s="76"/>
      <c r="N98" s="76"/>
      <c r="O98" s="76"/>
      <c r="P98" s="76"/>
      <c r="Q98" s="76"/>
      <c r="R98" s="76"/>
      <c r="S98" s="76"/>
      <c r="T98" s="76"/>
      <c r="U98" s="76"/>
      <c r="V98" s="76"/>
      <c r="W98" s="76"/>
      <c r="X98" s="76"/>
      <c r="BB98" s="290" t="s">
        <v>365</v>
      </c>
      <c r="BC98" s="11">
        <f t="shared" si="18"/>
        <v>0</v>
      </c>
      <c r="BD98" s="371"/>
    </row>
    <row r="99" spans="1:57">
      <c r="A99" s="144" t="s">
        <v>365</v>
      </c>
      <c r="B99" s="378">
        <f>Calculations!AC48</f>
        <v>0</v>
      </c>
      <c r="C99" s="378"/>
      <c r="D99" s="32"/>
      <c r="E99" s="32"/>
      <c r="F99" s="76"/>
      <c r="G99" s="76"/>
      <c r="H99" s="76"/>
      <c r="I99" s="76"/>
      <c r="J99" s="76"/>
      <c r="K99" s="76"/>
      <c r="L99" s="76"/>
      <c r="M99" s="76"/>
      <c r="N99" s="76"/>
      <c r="O99" s="76"/>
      <c r="P99" s="76"/>
      <c r="Q99" s="76"/>
      <c r="R99" s="76"/>
      <c r="S99" s="76"/>
      <c r="T99" s="76"/>
      <c r="U99" s="76"/>
      <c r="V99" s="76"/>
      <c r="W99" s="76"/>
      <c r="X99" s="76"/>
      <c r="BB99" s="290" t="s">
        <v>366</v>
      </c>
      <c r="BC99" s="11">
        <f t="shared" si="18"/>
        <v>0</v>
      </c>
      <c r="BD99" s="371"/>
    </row>
    <row r="100" spans="1:57">
      <c r="A100" s="144" t="s">
        <v>366</v>
      </c>
      <c r="B100" s="378">
        <f>Calculations!AC49</f>
        <v>0</v>
      </c>
      <c r="C100" s="378"/>
      <c r="D100" s="32"/>
      <c r="E100" s="32"/>
      <c r="F100" s="76"/>
      <c r="G100" s="76"/>
      <c r="H100" s="76"/>
      <c r="I100" s="76"/>
      <c r="J100" s="76"/>
      <c r="K100" s="76"/>
      <c r="L100" s="76"/>
      <c r="M100" s="76"/>
      <c r="N100" s="76"/>
      <c r="O100" s="76"/>
      <c r="P100" s="76"/>
      <c r="Q100" s="76"/>
      <c r="R100" s="76"/>
      <c r="S100" s="76"/>
      <c r="T100" s="76"/>
      <c r="U100" s="76"/>
      <c r="V100" s="76"/>
      <c r="W100" s="76"/>
      <c r="X100" s="76"/>
      <c r="BB100" s="290" t="s">
        <v>367</v>
      </c>
      <c r="BC100" s="57">
        <f t="shared" si="18"/>
        <v>0</v>
      </c>
      <c r="BD100" s="371"/>
    </row>
    <row r="101" spans="1:57">
      <c r="A101" s="144" t="s">
        <v>367</v>
      </c>
      <c r="B101" s="377">
        <f>Calculations!AC50</f>
        <v>0</v>
      </c>
      <c r="C101" s="378"/>
      <c r="D101" s="32"/>
      <c r="E101" s="32"/>
      <c r="F101" s="76"/>
      <c r="G101" s="76"/>
      <c r="H101" s="76"/>
      <c r="I101" s="76"/>
      <c r="J101" s="76"/>
      <c r="K101" s="76"/>
      <c r="L101" s="76"/>
      <c r="M101" s="76"/>
      <c r="N101" s="76"/>
      <c r="O101" s="76"/>
      <c r="P101" s="76"/>
      <c r="Q101" s="76"/>
      <c r="R101" s="76"/>
      <c r="S101" s="76"/>
      <c r="T101" s="76"/>
      <c r="U101" s="76"/>
      <c r="V101" s="76"/>
      <c r="W101" s="76"/>
      <c r="X101" s="76"/>
      <c r="BB101" s="26" t="s">
        <v>137</v>
      </c>
      <c r="BC101" s="11">
        <f t="shared" si="18"/>
        <v>1</v>
      </c>
    </row>
    <row r="102" spans="1:57">
      <c r="A102" s="62" t="s">
        <v>137</v>
      </c>
      <c r="B102" s="378">
        <f>Calculations!AC51</f>
        <v>1</v>
      </c>
      <c r="C102" s="378"/>
      <c r="D102" s="32"/>
      <c r="E102" s="32"/>
      <c r="F102" s="76"/>
      <c r="G102" s="76"/>
      <c r="H102" s="76"/>
      <c r="I102" s="76"/>
      <c r="J102" s="76"/>
      <c r="K102" s="76"/>
      <c r="L102" s="76"/>
      <c r="M102" s="76"/>
      <c r="N102" s="76"/>
      <c r="O102" s="76"/>
      <c r="P102" s="76"/>
      <c r="Q102" s="76"/>
      <c r="R102" s="76"/>
      <c r="S102" s="76"/>
      <c r="T102" s="76"/>
      <c r="U102" s="76"/>
      <c r="V102" s="76"/>
      <c r="W102" s="76"/>
      <c r="X102" s="76"/>
      <c r="BB102" s="290" t="s">
        <v>138</v>
      </c>
      <c r="BC102" s="57">
        <f t="shared" si="18"/>
        <v>0</v>
      </c>
      <c r="BD102" s="371">
        <f>C103</f>
        <v>1</v>
      </c>
    </row>
    <row r="103" spans="1:57">
      <c r="A103" s="62" t="s">
        <v>138</v>
      </c>
      <c r="B103" s="377">
        <f>Calculations!AC52</f>
        <v>0</v>
      </c>
      <c r="C103" s="378">
        <f>Calculations!AD52</f>
        <v>1</v>
      </c>
      <c r="D103" s="32"/>
      <c r="E103" s="32"/>
      <c r="F103" s="76"/>
      <c r="G103" s="76"/>
      <c r="H103" s="76"/>
      <c r="I103" s="76"/>
      <c r="J103" s="76"/>
      <c r="K103" s="76"/>
      <c r="L103" s="76"/>
      <c r="M103" s="76"/>
      <c r="N103" s="76"/>
      <c r="O103" s="76"/>
      <c r="P103" s="76"/>
      <c r="Q103" s="76"/>
      <c r="R103" s="76"/>
      <c r="S103" s="76"/>
      <c r="T103" s="76"/>
      <c r="U103" s="76"/>
      <c r="V103" s="76"/>
      <c r="W103" s="76"/>
      <c r="X103" s="76"/>
      <c r="BB103" s="290" t="s">
        <v>139</v>
      </c>
      <c r="BC103" s="231">
        <f t="shared" si="18"/>
        <v>6.25E-2</v>
      </c>
      <c r="BD103" s="371">
        <f>C104</f>
        <v>1</v>
      </c>
    </row>
    <row r="104" spans="1:57">
      <c r="A104" s="144" t="s">
        <v>139</v>
      </c>
      <c r="B104" s="384">
        <f>Calculations!AC53</f>
        <v>6.25E-2</v>
      </c>
      <c r="C104" s="378">
        <f>Calculations!AD53</f>
        <v>1</v>
      </c>
      <c r="D104" s="32"/>
      <c r="E104" s="32"/>
      <c r="F104" s="76"/>
      <c r="G104" s="76"/>
      <c r="H104" s="76"/>
      <c r="I104" s="76"/>
      <c r="J104" s="76"/>
      <c r="K104" s="76"/>
      <c r="L104" s="76"/>
      <c r="M104" s="76"/>
      <c r="N104" s="76"/>
      <c r="O104" s="76"/>
      <c r="P104" s="76"/>
      <c r="Q104" s="76"/>
      <c r="R104" s="76"/>
      <c r="S104" s="76"/>
      <c r="T104" s="76"/>
      <c r="U104" s="76"/>
      <c r="V104" s="76"/>
      <c r="W104" s="76"/>
      <c r="X104" s="76"/>
      <c r="BB104" s="26" t="s">
        <v>140</v>
      </c>
      <c r="BC104" s="231">
        <f t="shared" si="18"/>
        <v>0</v>
      </c>
    </row>
    <row r="105" spans="1:57">
      <c r="A105" s="62" t="s">
        <v>140</v>
      </c>
      <c r="B105" s="378">
        <f>Calculations!AC54</f>
        <v>0</v>
      </c>
      <c r="C105" s="378"/>
      <c r="D105" s="32"/>
      <c r="E105" s="32"/>
      <c r="F105" s="76"/>
      <c r="G105" s="76"/>
      <c r="H105" s="76"/>
      <c r="I105" s="76"/>
      <c r="J105" s="76"/>
      <c r="K105" s="76"/>
      <c r="L105" s="76"/>
      <c r="M105" s="76"/>
      <c r="N105" s="76"/>
      <c r="O105" s="76"/>
      <c r="P105" s="76"/>
      <c r="Q105" s="76"/>
      <c r="R105" s="76"/>
      <c r="S105" s="76"/>
      <c r="T105" s="76"/>
      <c r="U105" s="76"/>
      <c r="V105" s="76"/>
      <c r="W105" s="76"/>
      <c r="X105" s="76"/>
      <c r="BB105" s="204" t="s">
        <v>141</v>
      </c>
      <c r="BC105" s="249" t="s">
        <v>143</v>
      </c>
      <c r="BD105" s="210" t="s">
        <v>144</v>
      </c>
    </row>
    <row r="106" spans="1:57">
      <c r="A106" s="202" t="s">
        <v>141</v>
      </c>
      <c r="B106" s="218" t="s">
        <v>143</v>
      </c>
      <c r="C106" s="217" t="s">
        <v>144</v>
      </c>
      <c r="D106" s="32"/>
      <c r="E106" s="32"/>
      <c r="F106" s="76"/>
      <c r="G106" s="76"/>
      <c r="H106" s="76"/>
      <c r="I106" s="76"/>
      <c r="J106" s="76"/>
      <c r="K106" s="76"/>
      <c r="L106" s="76"/>
      <c r="M106" s="76"/>
      <c r="N106" s="76"/>
      <c r="O106" s="76"/>
      <c r="P106" s="76"/>
      <c r="Q106" s="76"/>
      <c r="R106" s="76"/>
      <c r="S106" s="76"/>
      <c r="T106" s="76"/>
      <c r="U106" s="76"/>
      <c r="V106" s="76"/>
      <c r="W106" s="76"/>
      <c r="X106" s="76"/>
      <c r="BB106" s="204" t="s">
        <v>142</v>
      </c>
      <c r="BE106" s="371"/>
    </row>
    <row r="107" spans="1:57">
      <c r="A107" s="202" t="s">
        <v>142</v>
      </c>
      <c r="B107" s="49"/>
      <c r="C107" s="49"/>
      <c r="D107" s="49"/>
      <c r="E107" s="49"/>
      <c r="F107" s="76"/>
      <c r="G107" s="76"/>
      <c r="H107" s="76"/>
      <c r="I107" s="76"/>
      <c r="J107" s="76"/>
      <c r="K107" s="76"/>
      <c r="L107" s="76"/>
      <c r="M107" s="76"/>
      <c r="N107" s="76"/>
      <c r="O107" s="76"/>
      <c r="P107" s="76"/>
      <c r="Q107" s="76"/>
      <c r="R107" s="76"/>
      <c r="S107" s="76"/>
      <c r="T107" s="76"/>
      <c r="U107" s="76"/>
      <c r="V107" s="76"/>
      <c r="W107" s="76"/>
      <c r="X107" s="76"/>
      <c r="BB107" s="178" t="s">
        <v>368</v>
      </c>
      <c r="BC107" s="88">
        <f>B108</f>
        <v>20.010433545334923</v>
      </c>
      <c r="BD107" s="139">
        <f>C108</f>
        <v>0.45569999999999999</v>
      </c>
    </row>
    <row r="108" spans="1:57">
      <c r="A108" s="261" t="s">
        <v>368</v>
      </c>
      <c r="B108" s="385">
        <f>Calculations!E27</f>
        <v>20.010433545334923</v>
      </c>
      <c r="C108" s="386">
        <f>Calculations!G27</f>
        <v>0.45569999999999999</v>
      </c>
      <c r="D108" s="32"/>
      <c r="E108" s="32"/>
      <c r="F108" s="76"/>
      <c r="G108" s="76"/>
      <c r="H108" s="76"/>
      <c r="I108" s="76"/>
      <c r="J108" s="76"/>
      <c r="K108" s="76"/>
      <c r="L108" s="76"/>
      <c r="M108" s="76"/>
      <c r="N108" s="76"/>
      <c r="O108" s="76"/>
      <c r="P108" s="76"/>
      <c r="Q108" s="76"/>
      <c r="R108" s="76"/>
      <c r="S108" s="76"/>
      <c r="T108" s="76"/>
      <c r="U108" s="76"/>
      <c r="V108" s="76"/>
      <c r="W108" s="76"/>
      <c r="X108" s="76"/>
      <c r="BB108" s="204" t="s">
        <v>369</v>
      </c>
      <c r="BC108" s="7"/>
      <c r="BD108" s="387"/>
    </row>
    <row r="109" spans="1:57">
      <c r="A109" s="202" t="s">
        <v>369</v>
      </c>
      <c r="B109" s="144"/>
      <c r="C109" s="378"/>
      <c r="D109" s="32"/>
      <c r="E109" s="32"/>
      <c r="F109" s="76"/>
      <c r="G109" s="76"/>
      <c r="H109" s="76"/>
      <c r="I109" s="76"/>
      <c r="J109" s="76"/>
      <c r="K109" s="76"/>
      <c r="L109" s="76"/>
      <c r="M109" s="76"/>
      <c r="N109" s="76"/>
      <c r="O109" s="76"/>
      <c r="P109" s="76"/>
      <c r="Q109" s="76"/>
      <c r="R109" s="76"/>
      <c r="S109" s="76"/>
      <c r="T109" s="76"/>
      <c r="U109" s="76"/>
      <c r="V109" s="76"/>
      <c r="W109" s="76"/>
      <c r="X109" s="76"/>
      <c r="BB109" t="s">
        <v>370</v>
      </c>
      <c r="BC109" s="88">
        <f>B110</f>
        <v>20.010433545334923</v>
      </c>
      <c r="BD109" s="139">
        <f>C110</f>
        <v>0.45569999999999999</v>
      </c>
    </row>
    <row r="110" spans="1:57">
      <c r="A110" s="49" t="s">
        <v>370</v>
      </c>
      <c r="B110" s="385">
        <f>Calculations!E29</f>
        <v>20.010433545334923</v>
      </c>
      <c r="C110" s="386">
        <f>Calculations!G29</f>
        <v>0.45569999999999999</v>
      </c>
      <c r="D110" s="378"/>
      <c r="E110" s="378"/>
      <c r="F110" s="76"/>
      <c r="G110" s="76"/>
      <c r="H110" s="76"/>
      <c r="I110" s="76"/>
      <c r="J110" s="76"/>
      <c r="K110" s="76"/>
      <c r="L110" s="76"/>
      <c r="M110" s="76"/>
      <c r="N110" s="76"/>
      <c r="O110" s="76"/>
      <c r="P110" s="76"/>
      <c r="Q110" s="76"/>
      <c r="R110" s="76"/>
      <c r="S110" s="76"/>
      <c r="T110" s="76"/>
      <c r="U110" s="76"/>
      <c r="V110" s="76"/>
      <c r="W110" s="76"/>
      <c r="X110" s="76"/>
    </row>
    <row r="111" spans="1:57">
      <c r="A111" s="144"/>
      <c r="B111" s="144"/>
      <c r="C111" s="377"/>
      <c r="D111" s="378"/>
      <c r="E111" s="378"/>
      <c r="F111" s="76"/>
      <c r="G111" s="76"/>
      <c r="H111" s="76"/>
      <c r="I111" s="76"/>
      <c r="J111" s="76"/>
      <c r="K111" s="76"/>
      <c r="L111" s="76"/>
      <c r="M111" s="76"/>
      <c r="N111" s="76"/>
      <c r="O111" s="76"/>
      <c r="P111" s="76"/>
      <c r="Q111" s="76"/>
      <c r="R111" s="76"/>
      <c r="S111" s="76"/>
      <c r="T111" s="76"/>
      <c r="U111" s="76"/>
      <c r="V111" s="76"/>
      <c r="W111" s="76"/>
      <c r="X111" s="76"/>
    </row>
    <row r="112" spans="1:57">
      <c r="A112" s="144"/>
      <c r="B112" s="144"/>
      <c r="C112" s="377"/>
      <c r="D112" s="378"/>
      <c r="E112" s="378"/>
      <c r="F112" s="76"/>
      <c r="G112" s="76"/>
      <c r="H112" s="76"/>
      <c r="I112" s="76"/>
      <c r="J112" s="76"/>
      <c r="K112" s="76"/>
      <c r="L112" s="76"/>
      <c r="M112" s="76"/>
      <c r="N112" s="76"/>
      <c r="O112" s="76"/>
      <c r="P112" s="76"/>
      <c r="Q112" s="76"/>
      <c r="R112" s="76"/>
      <c r="S112" s="76"/>
      <c r="T112" s="76"/>
      <c r="U112" s="76"/>
      <c r="V112" s="76"/>
      <c r="W112" s="76"/>
      <c r="X112" s="76"/>
    </row>
    <row r="113" spans="1:57">
      <c r="A113" s="144"/>
      <c r="B113" s="144"/>
      <c r="C113" s="377"/>
      <c r="D113" s="378"/>
      <c r="E113" s="378"/>
      <c r="F113" s="76"/>
      <c r="G113" s="76"/>
      <c r="H113" s="76"/>
      <c r="I113" s="76"/>
      <c r="J113" s="76"/>
      <c r="K113" s="76"/>
      <c r="L113" s="76"/>
      <c r="M113" s="76"/>
      <c r="N113" s="76"/>
      <c r="O113" s="76"/>
      <c r="P113" s="76"/>
      <c r="Q113" s="76"/>
      <c r="R113" s="76"/>
      <c r="S113" s="76"/>
      <c r="T113" s="76"/>
      <c r="U113" s="76"/>
      <c r="V113" s="76"/>
      <c r="W113" s="76"/>
      <c r="X113" s="76"/>
    </row>
    <row r="114" spans="1:57">
      <c r="A114" s="49"/>
      <c r="B114" s="49"/>
      <c r="C114" s="49"/>
      <c r="D114" s="49"/>
      <c r="E114" s="49"/>
      <c r="F114" s="49"/>
      <c r="G114" s="76"/>
      <c r="H114" s="76"/>
      <c r="I114" s="76"/>
      <c r="J114" s="76"/>
      <c r="K114" s="76"/>
      <c r="L114" s="76"/>
      <c r="M114" s="76"/>
      <c r="N114" s="76"/>
      <c r="O114" s="76"/>
      <c r="P114" s="76"/>
      <c r="Q114" s="76"/>
      <c r="R114" s="76"/>
      <c r="S114" s="76"/>
      <c r="T114" s="76"/>
      <c r="U114" s="76"/>
      <c r="V114" s="76"/>
      <c r="W114" s="76"/>
      <c r="X114" s="76"/>
    </row>
    <row r="115" spans="1:57">
      <c r="A115" s="144"/>
      <c r="B115" s="144"/>
      <c r="C115" s="377"/>
      <c r="D115" s="378"/>
      <c r="E115" s="378"/>
      <c r="F115" s="76"/>
      <c r="G115" s="76"/>
      <c r="H115" s="76"/>
      <c r="I115" s="76"/>
      <c r="J115" s="76"/>
      <c r="K115" s="76"/>
      <c r="L115" s="76"/>
      <c r="M115" s="76"/>
      <c r="N115" s="76"/>
      <c r="O115" s="76"/>
      <c r="P115" s="76"/>
      <c r="Q115" s="76"/>
      <c r="R115" s="76"/>
      <c r="S115" s="76"/>
      <c r="T115" s="76"/>
      <c r="U115" s="76"/>
      <c r="V115" s="76"/>
      <c r="W115" s="76"/>
      <c r="X115" s="76"/>
    </row>
    <row r="116" spans="1:57" ht="13.8">
      <c r="A116" s="31"/>
      <c r="B116" s="49"/>
      <c r="C116" s="49"/>
      <c r="D116" s="378"/>
      <c r="E116" s="378"/>
      <c r="F116" s="76"/>
      <c r="G116" s="76"/>
      <c r="H116" s="76"/>
      <c r="I116" s="76"/>
      <c r="J116" s="76"/>
      <c r="K116" s="76"/>
      <c r="L116" s="76"/>
      <c r="M116" s="76"/>
      <c r="N116" s="76"/>
      <c r="O116" s="76"/>
      <c r="P116" s="76"/>
      <c r="Q116" s="76"/>
      <c r="R116" s="76"/>
      <c r="S116" s="76"/>
      <c r="T116" s="76"/>
      <c r="U116" s="76"/>
      <c r="V116" s="76"/>
      <c r="W116" s="76"/>
      <c r="X116" s="76"/>
    </row>
    <row r="117" spans="1:57">
      <c r="A117" s="49"/>
      <c r="B117" s="49"/>
      <c r="C117" s="49"/>
      <c r="D117" s="118"/>
      <c r="E117" s="118"/>
      <c r="F117" s="76"/>
      <c r="G117" s="76"/>
      <c r="H117" s="76"/>
      <c r="I117" s="76"/>
      <c r="J117" s="76"/>
      <c r="K117" s="76"/>
      <c r="L117" s="76"/>
      <c r="M117" s="76"/>
      <c r="N117" s="76"/>
      <c r="O117" s="76"/>
      <c r="P117" s="76"/>
      <c r="Q117" s="76"/>
      <c r="R117" s="76"/>
      <c r="S117" s="76"/>
      <c r="T117" s="76"/>
      <c r="U117" s="76"/>
      <c r="V117" s="76"/>
      <c r="W117" s="76"/>
      <c r="X117" s="76"/>
    </row>
    <row r="118" spans="1:57">
      <c r="A118" s="53"/>
      <c r="B118" s="49"/>
      <c r="C118" s="49"/>
      <c r="D118" s="378"/>
      <c r="E118" s="378"/>
      <c r="F118" s="76"/>
      <c r="G118" s="76"/>
      <c r="H118" s="76"/>
      <c r="I118" s="76"/>
      <c r="J118" s="76"/>
      <c r="K118" s="76"/>
      <c r="L118" s="76"/>
      <c r="M118" s="76"/>
      <c r="N118" s="76"/>
      <c r="O118" s="76"/>
      <c r="P118" s="76"/>
      <c r="Q118" s="76"/>
      <c r="R118" s="76"/>
      <c r="S118" s="76"/>
      <c r="T118" s="76"/>
      <c r="U118" s="76"/>
      <c r="V118" s="76"/>
      <c r="W118" s="76"/>
      <c r="X118" s="76"/>
    </row>
    <row r="119" spans="1:57">
      <c r="A119" s="54"/>
      <c r="B119" s="49"/>
      <c r="C119" s="49"/>
      <c r="D119" s="378"/>
      <c r="E119" s="378"/>
      <c r="F119" s="76"/>
      <c r="G119" s="76"/>
      <c r="H119" s="76"/>
      <c r="I119" s="76"/>
      <c r="J119" s="76"/>
      <c r="K119" s="76"/>
      <c r="L119" s="76"/>
      <c r="M119" s="76"/>
      <c r="N119" s="76"/>
      <c r="O119" s="76"/>
      <c r="P119" s="76"/>
      <c r="Q119" s="76"/>
      <c r="R119" s="76"/>
      <c r="S119" s="76"/>
      <c r="T119" s="76"/>
      <c r="U119" s="76"/>
      <c r="V119" s="76"/>
      <c r="W119" s="76"/>
      <c r="X119" s="76"/>
    </row>
    <row r="120" spans="1:57">
      <c r="A120" s="49"/>
      <c r="B120" s="49"/>
      <c r="C120" s="119"/>
      <c r="D120" s="378"/>
      <c r="E120" s="378"/>
      <c r="F120" s="76"/>
      <c r="G120" s="76"/>
      <c r="H120" s="76"/>
      <c r="I120" s="76"/>
      <c r="J120" s="76"/>
      <c r="K120" s="76"/>
      <c r="L120" s="76"/>
      <c r="M120" s="76"/>
      <c r="N120" s="76"/>
      <c r="O120" s="76"/>
      <c r="P120" s="76"/>
      <c r="Q120" s="76"/>
      <c r="R120" s="76"/>
      <c r="S120" s="76"/>
      <c r="T120" s="76"/>
      <c r="U120" s="76"/>
      <c r="V120" s="76"/>
      <c r="W120" s="76"/>
      <c r="X120" s="76"/>
    </row>
    <row r="121" spans="1:57">
      <c r="A121" s="49"/>
      <c r="B121" s="49"/>
      <c r="C121" s="35"/>
      <c r="D121" s="378"/>
      <c r="E121" s="378"/>
      <c r="F121" s="76"/>
      <c r="G121" s="76"/>
      <c r="H121" s="76"/>
      <c r="I121" s="76"/>
      <c r="J121" s="76"/>
      <c r="K121" s="76"/>
      <c r="L121" s="76"/>
      <c r="M121" s="76"/>
      <c r="N121" s="76"/>
      <c r="O121" s="76"/>
      <c r="P121" s="76"/>
      <c r="Q121" s="76"/>
      <c r="R121" s="76"/>
      <c r="S121" s="76"/>
      <c r="T121" s="76"/>
      <c r="U121" s="76"/>
      <c r="V121" s="76"/>
      <c r="W121" s="76"/>
      <c r="X121" s="76"/>
    </row>
    <row r="122" spans="1:57">
      <c r="A122" s="49"/>
      <c r="B122" s="49"/>
      <c r="C122" s="119"/>
      <c r="D122" s="378"/>
      <c r="E122" s="378"/>
      <c r="F122" s="76"/>
      <c r="G122" s="76"/>
      <c r="H122" s="76"/>
      <c r="I122" s="76"/>
      <c r="J122" s="76"/>
      <c r="K122" s="76"/>
      <c r="L122" s="76"/>
      <c r="M122" s="76"/>
      <c r="N122" s="76"/>
      <c r="O122" s="76"/>
      <c r="P122" s="76"/>
      <c r="Q122" s="76"/>
      <c r="R122" s="76"/>
      <c r="S122" s="76"/>
      <c r="T122" s="76"/>
      <c r="U122" s="76"/>
      <c r="V122" s="76"/>
      <c r="W122" s="76"/>
      <c r="X122" s="76"/>
      <c r="BB122" s="1"/>
      <c r="BD122" s="137"/>
      <c r="BE122" s="371"/>
    </row>
    <row r="123" spans="1:57">
      <c r="A123" s="53"/>
      <c r="B123" s="49"/>
      <c r="C123" s="119"/>
      <c r="D123" s="378"/>
      <c r="E123" s="378"/>
      <c r="F123" s="76"/>
      <c r="G123" s="76"/>
      <c r="H123" s="76"/>
      <c r="I123" s="76"/>
      <c r="J123" s="76"/>
      <c r="K123" s="76"/>
      <c r="L123" s="76"/>
      <c r="M123" s="76"/>
      <c r="N123" s="76"/>
      <c r="O123" s="76"/>
      <c r="P123" s="76"/>
      <c r="Q123" s="76"/>
      <c r="R123" s="76"/>
      <c r="S123" s="76"/>
      <c r="T123" s="76"/>
      <c r="U123" s="76"/>
      <c r="V123" s="76"/>
      <c r="W123" s="76"/>
      <c r="X123" s="76"/>
      <c r="BD123" s="137"/>
      <c r="BE123" s="371"/>
    </row>
    <row r="124" spans="1:57">
      <c r="A124" s="49"/>
      <c r="B124" s="49"/>
      <c r="C124" s="119"/>
      <c r="D124" s="378"/>
      <c r="E124" s="378"/>
      <c r="F124" s="76"/>
      <c r="G124" s="76"/>
      <c r="H124" s="76"/>
      <c r="I124" s="76"/>
      <c r="J124" s="76"/>
      <c r="K124" s="76"/>
      <c r="L124" s="76"/>
      <c r="M124" s="76"/>
      <c r="N124" s="76"/>
      <c r="O124" s="76"/>
      <c r="P124" s="76"/>
      <c r="Q124" s="76"/>
      <c r="R124" s="76"/>
      <c r="S124" s="76"/>
      <c r="T124" s="76"/>
      <c r="U124" s="76"/>
      <c r="V124" s="76"/>
      <c r="W124" s="76"/>
      <c r="X124" s="76"/>
      <c r="BD124" s="137"/>
      <c r="BE124" s="137"/>
    </row>
    <row r="125" spans="1:57">
      <c r="A125" s="49"/>
      <c r="B125" s="49"/>
      <c r="C125" s="119"/>
      <c r="D125" s="378"/>
      <c r="E125" s="378"/>
      <c r="F125" s="76"/>
      <c r="G125" s="76"/>
      <c r="H125" s="76"/>
      <c r="I125" s="76"/>
      <c r="J125" s="76"/>
      <c r="K125" s="76"/>
      <c r="L125" s="76"/>
      <c r="M125" s="76"/>
      <c r="N125" s="76"/>
      <c r="O125" s="76"/>
      <c r="P125" s="76"/>
      <c r="Q125" s="76"/>
      <c r="R125" s="76"/>
      <c r="S125" s="76"/>
      <c r="T125" s="76"/>
      <c r="U125" s="76"/>
      <c r="V125" s="76"/>
      <c r="W125" s="76"/>
      <c r="X125" s="76"/>
      <c r="BD125" s="137"/>
      <c r="BE125" s="137"/>
    </row>
    <row r="126" spans="1:57">
      <c r="A126" s="49"/>
      <c r="B126" s="49"/>
      <c r="C126" s="119"/>
      <c r="D126" s="378"/>
      <c r="E126" s="378"/>
      <c r="F126" s="76"/>
      <c r="G126" s="76"/>
      <c r="H126" s="76"/>
      <c r="I126" s="76"/>
      <c r="J126" s="76"/>
      <c r="K126" s="76"/>
      <c r="L126" s="76"/>
      <c r="M126" s="76"/>
      <c r="N126" s="76"/>
      <c r="O126" s="76"/>
      <c r="P126" s="76"/>
      <c r="Q126" s="76"/>
      <c r="R126" s="76"/>
      <c r="S126" s="76"/>
      <c r="T126" s="76"/>
      <c r="U126" s="76"/>
      <c r="V126" s="76"/>
      <c r="W126" s="76"/>
      <c r="X126" s="76"/>
      <c r="BD126" s="137"/>
      <c r="BE126" s="371"/>
    </row>
    <row r="127" spans="1:57">
      <c r="A127" s="49"/>
      <c r="B127" s="49"/>
      <c r="C127" s="119"/>
      <c r="D127" s="378"/>
      <c r="E127" s="378"/>
      <c r="F127" s="76"/>
      <c r="G127" s="76"/>
      <c r="H127" s="76"/>
      <c r="I127" s="76"/>
      <c r="J127" s="76"/>
      <c r="K127" s="76"/>
      <c r="L127" s="76"/>
      <c r="M127" s="76"/>
      <c r="N127" s="76"/>
      <c r="O127" s="76"/>
      <c r="P127" s="76"/>
      <c r="Q127" s="76"/>
      <c r="R127" s="76"/>
      <c r="S127" s="76"/>
      <c r="T127" s="76"/>
      <c r="U127" s="76"/>
      <c r="V127" s="76"/>
      <c r="W127" s="76"/>
      <c r="X127" s="76"/>
      <c r="BD127" s="138"/>
      <c r="BE127" s="371"/>
    </row>
    <row r="128" spans="1:57">
      <c r="A128" s="49"/>
      <c r="B128" s="49"/>
      <c r="C128" s="35"/>
      <c r="D128" s="378"/>
      <c r="E128" s="378"/>
      <c r="F128" s="76"/>
      <c r="G128" s="76"/>
      <c r="H128" s="76"/>
      <c r="I128" s="76"/>
      <c r="J128" s="76"/>
      <c r="K128" s="76"/>
      <c r="L128" s="76"/>
      <c r="M128" s="76"/>
      <c r="N128" s="76"/>
      <c r="O128" s="76"/>
      <c r="P128" s="76"/>
      <c r="Q128" s="76"/>
      <c r="R128" s="76"/>
      <c r="S128" s="76"/>
      <c r="T128" s="76"/>
      <c r="U128" s="76"/>
      <c r="V128" s="76"/>
      <c r="W128" s="76"/>
      <c r="X128" s="76"/>
      <c r="BB128" s="1"/>
      <c r="BD128" s="7"/>
      <c r="BE128" s="371"/>
    </row>
    <row r="129" spans="1:57">
      <c r="A129" s="53"/>
      <c r="B129" s="49"/>
      <c r="C129" s="35"/>
      <c r="D129" s="378"/>
      <c r="E129" s="378"/>
      <c r="F129" s="76"/>
      <c r="G129" s="76"/>
      <c r="H129" s="76"/>
      <c r="I129" s="76"/>
      <c r="J129" s="76"/>
      <c r="K129" s="76"/>
      <c r="L129" s="76"/>
      <c r="M129" s="76"/>
      <c r="N129" s="76"/>
      <c r="O129" s="76"/>
      <c r="P129" s="76"/>
      <c r="Q129" s="76"/>
      <c r="R129" s="76"/>
      <c r="S129" s="76"/>
      <c r="T129" s="76"/>
      <c r="U129" s="76"/>
      <c r="V129" s="76"/>
      <c r="W129" s="76"/>
      <c r="X129" s="76"/>
      <c r="BD129" s="139"/>
      <c r="BE129" s="371"/>
    </row>
    <row r="130" spans="1:57">
      <c r="A130" s="49"/>
      <c r="B130" s="49"/>
      <c r="C130" s="75"/>
      <c r="D130" s="378"/>
      <c r="E130" s="378"/>
      <c r="F130" s="76"/>
      <c r="G130" s="76"/>
      <c r="H130" s="76"/>
      <c r="I130" s="76"/>
      <c r="J130" s="76"/>
      <c r="K130" s="76"/>
      <c r="L130" s="76"/>
      <c r="M130" s="76"/>
      <c r="N130" s="76"/>
      <c r="O130" s="76"/>
      <c r="P130" s="76"/>
      <c r="Q130" s="76"/>
      <c r="R130" s="76"/>
      <c r="S130" s="76"/>
      <c r="T130" s="76"/>
      <c r="U130" s="76"/>
      <c r="V130" s="76"/>
      <c r="W130" s="76"/>
      <c r="X130" s="76"/>
      <c r="BD130" s="139"/>
      <c r="BE130" s="371"/>
    </row>
    <row r="131" spans="1:57">
      <c r="A131" s="49"/>
      <c r="B131" s="49"/>
      <c r="C131" s="119"/>
      <c r="D131" s="378"/>
      <c r="E131" s="378"/>
      <c r="F131" s="76"/>
      <c r="G131" s="76"/>
      <c r="H131" s="76"/>
      <c r="I131" s="76"/>
      <c r="J131" s="76"/>
      <c r="K131" s="76"/>
      <c r="L131" s="76"/>
      <c r="M131" s="76"/>
      <c r="N131" s="76"/>
      <c r="O131" s="76"/>
      <c r="P131" s="76"/>
      <c r="Q131" s="76"/>
      <c r="R131" s="76"/>
      <c r="S131" s="76"/>
      <c r="T131" s="76"/>
      <c r="U131" s="76"/>
      <c r="V131" s="76"/>
      <c r="W131" s="76"/>
      <c r="X131" s="76"/>
      <c r="BD131" s="139"/>
      <c r="BE131" s="371"/>
    </row>
    <row r="132" spans="1:57">
      <c r="A132" s="49"/>
      <c r="B132" s="49"/>
      <c r="C132" s="119"/>
      <c r="D132" s="378"/>
      <c r="E132" s="378"/>
      <c r="F132" s="76"/>
      <c r="G132" s="76"/>
      <c r="H132" s="76"/>
      <c r="I132" s="76"/>
      <c r="J132" s="76"/>
      <c r="K132" s="76"/>
      <c r="L132" s="76"/>
      <c r="M132" s="76"/>
      <c r="N132" s="76"/>
      <c r="O132" s="76"/>
      <c r="P132" s="76"/>
      <c r="Q132" s="76"/>
      <c r="R132" s="76"/>
      <c r="S132" s="76"/>
      <c r="T132" s="76"/>
      <c r="U132" s="76"/>
      <c r="V132" s="76"/>
      <c r="W132" s="76"/>
      <c r="X132" s="76"/>
      <c r="BD132" s="140"/>
      <c r="BE132" s="371"/>
    </row>
    <row r="133" spans="1:57">
      <c r="A133" s="49"/>
      <c r="B133" s="49"/>
      <c r="C133" s="34"/>
      <c r="D133" s="378"/>
      <c r="E133" s="378"/>
      <c r="F133" s="76"/>
      <c r="G133" s="76"/>
      <c r="H133" s="76"/>
      <c r="I133" s="76"/>
      <c r="J133" s="76"/>
      <c r="K133" s="76"/>
      <c r="L133" s="76"/>
      <c r="M133" s="76"/>
      <c r="N133" s="76"/>
      <c r="O133" s="76"/>
      <c r="P133" s="76"/>
      <c r="Q133" s="76"/>
      <c r="R133" s="76"/>
      <c r="S133" s="76"/>
      <c r="T133" s="76"/>
      <c r="U133" s="76"/>
      <c r="V133" s="76"/>
      <c r="W133" s="76"/>
      <c r="X133" s="76"/>
      <c r="BD133" s="140"/>
      <c r="BE133" s="137"/>
    </row>
    <row r="134" spans="1:57">
      <c r="A134" s="49"/>
      <c r="B134" s="49"/>
      <c r="C134" s="34"/>
      <c r="D134" s="378"/>
      <c r="E134" s="378"/>
      <c r="F134" s="76"/>
      <c r="G134" s="76"/>
      <c r="H134" s="76"/>
      <c r="I134" s="76"/>
      <c r="J134" s="76"/>
      <c r="K134" s="76"/>
      <c r="L134" s="76"/>
      <c r="M134" s="76"/>
      <c r="N134" s="76"/>
      <c r="O134" s="76"/>
      <c r="P134" s="76"/>
      <c r="Q134" s="76"/>
      <c r="R134" s="76"/>
      <c r="S134" s="76"/>
      <c r="T134" s="76"/>
      <c r="U134" s="76"/>
      <c r="V134" s="76"/>
      <c r="W134" s="76"/>
      <c r="X134" s="76"/>
      <c r="BB134" s="1"/>
      <c r="BD134" s="140"/>
      <c r="BE134" s="371"/>
    </row>
    <row r="135" spans="1:57">
      <c r="A135" s="53"/>
      <c r="B135" s="49"/>
      <c r="C135" s="35"/>
      <c r="D135" s="378"/>
      <c r="E135" s="378"/>
      <c r="F135" s="76"/>
      <c r="G135" s="76"/>
      <c r="H135" s="76"/>
      <c r="I135" s="76"/>
      <c r="J135" s="76"/>
      <c r="K135" s="76"/>
      <c r="L135" s="76"/>
      <c r="M135" s="76"/>
      <c r="N135" s="76"/>
      <c r="O135" s="76"/>
      <c r="P135" s="76"/>
      <c r="Q135" s="76"/>
      <c r="R135" s="76"/>
      <c r="S135" s="76"/>
      <c r="T135" s="76"/>
      <c r="U135" s="76"/>
      <c r="V135" s="76"/>
      <c r="W135" s="76"/>
      <c r="X135" s="76"/>
      <c r="BD135" s="140"/>
      <c r="BE135" s="371"/>
    </row>
    <row r="136" spans="1:57">
      <c r="A136" s="49"/>
      <c r="B136" s="49"/>
      <c r="C136" s="34"/>
      <c r="D136" s="378"/>
      <c r="E136" s="378"/>
      <c r="F136" s="76"/>
      <c r="G136" s="76"/>
      <c r="H136" s="76"/>
      <c r="I136" s="76"/>
      <c r="J136" s="76"/>
      <c r="K136" s="76"/>
      <c r="L136" s="76"/>
      <c r="M136" s="76"/>
      <c r="N136" s="76"/>
      <c r="O136" s="76"/>
      <c r="P136" s="76"/>
      <c r="Q136" s="76"/>
      <c r="R136" s="76"/>
      <c r="S136" s="76"/>
      <c r="T136" s="76"/>
      <c r="U136" s="76"/>
      <c r="V136" s="76"/>
      <c r="W136" s="76"/>
      <c r="X136" s="76"/>
      <c r="BD136" s="140"/>
      <c r="BE136" s="371"/>
    </row>
    <row r="137" spans="1:57">
      <c r="A137" s="49"/>
      <c r="B137" s="49"/>
      <c r="C137" s="34"/>
      <c r="D137" s="378"/>
      <c r="E137" s="378"/>
      <c r="F137" s="76"/>
      <c r="G137" s="76"/>
      <c r="H137" s="76"/>
      <c r="I137" s="76"/>
      <c r="J137" s="76"/>
      <c r="K137" s="76"/>
      <c r="L137" s="76"/>
      <c r="M137" s="76"/>
      <c r="N137" s="76"/>
      <c r="O137" s="76"/>
      <c r="P137" s="76"/>
      <c r="Q137" s="76"/>
      <c r="R137" s="76"/>
      <c r="S137" s="76"/>
      <c r="T137" s="76"/>
      <c r="U137" s="76"/>
      <c r="V137" s="76"/>
      <c r="W137" s="76"/>
      <c r="X137" s="76"/>
      <c r="BD137" s="7"/>
      <c r="BE137" s="137"/>
    </row>
    <row r="138" spans="1:57">
      <c r="A138" s="49"/>
      <c r="B138" s="49"/>
      <c r="C138" s="35"/>
      <c r="D138" s="378"/>
      <c r="E138" s="378"/>
      <c r="F138" s="76"/>
      <c r="G138" s="76"/>
      <c r="H138" s="76"/>
      <c r="I138" s="76"/>
      <c r="J138" s="76"/>
      <c r="K138" s="76"/>
      <c r="L138" s="76"/>
      <c r="M138" s="76"/>
      <c r="N138" s="76"/>
      <c r="O138" s="76"/>
      <c r="P138" s="76"/>
      <c r="Q138" s="76"/>
      <c r="R138" s="76"/>
      <c r="S138" s="76"/>
      <c r="T138" s="76"/>
      <c r="U138" s="76"/>
      <c r="V138" s="76"/>
      <c r="W138" s="76"/>
      <c r="X138" s="76"/>
      <c r="BB138" s="1"/>
      <c r="BD138" s="1"/>
      <c r="BE138" s="136"/>
    </row>
    <row r="139" spans="1:57">
      <c r="A139" s="53"/>
      <c r="B139" s="49"/>
      <c r="C139" s="53"/>
      <c r="D139" s="118"/>
      <c r="E139" s="118"/>
      <c r="F139" s="76"/>
      <c r="G139" s="76"/>
      <c r="H139" s="76"/>
      <c r="I139" s="76"/>
      <c r="J139" s="76"/>
      <c r="K139" s="76"/>
      <c r="L139" s="76"/>
      <c r="M139" s="76"/>
      <c r="N139" s="76"/>
      <c r="O139" s="76"/>
      <c r="P139" s="76"/>
      <c r="Q139" s="76"/>
      <c r="R139" s="76"/>
      <c r="S139" s="76"/>
      <c r="T139" s="76"/>
      <c r="U139" s="76"/>
      <c r="V139" s="76"/>
      <c r="W139" s="76"/>
      <c r="X139" s="76"/>
      <c r="BD139" s="141"/>
      <c r="BE139" s="140"/>
    </row>
    <row r="140" spans="1:57">
      <c r="A140" s="49"/>
      <c r="B140" s="49"/>
      <c r="C140" s="58"/>
      <c r="D140" s="388"/>
      <c r="E140" s="388"/>
      <c r="F140" s="76"/>
      <c r="G140" s="76"/>
      <c r="H140" s="76"/>
      <c r="I140" s="76"/>
      <c r="J140" s="76"/>
      <c r="K140" s="76"/>
      <c r="L140" s="76"/>
      <c r="M140" s="76"/>
      <c r="N140" s="76"/>
      <c r="O140" s="76"/>
      <c r="P140" s="76"/>
      <c r="Q140" s="76"/>
      <c r="R140" s="76"/>
      <c r="S140" s="76"/>
      <c r="T140" s="76"/>
      <c r="U140" s="76"/>
      <c r="V140" s="76"/>
      <c r="W140" s="76"/>
      <c r="X140" s="76"/>
      <c r="BD140" s="141"/>
      <c r="BE140" s="140"/>
    </row>
    <row r="141" spans="1:57">
      <c r="A141" s="49"/>
      <c r="B141" s="49"/>
      <c r="C141" s="58"/>
      <c r="D141" s="388"/>
      <c r="E141" s="388"/>
      <c r="F141" s="76"/>
      <c r="G141" s="76"/>
      <c r="H141" s="76"/>
      <c r="I141" s="76"/>
      <c r="J141" s="76"/>
      <c r="K141" s="76"/>
      <c r="L141" s="76"/>
      <c r="M141" s="76"/>
      <c r="N141" s="76"/>
      <c r="O141" s="76"/>
      <c r="P141" s="76"/>
      <c r="Q141" s="76"/>
      <c r="R141" s="76"/>
      <c r="S141" s="76"/>
      <c r="T141" s="76"/>
      <c r="U141" s="76"/>
      <c r="V141" s="76"/>
      <c r="W141" s="76"/>
      <c r="X141" s="76"/>
      <c r="BD141" s="141"/>
      <c r="BE141" s="140"/>
    </row>
    <row r="142" spans="1:57">
      <c r="A142" s="49"/>
      <c r="B142" s="49"/>
      <c r="C142" s="58"/>
      <c r="D142" s="388"/>
      <c r="E142" s="388"/>
      <c r="F142" s="76"/>
      <c r="G142" s="76"/>
      <c r="H142" s="76"/>
      <c r="I142" s="76"/>
      <c r="J142" s="76"/>
      <c r="K142" s="76"/>
      <c r="L142" s="76"/>
      <c r="M142" s="76"/>
      <c r="N142" s="76"/>
      <c r="O142" s="76"/>
      <c r="P142" s="76"/>
      <c r="Q142" s="76"/>
      <c r="R142" s="76"/>
      <c r="S142" s="76"/>
      <c r="T142" s="76"/>
      <c r="U142" s="76"/>
      <c r="V142" s="76"/>
      <c r="W142" s="76"/>
      <c r="X142" s="76"/>
    </row>
    <row r="143" spans="1:57">
      <c r="A143" s="76"/>
      <c r="B143" s="76"/>
      <c r="C143" s="76"/>
      <c r="D143" s="76"/>
      <c r="E143" s="76"/>
      <c r="F143" s="76"/>
      <c r="G143" s="76"/>
      <c r="H143" s="76"/>
      <c r="I143" s="76"/>
      <c r="J143" s="76"/>
      <c r="K143" s="76"/>
      <c r="L143" s="76"/>
      <c r="M143" s="76"/>
      <c r="N143" s="76"/>
      <c r="O143" s="76"/>
      <c r="P143" s="76"/>
      <c r="Q143" s="76"/>
      <c r="R143" s="76"/>
      <c r="S143" s="76"/>
      <c r="T143" s="76"/>
      <c r="U143" s="76"/>
      <c r="V143" s="76"/>
      <c r="W143" s="76"/>
      <c r="X143" s="76"/>
    </row>
    <row r="144" spans="1:57">
      <c r="A144" s="76"/>
      <c r="B144" s="76"/>
      <c r="C144" s="76"/>
      <c r="D144" s="76"/>
      <c r="E144" s="76"/>
      <c r="F144" s="76"/>
      <c r="G144" s="76"/>
      <c r="H144" s="76"/>
      <c r="I144" s="76"/>
      <c r="J144" s="76"/>
      <c r="K144" s="76"/>
      <c r="L144" s="76"/>
      <c r="M144" s="76"/>
      <c r="N144" s="76"/>
      <c r="O144" s="76"/>
      <c r="P144" s="76"/>
      <c r="Q144" s="76"/>
      <c r="R144" s="76"/>
      <c r="S144" s="76"/>
      <c r="T144" s="76"/>
      <c r="U144" s="76"/>
      <c r="V144" s="76"/>
      <c r="W144" s="76"/>
      <c r="X144" s="76"/>
    </row>
    <row r="145" spans="1:24">
      <c r="A145" s="76"/>
      <c r="B145" s="76"/>
      <c r="C145" s="76"/>
      <c r="D145" s="76"/>
      <c r="E145" s="76"/>
      <c r="F145" s="76"/>
      <c r="G145" s="76"/>
      <c r="H145" s="76"/>
      <c r="I145" s="76"/>
      <c r="J145" s="76"/>
      <c r="K145" s="76"/>
      <c r="L145" s="76"/>
      <c r="M145" s="76"/>
      <c r="N145" s="76"/>
      <c r="O145" s="76"/>
      <c r="P145" s="76"/>
      <c r="Q145" s="76"/>
      <c r="R145" s="76"/>
      <c r="S145" s="76"/>
      <c r="T145" s="76"/>
      <c r="U145" s="76"/>
      <c r="V145" s="76"/>
      <c r="W145" s="76"/>
      <c r="X145" s="76"/>
    </row>
    <row r="146" spans="1:24">
      <c r="A146" s="76"/>
      <c r="B146" s="76"/>
      <c r="C146" s="76"/>
      <c r="D146" s="76"/>
      <c r="E146" s="76"/>
      <c r="F146" s="76"/>
      <c r="G146" s="76"/>
      <c r="H146" s="76"/>
      <c r="I146" s="76"/>
      <c r="J146" s="76"/>
      <c r="K146" s="76"/>
      <c r="L146" s="76"/>
      <c r="M146" s="76"/>
      <c r="N146" s="76"/>
      <c r="O146" s="76"/>
      <c r="P146" s="76"/>
      <c r="Q146" s="76"/>
      <c r="R146" s="76"/>
      <c r="S146" s="76"/>
      <c r="T146" s="76"/>
      <c r="U146" s="76"/>
      <c r="V146" s="76"/>
      <c r="W146" s="76"/>
      <c r="X146" s="76"/>
    </row>
    <row r="147" spans="1:24">
      <c r="A147" s="76"/>
      <c r="B147" s="76"/>
      <c r="C147" s="76"/>
      <c r="D147" s="76"/>
      <c r="E147" s="76"/>
      <c r="F147" s="76"/>
      <c r="G147" s="76"/>
      <c r="H147" s="76"/>
      <c r="I147" s="76"/>
      <c r="J147" s="76"/>
      <c r="K147" s="76"/>
      <c r="L147" s="76"/>
      <c r="M147" s="76"/>
      <c r="N147" s="76"/>
      <c r="O147" s="76"/>
      <c r="P147" s="76"/>
      <c r="Q147" s="76"/>
      <c r="R147" s="76"/>
      <c r="S147" s="76"/>
      <c r="T147" s="76"/>
      <c r="U147" s="76"/>
      <c r="V147" s="76"/>
      <c r="W147" s="76"/>
      <c r="X147" s="76"/>
    </row>
    <row r="148" spans="1:24">
      <c r="A148" s="76"/>
      <c r="B148" s="76"/>
      <c r="C148" s="76"/>
      <c r="D148" s="76"/>
      <c r="E148" s="76"/>
      <c r="F148" s="76"/>
      <c r="G148" s="76"/>
      <c r="H148" s="76"/>
      <c r="I148" s="76"/>
      <c r="J148" s="76"/>
      <c r="K148" s="76"/>
      <c r="L148" s="76"/>
      <c r="M148" s="76"/>
      <c r="N148" s="76"/>
      <c r="O148" s="76"/>
      <c r="P148" s="76"/>
      <c r="Q148" s="76"/>
      <c r="R148" s="76"/>
      <c r="S148" s="76"/>
      <c r="T148" s="76"/>
      <c r="U148" s="76"/>
      <c r="V148" s="76"/>
      <c r="W148" s="76"/>
      <c r="X148" s="76"/>
    </row>
    <row r="149" spans="1:24">
      <c r="A149" s="76"/>
      <c r="B149" s="76"/>
      <c r="C149" s="76"/>
      <c r="D149" s="76"/>
      <c r="E149" s="76"/>
      <c r="F149" s="76"/>
      <c r="G149" s="76"/>
      <c r="H149" s="76"/>
      <c r="I149" s="76"/>
      <c r="J149" s="76"/>
      <c r="K149" s="76"/>
      <c r="L149" s="76"/>
      <c r="M149" s="76"/>
      <c r="N149" s="76"/>
      <c r="O149" s="76"/>
      <c r="P149" s="76"/>
      <c r="Q149" s="76"/>
      <c r="R149" s="76"/>
      <c r="S149" s="76"/>
      <c r="T149" s="76"/>
      <c r="U149" s="76"/>
      <c r="V149" s="76"/>
      <c r="W149" s="76"/>
      <c r="X149" s="76"/>
    </row>
    <row r="150" spans="1:24">
      <c r="A150" s="76"/>
      <c r="B150" s="76"/>
      <c r="C150" s="76"/>
      <c r="D150" s="76"/>
      <c r="E150" s="76"/>
      <c r="F150" s="76"/>
      <c r="G150" s="76"/>
      <c r="H150" s="76"/>
      <c r="I150" s="76"/>
      <c r="J150" s="76"/>
      <c r="K150" s="76"/>
      <c r="L150" s="76"/>
      <c r="M150" s="76"/>
      <c r="N150" s="76"/>
      <c r="O150" s="76"/>
      <c r="P150" s="76"/>
      <c r="Q150" s="76"/>
      <c r="R150" s="76"/>
      <c r="S150" s="76"/>
      <c r="T150" s="76"/>
      <c r="U150" s="76"/>
      <c r="V150" s="76"/>
      <c r="W150" s="76"/>
      <c r="X150" s="76"/>
    </row>
    <row r="151" spans="1:24">
      <c r="A151" s="76"/>
      <c r="B151" s="76"/>
      <c r="C151" s="76"/>
      <c r="D151" s="76"/>
      <c r="E151" s="76"/>
      <c r="F151" s="76"/>
      <c r="G151" s="76"/>
      <c r="H151" s="76"/>
      <c r="I151" s="76"/>
      <c r="J151" s="76"/>
      <c r="K151" s="76"/>
      <c r="L151" s="76"/>
      <c r="M151" s="76"/>
      <c r="N151" s="76"/>
      <c r="O151" s="76"/>
      <c r="P151" s="76"/>
      <c r="Q151" s="76"/>
      <c r="R151" s="76"/>
      <c r="S151" s="76"/>
      <c r="T151" s="76"/>
      <c r="U151" s="76"/>
      <c r="V151" s="76"/>
      <c r="W151" s="76"/>
      <c r="X151" s="76"/>
    </row>
    <row r="152" spans="1:24">
      <c r="A152" s="76"/>
      <c r="B152" s="76"/>
      <c r="C152" s="76"/>
      <c r="D152" s="76"/>
      <c r="E152" s="76"/>
      <c r="F152" s="76"/>
      <c r="G152" s="76"/>
      <c r="H152" s="76"/>
      <c r="I152" s="76"/>
      <c r="J152" s="76"/>
      <c r="K152" s="76"/>
      <c r="L152" s="76"/>
      <c r="M152" s="76"/>
      <c r="N152" s="76"/>
      <c r="O152" s="76"/>
      <c r="P152" s="76"/>
      <c r="Q152" s="76"/>
      <c r="R152" s="76"/>
      <c r="S152" s="76"/>
      <c r="T152" s="76"/>
      <c r="U152" s="76"/>
      <c r="V152" s="76"/>
      <c r="W152" s="76"/>
      <c r="X152" s="76"/>
    </row>
    <row r="153" spans="1:24">
      <c r="A153" s="76"/>
      <c r="B153" s="76"/>
      <c r="C153" s="76"/>
      <c r="D153" s="76"/>
      <c r="E153" s="76"/>
      <c r="F153" s="76"/>
      <c r="G153" s="76"/>
      <c r="H153" s="76"/>
      <c r="I153" s="76"/>
      <c r="J153" s="76"/>
      <c r="K153" s="76"/>
      <c r="L153" s="76"/>
      <c r="M153" s="76"/>
      <c r="N153" s="76"/>
      <c r="O153" s="76"/>
      <c r="P153" s="76"/>
      <c r="Q153" s="76"/>
      <c r="R153" s="76"/>
      <c r="S153" s="76"/>
      <c r="T153" s="76"/>
      <c r="U153" s="76"/>
      <c r="V153" s="76"/>
      <c r="W153" s="76"/>
      <c r="X153" s="76"/>
    </row>
    <row r="154" spans="1:24">
      <c r="A154" s="76"/>
      <c r="B154" s="76"/>
      <c r="C154" s="76"/>
      <c r="D154" s="76"/>
      <c r="E154" s="76"/>
      <c r="F154" s="76"/>
      <c r="G154" s="76"/>
      <c r="H154" s="76"/>
      <c r="I154" s="76"/>
      <c r="J154" s="76"/>
      <c r="K154" s="76"/>
      <c r="L154" s="76"/>
      <c r="M154" s="76"/>
      <c r="N154" s="76"/>
      <c r="O154" s="76"/>
      <c r="P154" s="76"/>
      <c r="Q154" s="76"/>
      <c r="R154" s="76"/>
      <c r="S154" s="76"/>
      <c r="T154" s="76"/>
      <c r="U154" s="76"/>
      <c r="V154" s="76"/>
      <c r="W154" s="76"/>
      <c r="X154" s="76"/>
    </row>
    <row r="155" spans="1:24">
      <c r="A155" s="76"/>
      <c r="B155" s="76"/>
      <c r="C155" s="76"/>
      <c r="D155" s="76"/>
      <c r="E155" s="76"/>
      <c r="F155" s="76"/>
      <c r="G155" s="76"/>
      <c r="H155" s="76"/>
      <c r="I155" s="76"/>
      <c r="J155" s="76"/>
      <c r="K155" s="76"/>
      <c r="L155" s="76"/>
      <c r="M155" s="76"/>
      <c r="N155" s="76"/>
      <c r="O155" s="76"/>
      <c r="P155" s="76"/>
      <c r="Q155" s="76"/>
      <c r="R155" s="76"/>
      <c r="S155" s="76"/>
      <c r="T155" s="76"/>
      <c r="U155" s="76"/>
      <c r="V155" s="76"/>
      <c r="W155" s="76"/>
      <c r="X155" s="76"/>
    </row>
    <row r="156" spans="1:24">
      <c r="A156" s="76"/>
      <c r="B156" s="76"/>
      <c r="C156" s="76"/>
      <c r="D156" s="76"/>
      <c r="E156" s="76"/>
      <c r="F156" s="76"/>
      <c r="G156" s="76"/>
      <c r="H156" s="76"/>
      <c r="I156" s="76"/>
      <c r="J156" s="76"/>
      <c r="K156" s="76"/>
      <c r="L156" s="76"/>
      <c r="M156" s="76"/>
      <c r="N156" s="76"/>
      <c r="O156" s="76"/>
      <c r="P156" s="76"/>
      <c r="Q156" s="76"/>
      <c r="R156" s="76"/>
      <c r="S156" s="76"/>
      <c r="T156" s="76"/>
      <c r="U156" s="76"/>
      <c r="V156" s="76"/>
      <c r="W156" s="76"/>
      <c r="X156" s="76"/>
    </row>
  </sheetData>
  <sheetProtection password="DFD3" sheet="1" objects="1" scenarios="1"/>
  <customSheetViews>
    <customSheetView guid="{55B80D82-F000-11D6-8735-C8E5A357943D}" showRuler="0">
      <selection activeCell="C19" sqref="C19"/>
      <pageMargins left="0" right="0" top="0" bottom="0" header="0" footer="0"/>
      <headerFooter alignWithMargins="0"/>
    </customSheetView>
  </customSheetViews>
  <phoneticPr fontId="0" type="noConversion"/>
  <pageMargins left="0.46000000000000008" right="0.46000000000000008" top="0.53" bottom="0.49" header="0.5" footer="0.5"/>
  <pageSetup scale="82" orientation="portrait" horizontalDpi="360" verticalDpi="300" r:id="rId1"/>
  <headerFooter alignWithMargins="0">
    <oddFooter>&amp;L&amp;D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36" r:id="rId4" name="Button 16">
              <controlPr defaultSize="0" print="0" autoFill="0" autoPict="0" macro="[0]!PrintDetailedProjectData">
                <anchor moveWithCells="1" sizeWithCells="1">
                  <from>
                    <xdr:col>5</xdr:col>
                    <xdr:colOff>106680</xdr:colOff>
                    <xdr:row>9</xdr:row>
                    <xdr:rowOff>68580</xdr:rowOff>
                  </from>
                  <to>
                    <xdr:col>6</xdr:col>
                    <xdr:colOff>0</xdr:colOff>
                    <xdr:row>13</xdr:row>
                    <xdr:rowOff>121920</xdr:rowOff>
                  </to>
                </anchor>
              </controlPr>
            </control>
          </mc:Choice>
        </mc:AlternateContent>
        <mc:AlternateContent xmlns:mc="http://schemas.openxmlformats.org/markup-compatibility/2006">
          <mc:Choice Requires="x14">
            <control shapeId="5139" r:id="rId5" name="Button 19">
              <controlPr defaultSize="0" print="0" autoFill="0" autoPict="0" macro="[0]!PrintProjectDataSummaryandSummaryResults">
                <anchor moveWithCells="1" sizeWithCells="1">
                  <from>
                    <xdr:col>5</xdr:col>
                    <xdr:colOff>76200</xdr:colOff>
                    <xdr:row>3</xdr:row>
                    <xdr:rowOff>152400</xdr:rowOff>
                  </from>
                  <to>
                    <xdr:col>5</xdr:col>
                    <xdr:colOff>1783080</xdr:colOff>
                    <xdr:row>7</xdr:row>
                    <xdr:rowOff>45720</xdr:rowOff>
                  </to>
                </anchor>
              </controlPr>
            </control>
          </mc:Choice>
        </mc:AlternateContent>
        <mc:AlternateContent xmlns:mc="http://schemas.openxmlformats.org/markup-compatibility/2006">
          <mc:Choice Requires="x14">
            <control shapeId="5140" r:id="rId6" name="Button 20">
              <controlPr defaultSize="0" print="0" autoFill="0" autoPict="0" macro="[0]!Module15.ProjectData">
                <anchor moveWithCells="1" sizeWithCells="1">
                  <from>
                    <xdr:col>5</xdr:col>
                    <xdr:colOff>114300</xdr:colOff>
                    <xdr:row>21</xdr:row>
                    <xdr:rowOff>152400</xdr:rowOff>
                  </from>
                  <to>
                    <xdr:col>6</xdr:col>
                    <xdr:colOff>0</xdr:colOff>
                    <xdr:row>25</xdr:row>
                    <xdr:rowOff>7620</xdr:rowOff>
                  </to>
                </anchor>
              </controlPr>
            </control>
          </mc:Choice>
        </mc:AlternateContent>
        <mc:AlternateContent xmlns:mc="http://schemas.openxmlformats.org/markup-compatibility/2006">
          <mc:Choice Requires="x14">
            <control shapeId="5164" r:id="rId7" name="Button 44">
              <controlPr defaultSize="0" print="0" autoFill="0" autoPict="0" macro="[0]!ExportAllProjectData">
                <anchor moveWithCells="1" sizeWithCells="1">
                  <from>
                    <xdr:col>5</xdr:col>
                    <xdr:colOff>106680</xdr:colOff>
                    <xdr:row>15</xdr:row>
                    <xdr:rowOff>114300</xdr:rowOff>
                  </from>
                  <to>
                    <xdr:col>6</xdr:col>
                    <xdr:colOff>0</xdr:colOff>
                    <xdr:row>19</xdr:row>
                    <xdr:rowOff>144780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S313"/>
  <sheetViews>
    <sheetView workbookViewId="0">
      <selection activeCell="B3" sqref="B3"/>
    </sheetView>
  </sheetViews>
  <sheetFormatPr defaultColWidth="8.88671875" defaultRowHeight="13.2"/>
  <cols>
    <col min="1" max="1" width="41.109375" customWidth="1"/>
    <col min="2" max="2" width="19.109375" customWidth="1"/>
    <col min="3" max="3" width="12.6640625" customWidth="1"/>
  </cols>
  <sheetData>
    <row r="1" spans="1:19" ht="15.6">
      <c r="A1" s="99" t="s">
        <v>371</v>
      </c>
      <c r="B1" s="76"/>
      <c r="C1" s="76"/>
      <c r="D1" s="76"/>
      <c r="E1" s="99"/>
      <c r="F1" s="76"/>
      <c r="G1" s="76"/>
      <c r="H1" s="76"/>
      <c r="I1" s="76"/>
      <c r="J1" s="76"/>
      <c r="K1" s="76"/>
      <c r="L1" s="76"/>
      <c r="M1" s="76"/>
      <c r="N1" s="76"/>
      <c r="O1" s="76"/>
      <c r="P1" s="76"/>
      <c r="Q1" s="76"/>
      <c r="R1" s="76"/>
      <c r="S1" s="76"/>
    </row>
    <row r="2" spans="1:19" ht="15.6">
      <c r="A2" s="99"/>
      <c r="B2" s="76"/>
      <c r="C2" s="76"/>
      <c r="D2" s="76"/>
      <c r="E2" s="99"/>
      <c r="F2" s="76"/>
      <c r="G2" s="76"/>
      <c r="H2" s="76"/>
      <c r="I2" s="76"/>
      <c r="J2" s="76"/>
      <c r="K2" s="76"/>
      <c r="L2" s="76"/>
      <c r="M2" s="76"/>
      <c r="N2" s="76"/>
      <c r="O2" s="76"/>
      <c r="P2" s="76"/>
      <c r="Q2" s="76"/>
      <c r="R2" s="76"/>
      <c r="S2" s="76"/>
    </row>
    <row r="3" spans="1:19" ht="15.6">
      <c r="A3" s="92" t="s">
        <v>372</v>
      </c>
      <c r="B3" s="126"/>
      <c r="C3" s="77" t="s">
        <v>373</v>
      </c>
      <c r="D3" s="130"/>
      <c r="E3" s="172" t="str">
        <f>IF(B3="","",IF(D3="","     Enter Year of Data",IF(D3&gt;2007,IF(D3&lt;2016,"","     ERROR - Deflators Data Not Current"),"     ERROR - Deflators Data Not Current")))</f>
        <v/>
      </c>
      <c r="F3" s="99"/>
      <c r="G3" s="99"/>
      <c r="H3" s="76"/>
      <c r="I3" s="76"/>
      <c r="J3" s="76"/>
      <c r="K3" s="76"/>
      <c r="L3" s="76"/>
      <c r="M3" s="76"/>
      <c r="N3" s="76"/>
      <c r="O3" s="76"/>
      <c r="P3" s="76"/>
      <c r="Q3" s="76"/>
      <c r="R3" s="76"/>
      <c r="S3" s="76"/>
    </row>
    <row r="4" spans="1:19" ht="15.6">
      <c r="A4" s="92" t="s">
        <v>374</v>
      </c>
      <c r="B4" s="46"/>
      <c r="C4" s="77" t="s">
        <v>373</v>
      </c>
      <c r="D4" s="115"/>
      <c r="E4" s="172" t="str">
        <f>IF(B4="","",IF(D4="","     Enter Year of Data",IF(D4&gt;2007,IF(D4&lt;2016,"","     ERROR - Deflators Data Not Current"),"     ERROR - Deflators Data Not Current")))</f>
        <v/>
      </c>
      <c r="F4" s="99"/>
      <c r="G4" s="99"/>
      <c r="H4" s="76"/>
      <c r="I4" s="76"/>
      <c r="J4" s="76"/>
      <c r="K4" s="76"/>
      <c r="L4" s="76"/>
      <c r="M4" s="76"/>
      <c r="N4" s="76"/>
      <c r="O4" s="76"/>
      <c r="P4" s="76"/>
      <c r="Q4" s="76"/>
      <c r="R4" s="76"/>
      <c r="S4" s="76"/>
    </row>
    <row r="5" spans="1:19" ht="15.6">
      <c r="A5" s="223" t="s">
        <v>375</v>
      </c>
      <c r="B5" s="189"/>
      <c r="C5" s="224" t="str">
        <f>IF(B$5="","     To incorporate Sales Tax in analysis Enter Sales Tax Rate","")</f>
        <v xml:space="preserve">     To incorporate Sales Tax in analysis Enter Sales Tax Rate</v>
      </c>
      <c r="D5" s="116"/>
      <c r="E5" s="116"/>
      <c r="F5" s="99"/>
      <c r="G5" s="99"/>
      <c r="H5" s="76"/>
      <c r="I5" s="76"/>
      <c r="J5" s="76"/>
      <c r="K5" s="76"/>
      <c r="L5" s="76"/>
      <c r="M5" s="76"/>
      <c r="N5" s="76"/>
      <c r="O5" s="76"/>
      <c r="P5" s="76"/>
      <c r="Q5" s="76"/>
      <c r="R5" s="76"/>
      <c r="S5" s="76"/>
    </row>
    <row r="6" spans="1:19" ht="15.6">
      <c r="A6" s="223" t="s">
        <v>376</v>
      </c>
      <c r="B6" s="189"/>
      <c r="C6" s="224" t="str">
        <f>IF(B$5="","     To incorporate Sales Tax Exemption in analysis Enter Exemption as percent of total","")</f>
        <v xml:space="preserve">     To incorporate Sales Tax Exemption in analysis Enter Exemption as percent of total</v>
      </c>
      <c r="D6" s="116"/>
      <c r="E6" s="116"/>
      <c r="F6" s="99"/>
      <c r="G6" s="99"/>
      <c r="H6" s="76"/>
      <c r="I6" s="76"/>
      <c r="J6" s="76"/>
      <c r="K6" s="76"/>
      <c r="L6" s="76"/>
      <c r="M6" s="76"/>
      <c r="N6" s="76"/>
      <c r="O6" s="76"/>
      <c r="P6" s="76"/>
      <c r="Q6" s="76"/>
      <c r="R6" s="76"/>
      <c r="S6" s="76"/>
    </row>
    <row r="7" spans="1:19" ht="15.6">
      <c r="A7" s="223" t="s">
        <v>377</v>
      </c>
      <c r="B7" s="189"/>
      <c r="C7" s="224" t="str">
        <f>IF(B$7="","     To incorporate Property Tax Exemption in analysis Enter Exemption as percent of total","")</f>
        <v xml:space="preserve">     To incorporate Property Tax Exemption in analysis Enter Exemption as percent of total</v>
      </c>
      <c r="D7" s="116"/>
      <c r="E7" s="116"/>
      <c r="F7" s="99"/>
      <c r="G7" s="99"/>
      <c r="H7" s="76"/>
      <c r="I7" s="76"/>
      <c r="J7" s="76"/>
      <c r="K7" s="76"/>
      <c r="L7" s="76"/>
      <c r="M7" s="76"/>
      <c r="N7" s="76"/>
      <c r="O7" s="76"/>
      <c r="P7" s="76"/>
      <c r="Q7" s="76"/>
      <c r="R7" s="76"/>
      <c r="S7" s="76"/>
    </row>
    <row r="8" spans="1:19">
      <c r="A8" s="76"/>
      <c r="B8" s="76"/>
      <c r="C8" s="76"/>
      <c r="D8" s="76"/>
      <c r="E8" s="76"/>
      <c r="F8" s="76"/>
      <c r="G8" s="76"/>
      <c r="H8" s="76"/>
      <c r="I8" s="76"/>
      <c r="J8" s="76"/>
      <c r="K8" s="76"/>
      <c r="L8" s="76"/>
      <c r="M8" s="76"/>
      <c r="N8" s="76"/>
      <c r="O8" s="76"/>
      <c r="P8" s="76"/>
      <c r="Q8" s="76"/>
      <c r="R8" s="76"/>
      <c r="S8" s="76"/>
    </row>
    <row r="9" spans="1:19">
      <c r="A9" s="92" t="s">
        <v>378</v>
      </c>
      <c r="B9" s="76"/>
      <c r="C9" s="76"/>
      <c r="D9" s="122" t="s">
        <v>379</v>
      </c>
      <c r="E9" s="76"/>
      <c r="F9" s="76"/>
      <c r="G9" s="76"/>
      <c r="H9" s="76"/>
      <c r="I9" s="76"/>
      <c r="J9" s="76"/>
      <c r="K9" s="76"/>
      <c r="L9" s="76"/>
      <c r="M9" s="76"/>
      <c r="N9" s="76"/>
      <c r="O9" s="76"/>
      <c r="P9" s="76"/>
      <c r="Q9" s="76"/>
      <c r="R9" s="76"/>
      <c r="S9" s="76"/>
    </row>
    <row r="10" spans="1:19">
      <c r="A10" s="100" t="s">
        <v>380</v>
      </c>
      <c r="B10" s="106" t="s">
        <v>381</v>
      </c>
      <c r="C10" s="76" t="s">
        <v>382</v>
      </c>
      <c r="D10" s="76"/>
      <c r="E10" s="76" t="str">
        <f>B10</f>
        <v>MyCounty</v>
      </c>
      <c r="F10" s="76" t="str">
        <f>C10</f>
        <v>MyRegion</v>
      </c>
      <c r="G10" s="76"/>
      <c r="H10" s="76"/>
      <c r="I10" s="76"/>
      <c r="J10" s="76"/>
      <c r="K10" s="76"/>
      <c r="L10" s="76"/>
      <c r="M10" s="76"/>
      <c r="N10" s="76"/>
      <c r="O10" s="76"/>
      <c r="P10" s="76"/>
      <c r="Q10" s="76"/>
      <c r="R10" s="76"/>
      <c r="S10" s="76"/>
    </row>
    <row r="11" spans="1:19">
      <c r="A11" s="389" t="s">
        <v>383</v>
      </c>
      <c r="B11" s="98">
        <v>0</v>
      </c>
      <c r="C11" s="98">
        <v>0</v>
      </c>
      <c r="D11" s="76"/>
      <c r="E11" s="98">
        <v>0</v>
      </c>
      <c r="F11" s="98">
        <v>0</v>
      </c>
      <c r="G11" s="76"/>
      <c r="H11" s="76"/>
      <c r="I11" s="76"/>
      <c r="J11" s="76"/>
      <c r="K11" s="76"/>
      <c r="L11" s="76"/>
      <c r="M11" s="76"/>
      <c r="N11" s="76"/>
      <c r="O11" s="76"/>
      <c r="P11" s="76"/>
      <c r="Q11" s="76"/>
      <c r="R11" s="76"/>
      <c r="S11" s="76"/>
    </row>
    <row r="12" spans="1:19">
      <c r="A12" s="389" t="s">
        <v>384</v>
      </c>
      <c r="B12" s="98">
        <v>0</v>
      </c>
      <c r="C12" s="98">
        <v>0</v>
      </c>
      <c r="D12" s="76"/>
      <c r="E12" s="98">
        <v>0</v>
      </c>
      <c r="F12" s="98">
        <v>0</v>
      </c>
      <c r="G12" s="76"/>
      <c r="H12" s="76"/>
      <c r="I12" s="76"/>
      <c r="J12" s="76"/>
      <c r="K12" s="76"/>
      <c r="L12" s="76"/>
      <c r="M12" s="76"/>
      <c r="N12" s="76"/>
      <c r="O12" s="76"/>
      <c r="P12" s="76"/>
      <c r="Q12" s="76"/>
      <c r="R12" s="76"/>
      <c r="S12" s="76"/>
    </row>
    <row r="13" spans="1:19">
      <c r="A13" s="389" t="s">
        <v>385</v>
      </c>
      <c r="B13" s="98">
        <v>0</v>
      </c>
      <c r="C13" s="98">
        <v>0</v>
      </c>
      <c r="D13" s="76"/>
      <c r="E13" s="98">
        <v>0</v>
      </c>
      <c r="F13" s="98">
        <v>0</v>
      </c>
      <c r="G13" s="76"/>
      <c r="H13" s="76"/>
      <c r="I13" s="76"/>
      <c r="J13" s="76"/>
      <c r="K13" s="76"/>
      <c r="L13" s="76"/>
      <c r="M13" s="76"/>
      <c r="N13" s="76"/>
      <c r="O13" s="76"/>
      <c r="P13" s="76"/>
      <c r="Q13" s="76"/>
      <c r="R13" s="76"/>
      <c r="S13" s="76"/>
    </row>
    <row r="14" spans="1:19">
      <c r="A14" s="389" t="s">
        <v>386</v>
      </c>
      <c r="B14" s="98">
        <v>0</v>
      </c>
      <c r="C14" s="98">
        <v>0</v>
      </c>
      <c r="D14" s="76"/>
      <c r="E14" s="98">
        <v>0</v>
      </c>
      <c r="F14" s="98">
        <v>0</v>
      </c>
      <c r="G14" s="76"/>
      <c r="H14" s="76"/>
      <c r="I14" s="76"/>
      <c r="J14" s="76"/>
      <c r="K14" s="76"/>
      <c r="L14" s="76"/>
      <c r="M14" s="76"/>
      <c r="N14" s="76"/>
      <c r="O14" s="76"/>
      <c r="P14" s="76"/>
      <c r="Q14" s="76"/>
      <c r="R14" s="76"/>
      <c r="S14" s="76"/>
    </row>
    <row r="15" spans="1:19">
      <c r="A15" s="389" t="s">
        <v>387</v>
      </c>
      <c r="B15" s="98">
        <v>0</v>
      </c>
      <c r="C15" s="98">
        <v>0</v>
      </c>
      <c r="D15" s="76"/>
      <c r="E15" s="98">
        <v>0</v>
      </c>
      <c r="F15" s="98">
        <v>0</v>
      </c>
      <c r="G15" s="76"/>
      <c r="H15" s="76"/>
      <c r="I15" s="76"/>
      <c r="J15" s="76"/>
      <c r="K15" s="76"/>
      <c r="L15" s="76"/>
      <c r="M15" s="76"/>
      <c r="N15" s="76"/>
      <c r="O15" s="76"/>
      <c r="P15" s="76"/>
      <c r="Q15" s="76"/>
      <c r="R15" s="76"/>
      <c r="S15" s="76"/>
    </row>
    <row r="16" spans="1:19">
      <c r="A16" s="389" t="s">
        <v>388</v>
      </c>
      <c r="B16" s="98">
        <v>0</v>
      </c>
      <c r="C16" s="98">
        <v>0</v>
      </c>
      <c r="D16" s="76"/>
      <c r="E16" s="98">
        <v>0</v>
      </c>
      <c r="F16" s="98">
        <v>0</v>
      </c>
      <c r="G16" s="76"/>
      <c r="H16" s="76"/>
      <c r="I16" s="76"/>
      <c r="J16" s="76"/>
      <c r="K16" s="76"/>
      <c r="L16" s="76"/>
      <c r="M16" s="76"/>
      <c r="N16" s="76"/>
      <c r="O16" s="76"/>
      <c r="P16" s="76"/>
      <c r="Q16" s="76"/>
      <c r="R16" s="76"/>
      <c r="S16" s="76"/>
    </row>
    <row r="17" spans="1:19">
      <c r="A17" s="389" t="s">
        <v>389</v>
      </c>
      <c r="B17" s="98">
        <v>0</v>
      </c>
      <c r="C17" s="98">
        <v>0</v>
      </c>
      <c r="D17" s="76"/>
      <c r="E17" s="98">
        <v>0</v>
      </c>
      <c r="F17" s="98">
        <v>0</v>
      </c>
      <c r="G17" s="76"/>
      <c r="H17" s="76"/>
      <c r="I17" s="76"/>
      <c r="J17" s="76"/>
      <c r="K17" s="76"/>
      <c r="L17" s="76"/>
      <c r="M17" s="76"/>
      <c r="N17" s="76"/>
      <c r="O17" s="76"/>
      <c r="P17" s="76"/>
      <c r="Q17" s="76"/>
      <c r="R17" s="76"/>
      <c r="S17" s="76"/>
    </row>
    <row r="18" spans="1:19">
      <c r="A18" s="389" t="s">
        <v>390</v>
      </c>
      <c r="B18" s="98">
        <v>0</v>
      </c>
      <c r="C18" s="98">
        <v>0</v>
      </c>
      <c r="D18" s="76"/>
      <c r="E18" s="98">
        <v>0</v>
      </c>
      <c r="F18" s="98">
        <v>0</v>
      </c>
      <c r="G18" s="76"/>
      <c r="H18" s="76"/>
      <c r="I18" s="76"/>
      <c r="J18" s="76"/>
      <c r="K18" s="76"/>
      <c r="L18" s="76"/>
      <c r="M18" s="76"/>
      <c r="N18" s="76"/>
      <c r="O18" s="76"/>
      <c r="P18" s="76"/>
      <c r="Q18" s="76"/>
      <c r="R18" s="76"/>
      <c r="S18" s="76"/>
    </row>
    <row r="19" spans="1:19">
      <c r="A19" s="389" t="s">
        <v>391</v>
      </c>
      <c r="B19" s="98">
        <v>0</v>
      </c>
      <c r="C19" s="98">
        <v>0</v>
      </c>
      <c r="D19" s="76"/>
      <c r="E19" s="98">
        <v>0</v>
      </c>
      <c r="F19" s="98">
        <v>0</v>
      </c>
      <c r="G19" s="76"/>
      <c r="H19" s="76"/>
      <c r="I19" s="76"/>
      <c r="J19" s="76"/>
      <c r="K19" s="76"/>
      <c r="L19" s="76"/>
      <c r="M19" s="76"/>
      <c r="N19" s="76"/>
      <c r="O19" s="76"/>
      <c r="P19" s="76"/>
      <c r="Q19" s="76"/>
      <c r="R19" s="76"/>
      <c r="S19" s="76"/>
    </row>
    <row r="20" spans="1:19">
      <c r="A20" s="389" t="s">
        <v>392</v>
      </c>
      <c r="B20" s="98">
        <v>0</v>
      </c>
      <c r="C20" s="98">
        <v>0</v>
      </c>
      <c r="D20" s="76"/>
      <c r="E20" s="98">
        <v>0</v>
      </c>
      <c r="F20" s="98">
        <v>0</v>
      </c>
      <c r="G20" s="76"/>
      <c r="H20" s="76"/>
      <c r="I20" s="76"/>
      <c r="J20" s="76"/>
      <c r="K20" s="76"/>
      <c r="L20" s="76"/>
      <c r="M20" s="76"/>
      <c r="N20" s="76"/>
      <c r="O20" s="76"/>
      <c r="P20" s="76"/>
      <c r="Q20" s="76"/>
      <c r="R20" s="76"/>
      <c r="S20" s="76"/>
    </row>
    <row r="21" spans="1:19">
      <c r="A21" s="389" t="s">
        <v>393</v>
      </c>
      <c r="B21" s="98">
        <v>0</v>
      </c>
      <c r="C21" s="98">
        <v>0</v>
      </c>
      <c r="D21" s="76"/>
      <c r="E21" s="98">
        <v>0</v>
      </c>
      <c r="F21" s="98">
        <v>0</v>
      </c>
      <c r="G21" s="76"/>
      <c r="H21" s="76"/>
      <c r="I21" s="76"/>
      <c r="J21" s="76"/>
      <c r="K21" s="76"/>
      <c r="L21" s="76"/>
      <c r="M21" s="76"/>
      <c r="N21" s="76"/>
      <c r="O21" s="76"/>
      <c r="P21" s="76"/>
      <c r="Q21" s="76"/>
      <c r="R21" s="76"/>
      <c r="S21" s="76"/>
    </row>
    <row r="22" spans="1:19">
      <c r="A22" s="389" t="s">
        <v>394</v>
      </c>
      <c r="B22" s="98">
        <v>0</v>
      </c>
      <c r="C22" s="98">
        <v>0</v>
      </c>
      <c r="D22" s="76"/>
      <c r="E22" s="98">
        <v>0</v>
      </c>
      <c r="F22" s="98">
        <v>0</v>
      </c>
      <c r="G22" s="76"/>
      <c r="H22" s="76"/>
      <c r="I22" s="76"/>
      <c r="J22" s="76"/>
      <c r="K22" s="76"/>
      <c r="L22" s="76"/>
      <c r="M22" s="76"/>
      <c r="N22" s="76"/>
      <c r="O22" s="76"/>
      <c r="P22" s="76"/>
      <c r="Q22" s="76"/>
      <c r="R22" s="76"/>
      <c r="S22" s="76"/>
    </row>
    <row r="23" spans="1:19">
      <c r="A23" s="389" t="s">
        <v>395</v>
      </c>
      <c r="B23" s="98">
        <v>0</v>
      </c>
      <c r="C23" s="98">
        <v>0</v>
      </c>
      <c r="D23" s="76"/>
      <c r="E23" s="98">
        <v>0</v>
      </c>
      <c r="F23" s="98">
        <v>0</v>
      </c>
      <c r="G23" s="76"/>
      <c r="H23" s="76"/>
      <c r="I23" s="76"/>
      <c r="J23" s="76"/>
      <c r="K23" s="76"/>
      <c r="L23" s="76"/>
      <c r="M23" s="76"/>
      <c r="N23" s="76"/>
      <c r="O23" s="76"/>
      <c r="P23" s="76"/>
      <c r="Q23" s="76"/>
      <c r="R23" s="76"/>
      <c r="S23" s="76"/>
    </row>
    <row r="24" spans="1:19">
      <c r="A24" s="389" t="s">
        <v>396</v>
      </c>
      <c r="B24" s="98">
        <v>0</v>
      </c>
      <c r="C24" s="98">
        <v>0</v>
      </c>
      <c r="D24" s="76"/>
      <c r="E24" s="98">
        <v>0</v>
      </c>
      <c r="F24" s="98">
        <v>0</v>
      </c>
      <c r="G24" s="76"/>
      <c r="H24" s="76"/>
      <c r="I24" s="76"/>
      <c r="J24" s="76"/>
      <c r="K24" s="76"/>
      <c r="L24" s="76"/>
      <c r="M24" s="76"/>
      <c r="N24" s="76"/>
      <c r="O24" s="76"/>
      <c r="P24" s="76"/>
      <c r="Q24" s="76"/>
      <c r="R24" s="76"/>
      <c r="S24" s="76"/>
    </row>
    <row r="25" spans="1:19">
      <c r="A25" s="389" t="s">
        <v>397</v>
      </c>
      <c r="B25" s="98">
        <v>0</v>
      </c>
      <c r="C25" s="98">
        <v>0</v>
      </c>
      <c r="D25" s="76"/>
      <c r="E25" s="98">
        <v>0</v>
      </c>
      <c r="F25" s="98">
        <v>0</v>
      </c>
      <c r="G25" s="76"/>
      <c r="H25" s="76"/>
      <c r="I25" s="76"/>
      <c r="J25" s="76"/>
      <c r="K25" s="76"/>
      <c r="L25" s="76"/>
      <c r="M25" s="76"/>
      <c r="N25" s="76"/>
      <c r="O25" s="76"/>
      <c r="P25" s="76"/>
      <c r="Q25" s="76"/>
      <c r="R25" s="76"/>
      <c r="S25" s="76"/>
    </row>
    <row r="26" spans="1:19">
      <c r="A26" s="389" t="s">
        <v>398</v>
      </c>
      <c r="B26" s="98">
        <v>0</v>
      </c>
      <c r="C26" s="98">
        <v>0</v>
      </c>
      <c r="D26" s="76"/>
      <c r="E26" s="98">
        <v>0</v>
      </c>
      <c r="F26" s="98">
        <v>0</v>
      </c>
      <c r="G26" s="76"/>
      <c r="H26" s="76"/>
      <c r="I26" s="76"/>
      <c r="J26" s="76"/>
      <c r="K26" s="76"/>
      <c r="L26" s="76"/>
      <c r="M26" s="76"/>
      <c r="N26" s="76"/>
      <c r="O26" s="76"/>
      <c r="P26" s="76"/>
      <c r="Q26" s="76"/>
      <c r="R26" s="76"/>
      <c r="S26" s="76"/>
    </row>
    <row r="27" spans="1:19">
      <c r="A27" s="389" t="s">
        <v>399</v>
      </c>
      <c r="B27" s="98">
        <v>0</v>
      </c>
      <c r="C27" s="98">
        <v>0</v>
      </c>
      <c r="D27" s="76"/>
      <c r="E27" s="98">
        <v>0</v>
      </c>
      <c r="F27" s="98">
        <v>0</v>
      </c>
      <c r="G27" s="76"/>
      <c r="H27" s="76"/>
      <c r="I27" s="76"/>
      <c r="J27" s="76"/>
      <c r="K27" s="76"/>
      <c r="L27" s="76"/>
      <c r="M27" s="76"/>
      <c r="N27" s="76"/>
      <c r="O27" s="76"/>
      <c r="P27" s="76"/>
      <c r="Q27" s="76"/>
      <c r="R27" s="76"/>
      <c r="S27" s="76"/>
    </row>
    <row r="28" spans="1:19">
      <c r="A28" s="389" t="s">
        <v>400</v>
      </c>
      <c r="B28" s="98">
        <v>0</v>
      </c>
      <c r="C28" s="98">
        <v>0</v>
      </c>
      <c r="D28" s="76"/>
      <c r="E28" s="98">
        <v>0</v>
      </c>
      <c r="F28" s="98">
        <v>0</v>
      </c>
      <c r="G28" s="76"/>
      <c r="H28" s="76"/>
      <c r="I28" s="76"/>
      <c r="J28" s="76"/>
      <c r="K28" s="76"/>
      <c r="L28" s="76"/>
      <c r="M28" s="76"/>
      <c r="N28" s="76"/>
      <c r="O28" s="76"/>
      <c r="P28" s="76"/>
      <c r="Q28" s="76"/>
      <c r="R28" s="76"/>
      <c r="S28" s="76"/>
    </row>
    <row r="29" spans="1:19">
      <c r="A29" s="389" t="s">
        <v>401</v>
      </c>
      <c r="B29" s="98">
        <v>0</v>
      </c>
      <c r="C29" s="98">
        <v>0</v>
      </c>
      <c r="D29" s="76"/>
      <c r="E29" s="98">
        <v>0</v>
      </c>
      <c r="F29" s="98">
        <v>0</v>
      </c>
      <c r="G29" s="76"/>
      <c r="H29" s="76"/>
      <c r="I29" s="76"/>
      <c r="J29" s="76"/>
      <c r="K29" s="76"/>
      <c r="L29" s="76"/>
      <c r="M29" s="76"/>
      <c r="N29" s="76"/>
      <c r="O29" s="76"/>
      <c r="P29" s="76"/>
      <c r="Q29" s="76"/>
      <c r="R29" s="76"/>
      <c r="S29" s="76"/>
    </row>
    <row r="30" spans="1:19">
      <c r="A30" s="389" t="s">
        <v>402</v>
      </c>
      <c r="B30" s="98">
        <v>0</v>
      </c>
      <c r="C30" s="98">
        <v>0</v>
      </c>
      <c r="D30" s="76"/>
      <c r="E30" s="98">
        <v>0</v>
      </c>
      <c r="F30" s="98">
        <v>0</v>
      </c>
      <c r="G30" s="76"/>
      <c r="H30" s="76"/>
      <c r="I30" s="76"/>
      <c r="J30" s="76"/>
      <c r="K30" s="76"/>
      <c r="L30" s="76"/>
      <c r="M30" s="76"/>
      <c r="N30" s="76"/>
      <c r="O30" s="76"/>
      <c r="P30" s="76"/>
      <c r="Q30" s="76"/>
      <c r="R30" s="76"/>
      <c r="S30" s="76"/>
    </row>
    <row r="31" spans="1:19">
      <c r="A31" s="389" t="s">
        <v>403</v>
      </c>
      <c r="B31" s="98">
        <v>0</v>
      </c>
      <c r="C31" s="98">
        <v>0</v>
      </c>
      <c r="D31" s="76"/>
      <c r="E31" s="98">
        <v>0</v>
      </c>
      <c r="F31" s="98">
        <v>0</v>
      </c>
      <c r="G31" s="76"/>
      <c r="H31" s="76"/>
      <c r="I31" s="76"/>
      <c r="J31" s="76"/>
      <c r="K31" s="76"/>
      <c r="L31" s="76"/>
      <c r="M31" s="76"/>
      <c r="N31" s="76"/>
      <c r="O31" s="76"/>
      <c r="P31" s="76"/>
      <c r="Q31" s="76"/>
      <c r="R31" s="76"/>
      <c r="S31" s="76"/>
    </row>
    <row r="32" spans="1:19">
      <c r="A32" s="389" t="s">
        <v>404</v>
      </c>
      <c r="B32" s="98">
        <v>0</v>
      </c>
      <c r="C32" s="98">
        <v>0</v>
      </c>
      <c r="D32" s="76"/>
      <c r="E32" s="98">
        <v>0</v>
      </c>
      <c r="F32" s="98">
        <v>0</v>
      </c>
      <c r="G32" s="76"/>
      <c r="H32" s="76"/>
      <c r="I32" s="76"/>
      <c r="J32" s="76"/>
      <c r="K32" s="76"/>
      <c r="L32" s="76"/>
      <c r="M32" s="76"/>
      <c r="N32" s="76"/>
      <c r="O32" s="76"/>
      <c r="P32" s="76"/>
      <c r="Q32" s="76"/>
      <c r="R32" s="76"/>
      <c r="S32" s="76"/>
    </row>
    <row r="33" spans="1:19">
      <c r="A33" s="101"/>
      <c r="B33" s="108"/>
      <c r="C33" s="108"/>
      <c r="D33" s="106" t="s">
        <v>133</v>
      </c>
      <c r="E33" s="107">
        <f>SUM(E11:E32)</f>
        <v>0</v>
      </c>
      <c r="F33" s="107">
        <f>SUM(F11:F32)</f>
        <v>0</v>
      </c>
      <c r="G33" s="76"/>
      <c r="H33" s="76"/>
      <c r="I33" s="76"/>
      <c r="J33" s="76"/>
      <c r="K33" s="76"/>
      <c r="L33" s="76"/>
      <c r="M33" s="76"/>
      <c r="N33" s="76"/>
      <c r="O33" s="76"/>
      <c r="P33" s="76"/>
      <c r="Q33" s="76"/>
      <c r="R33" s="76"/>
      <c r="S33" s="76"/>
    </row>
    <row r="34" spans="1:19">
      <c r="A34" s="92" t="s">
        <v>378</v>
      </c>
      <c r="B34" s="108"/>
      <c r="C34" s="108"/>
      <c r="D34" s="76"/>
      <c r="E34" s="76"/>
      <c r="F34" s="76"/>
      <c r="G34" s="76"/>
      <c r="H34" s="76"/>
      <c r="I34" s="76"/>
      <c r="J34" s="76"/>
      <c r="K34" s="76"/>
      <c r="L34" s="76"/>
      <c r="M34" s="76"/>
      <c r="N34" s="76"/>
      <c r="O34" s="76"/>
      <c r="P34" s="76"/>
      <c r="Q34" s="76"/>
      <c r="R34" s="76"/>
      <c r="S34" s="76"/>
    </row>
    <row r="35" spans="1:19">
      <c r="A35" s="100" t="s">
        <v>405</v>
      </c>
      <c r="B35" s="106" t="str">
        <f>B10</f>
        <v>MyCounty</v>
      </c>
      <c r="C35" s="76" t="str">
        <f>C10</f>
        <v>MyRegion</v>
      </c>
      <c r="D35" s="76"/>
      <c r="E35" s="76"/>
      <c r="F35" s="76"/>
      <c r="G35" s="76"/>
      <c r="H35" s="76"/>
      <c r="I35" s="76"/>
      <c r="J35" s="76"/>
      <c r="K35" s="76"/>
      <c r="L35" s="76"/>
      <c r="M35" s="76"/>
      <c r="N35" s="76"/>
      <c r="O35" s="76"/>
      <c r="P35" s="76"/>
      <c r="Q35" s="76"/>
      <c r="R35" s="76"/>
      <c r="S35" s="76"/>
    </row>
    <row r="36" spans="1:19">
      <c r="A36" s="389" t="s">
        <v>383</v>
      </c>
      <c r="B36" s="98">
        <v>0</v>
      </c>
      <c r="C36" s="98">
        <v>0</v>
      </c>
      <c r="D36" s="76"/>
      <c r="E36" s="76"/>
      <c r="F36" s="76"/>
      <c r="G36" s="76"/>
      <c r="H36" s="76"/>
      <c r="I36" s="76"/>
      <c r="J36" s="76"/>
      <c r="K36" s="76"/>
      <c r="L36" s="76"/>
      <c r="M36" s="76"/>
      <c r="N36" s="76"/>
      <c r="O36" s="76"/>
      <c r="P36" s="76"/>
      <c r="Q36" s="76"/>
      <c r="R36" s="76"/>
      <c r="S36" s="76"/>
    </row>
    <row r="37" spans="1:19">
      <c r="A37" s="389" t="s">
        <v>384</v>
      </c>
      <c r="B37" s="98">
        <v>0</v>
      </c>
      <c r="C37" s="98">
        <v>0</v>
      </c>
      <c r="D37" s="76"/>
      <c r="E37" s="76"/>
      <c r="F37" s="76"/>
      <c r="G37" s="76"/>
      <c r="H37" s="76"/>
      <c r="I37" s="76"/>
      <c r="J37" s="76"/>
      <c r="K37" s="76"/>
      <c r="L37" s="76"/>
      <c r="M37" s="76"/>
      <c r="N37" s="76"/>
      <c r="O37" s="76"/>
      <c r="P37" s="76"/>
      <c r="Q37" s="76"/>
      <c r="R37" s="76"/>
      <c r="S37" s="76"/>
    </row>
    <row r="38" spans="1:19">
      <c r="A38" s="389" t="s">
        <v>385</v>
      </c>
      <c r="B38" s="98">
        <v>0</v>
      </c>
      <c r="C38" s="98">
        <v>0</v>
      </c>
      <c r="D38" s="76"/>
      <c r="E38" s="76"/>
      <c r="F38" s="76"/>
      <c r="G38" s="76"/>
      <c r="H38" s="76"/>
      <c r="I38" s="76"/>
      <c r="J38" s="76"/>
      <c r="K38" s="76"/>
      <c r="L38" s="76"/>
      <c r="M38" s="76"/>
      <c r="N38" s="76"/>
      <c r="O38" s="76"/>
      <c r="P38" s="76"/>
      <c r="Q38" s="76"/>
      <c r="R38" s="76"/>
      <c r="S38" s="76"/>
    </row>
    <row r="39" spans="1:19">
      <c r="A39" s="389" t="s">
        <v>386</v>
      </c>
      <c r="B39" s="98">
        <v>0</v>
      </c>
      <c r="C39" s="98">
        <v>0</v>
      </c>
      <c r="D39" s="76"/>
      <c r="E39" s="76"/>
      <c r="F39" s="76"/>
      <c r="G39" s="76"/>
      <c r="H39" s="76"/>
      <c r="I39" s="76"/>
      <c r="J39" s="76"/>
      <c r="K39" s="76"/>
      <c r="L39" s="76"/>
      <c r="M39" s="76"/>
      <c r="N39" s="76"/>
      <c r="O39" s="76"/>
      <c r="P39" s="76"/>
      <c r="Q39" s="76"/>
      <c r="R39" s="76"/>
      <c r="S39" s="76"/>
    </row>
    <row r="40" spans="1:19">
      <c r="A40" s="389" t="s">
        <v>387</v>
      </c>
      <c r="B40" s="98">
        <v>0</v>
      </c>
      <c r="C40" s="98">
        <v>0</v>
      </c>
      <c r="D40" s="76"/>
      <c r="E40" s="76"/>
      <c r="F40" s="76"/>
      <c r="G40" s="76"/>
      <c r="H40" s="76"/>
      <c r="I40" s="76"/>
      <c r="J40" s="76"/>
      <c r="K40" s="76"/>
      <c r="L40" s="76"/>
      <c r="M40" s="76"/>
      <c r="N40" s="76"/>
      <c r="O40" s="76"/>
      <c r="P40" s="76"/>
      <c r="Q40" s="76"/>
      <c r="R40" s="76"/>
      <c r="S40" s="76"/>
    </row>
    <row r="41" spans="1:19">
      <c r="A41" s="389" t="s">
        <v>388</v>
      </c>
      <c r="B41" s="98">
        <v>0</v>
      </c>
      <c r="C41" s="98">
        <v>0</v>
      </c>
      <c r="D41" s="76"/>
      <c r="E41" s="76"/>
      <c r="F41" s="76"/>
      <c r="G41" s="76"/>
      <c r="H41" s="76"/>
      <c r="I41" s="76"/>
      <c r="J41" s="76"/>
      <c r="K41" s="76"/>
      <c r="L41" s="76"/>
      <c r="M41" s="76"/>
      <c r="N41" s="76"/>
      <c r="O41" s="76"/>
      <c r="P41" s="76"/>
      <c r="Q41" s="76"/>
      <c r="R41" s="76"/>
      <c r="S41" s="76"/>
    </row>
    <row r="42" spans="1:19">
      <c r="A42" s="389" t="s">
        <v>389</v>
      </c>
      <c r="B42" s="98">
        <v>0</v>
      </c>
      <c r="C42" s="98">
        <v>0</v>
      </c>
      <c r="D42" s="76"/>
      <c r="E42" s="76"/>
      <c r="F42" s="76"/>
      <c r="G42" s="76"/>
      <c r="H42" s="76"/>
      <c r="I42" s="76"/>
      <c r="J42" s="76"/>
      <c r="K42" s="76"/>
      <c r="L42" s="76"/>
      <c r="M42" s="76"/>
      <c r="N42" s="76"/>
      <c r="O42" s="76"/>
      <c r="P42" s="76"/>
      <c r="Q42" s="76"/>
      <c r="R42" s="76"/>
      <c r="S42" s="76"/>
    </row>
    <row r="43" spans="1:19">
      <c r="A43" s="389" t="s">
        <v>390</v>
      </c>
      <c r="B43" s="98">
        <v>0</v>
      </c>
      <c r="C43" s="98">
        <v>0</v>
      </c>
      <c r="D43" s="76"/>
      <c r="E43" s="76"/>
      <c r="F43" s="76"/>
      <c r="G43" s="76"/>
      <c r="H43" s="76"/>
      <c r="I43" s="76"/>
      <c r="J43" s="76"/>
      <c r="K43" s="76"/>
      <c r="L43" s="76"/>
      <c r="M43" s="76"/>
      <c r="N43" s="76"/>
      <c r="O43" s="76"/>
      <c r="P43" s="76"/>
      <c r="Q43" s="76"/>
      <c r="R43" s="76"/>
      <c r="S43" s="76"/>
    </row>
    <row r="44" spans="1:19">
      <c r="A44" s="389" t="s">
        <v>391</v>
      </c>
      <c r="B44" s="98">
        <v>0</v>
      </c>
      <c r="C44" s="98">
        <v>0</v>
      </c>
      <c r="D44" s="76"/>
      <c r="E44" s="76"/>
      <c r="F44" s="76"/>
      <c r="G44" s="76"/>
      <c r="H44" s="76"/>
      <c r="I44" s="76"/>
      <c r="J44" s="76"/>
      <c r="K44" s="76"/>
      <c r="L44" s="76"/>
      <c r="M44" s="76"/>
      <c r="N44" s="76"/>
      <c r="O44" s="76"/>
      <c r="P44" s="76"/>
      <c r="Q44" s="76"/>
      <c r="R44" s="76"/>
      <c r="S44" s="76"/>
    </row>
    <row r="45" spans="1:19">
      <c r="A45" s="389" t="s">
        <v>392</v>
      </c>
      <c r="B45" s="98">
        <v>0</v>
      </c>
      <c r="C45" s="98">
        <v>0</v>
      </c>
      <c r="D45" s="76"/>
      <c r="E45" s="76"/>
      <c r="F45" s="76"/>
      <c r="G45" s="76"/>
      <c r="H45" s="76"/>
      <c r="I45" s="76"/>
      <c r="J45" s="76"/>
      <c r="K45" s="76"/>
      <c r="L45" s="76"/>
      <c r="M45" s="76"/>
      <c r="N45" s="76"/>
      <c r="O45" s="76"/>
      <c r="P45" s="76"/>
      <c r="Q45" s="76"/>
      <c r="R45" s="76"/>
      <c r="S45" s="76"/>
    </row>
    <row r="46" spans="1:19">
      <c r="A46" s="389" t="s">
        <v>393</v>
      </c>
      <c r="B46" s="98">
        <v>0</v>
      </c>
      <c r="C46" s="98">
        <v>0</v>
      </c>
      <c r="D46" s="76"/>
      <c r="E46" s="76"/>
      <c r="F46" s="76"/>
      <c r="G46" s="76"/>
      <c r="H46" s="76"/>
      <c r="I46" s="76"/>
      <c r="J46" s="76"/>
      <c r="K46" s="76"/>
      <c r="L46" s="76"/>
      <c r="M46" s="76"/>
      <c r="N46" s="76"/>
      <c r="O46" s="76"/>
      <c r="P46" s="76"/>
      <c r="Q46" s="76"/>
      <c r="R46" s="76"/>
      <c r="S46" s="76"/>
    </row>
    <row r="47" spans="1:19">
      <c r="A47" s="389" t="s">
        <v>394</v>
      </c>
      <c r="B47" s="98">
        <v>0</v>
      </c>
      <c r="C47" s="98">
        <v>0</v>
      </c>
      <c r="D47" s="76"/>
      <c r="E47" s="76"/>
      <c r="F47" s="76"/>
      <c r="G47" s="76"/>
      <c r="H47" s="76"/>
      <c r="I47" s="76"/>
      <c r="J47" s="76"/>
      <c r="K47" s="76"/>
      <c r="L47" s="76"/>
      <c r="M47" s="76"/>
      <c r="N47" s="76"/>
      <c r="O47" s="76"/>
      <c r="P47" s="76"/>
      <c r="Q47" s="76"/>
      <c r="R47" s="76"/>
      <c r="S47" s="76"/>
    </row>
    <row r="48" spans="1:19">
      <c r="A48" s="389" t="s">
        <v>395</v>
      </c>
      <c r="B48" s="98">
        <v>0</v>
      </c>
      <c r="C48" s="98">
        <v>0</v>
      </c>
      <c r="D48" s="76"/>
      <c r="E48" s="76"/>
      <c r="F48" s="76"/>
      <c r="G48" s="76"/>
      <c r="H48" s="76"/>
      <c r="I48" s="76"/>
      <c r="J48" s="76"/>
      <c r="K48" s="76"/>
      <c r="L48" s="76"/>
      <c r="M48" s="76"/>
      <c r="N48" s="76"/>
      <c r="O48" s="76"/>
      <c r="P48" s="76"/>
      <c r="Q48" s="76"/>
      <c r="R48" s="76"/>
      <c r="S48" s="76"/>
    </row>
    <row r="49" spans="1:19">
      <c r="A49" s="389" t="s">
        <v>396</v>
      </c>
      <c r="B49" s="98">
        <v>0</v>
      </c>
      <c r="C49" s="98">
        <v>0</v>
      </c>
      <c r="D49" s="76"/>
      <c r="E49" s="76"/>
      <c r="F49" s="76"/>
      <c r="G49" s="76"/>
      <c r="H49" s="76"/>
      <c r="I49" s="76"/>
      <c r="J49" s="76"/>
      <c r="K49" s="76"/>
      <c r="L49" s="76"/>
      <c r="M49" s="76"/>
      <c r="N49" s="76"/>
      <c r="O49" s="76"/>
      <c r="P49" s="76"/>
      <c r="Q49" s="76"/>
      <c r="R49" s="76"/>
      <c r="S49" s="76"/>
    </row>
    <row r="50" spans="1:19">
      <c r="A50" s="389" t="s">
        <v>397</v>
      </c>
      <c r="B50" s="98">
        <v>0</v>
      </c>
      <c r="C50" s="98">
        <v>0</v>
      </c>
      <c r="D50" s="76"/>
      <c r="E50" s="76"/>
      <c r="F50" s="76"/>
      <c r="G50" s="76"/>
      <c r="H50" s="76"/>
      <c r="I50" s="76"/>
      <c r="J50" s="76"/>
      <c r="K50" s="76"/>
      <c r="L50" s="76"/>
      <c r="M50" s="76"/>
      <c r="N50" s="76"/>
      <c r="O50" s="76"/>
      <c r="P50" s="76"/>
      <c r="Q50" s="76"/>
      <c r="R50" s="76"/>
      <c r="S50" s="76"/>
    </row>
    <row r="51" spans="1:19">
      <c r="A51" s="389" t="s">
        <v>398</v>
      </c>
      <c r="B51" s="98">
        <v>0</v>
      </c>
      <c r="C51" s="98">
        <v>0</v>
      </c>
      <c r="D51" s="76"/>
      <c r="E51" s="76"/>
      <c r="F51" s="76"/>
      <c r="G51" s="76"/>
      <c r="H51" s="76"/>
      <c r="I51" s="76"/>
      <c r="J51" s="76"/>
      <c r="K51" s="76"/>
      <c r="L51" s="76"/>
      <c r="M51" s="76"/>
      <c r="N51" s="76"/>
      <c r="O51" s="76"/>
      <c r="P51" s="76"/>
      <c r="Q51" s="76"/>
      <c r="R51" s="76"/>
      <c r="S51" s="76"/>
    </row>
    <row r="52" spans="1:19">
      <c r="A52" s="389" t="s">
        <v>399</v>
      </c>
      <c r="B52" s="98">
        <v>0</v>
      </c>
      <c r="C52" s="98">
        <v>0</v>
      </c>
      <c r="D52" s="76"/>
      <c r="E52" s="76"/>
      <c r="F52" s="76"/>
      <c r="G52" s="76"/>
      <c r="H52" s="76"/>
      <c r="I52" s="76"/>
      <c r="J52" s="76"/>
      <c r="K52" s="76"/>
      <c r="L52" s="76"/>
      <c r="M52" s="76"/>
      <c r="N52" s="76"/>
      <c r="O52" s="76"/>
      <c r="P52" s="76"/>
      <c r="Q52" s="76"/>
      <c r="R52" s="76"/>
      <c r="S52" s="76"/>
    </row>
    <row r="53" spans="1:19">
      <c r="A53" s="389" t="s">
        <v>400</v>
      </c>
      <c r="B53" s="98">
        <v>0</v>
      </c>
      <c r="C53" s="98">
        <v>0</v>
      </c>
      <c r="D53" s="76"/>
      <c r="E53" s="76"/>
      <c r="F53" s="76"/>
      <c r="G53" s="76"/>
      <c r="H53" s="76"/>
      <c r="I53" s="76"/>
      <c r="J53" s="76"/>
      <c r="K53" s="76"/>
      <c r="L53" s="76"/>
      <c r="M53" s="76"/>
      <c r="N53" s="76"/>
      <c r="O53" s="76"/>
      <c r="P53" s="76"/>
      <c r="Q53" s="76"/>
      <c r="R53" s="76"/>
      <c r="S53" s="76"/>
    </row>
    <row r="54" spans="1:19">
      <c r="A54" s="389" t="s">
        <v>401</v>
      </c>
      <c r="B54" s="98">
        <v>0</v>
      </c>
      <c r="C54" s="98">
        <v>0</v>
      </c>
      <c r="D54" s="76"/>
      <c r="E54" s="76"/>
      <c r="F54" s="76"/>
      <c r="G54" s="76"/>
      <c r="H54" s="76"/>
      <c r="I54" s="76"/>
      <c r="J54" s="76"/>
      <c r="K54" s="76"/>
      <c r="L54" s="76"/>
      <c r="M54" s="76"/>
      <c r="N54" s="76"/>
      <c r="O54" s="76"/>
      <c r="P54" s="76"/>
      <c r="Q54" s="76"/>
      <c r="R54" s="76"/>
      <c r="S54" s="76"/>
    </row>
    <row r="55" spans="1:19">
      <c r="A55" s="389" t="s">
        <v>402</v>
      </c>
      <c r="B55" s="98">
        <v>0</v>
      </c>
      <c r="C55" s="98">
        <v>0</v>
      </c>
      <c r="D55" s="76"/>
      <c r="E55" s="76"/>
      <c r="F55" s="76"/>
      <c r="G55" s="76"/>
      <c r="H55" s="76"/>
      <c r="I55" s="76"/>
      <c r="J55" s="76"/>
      <c r="K55" s="76"/>
      <c r="L55" s="76"/>
      <c r="M55" s="76"/>
      <c r="N55" s="76"/>
      <c r="O55" s="76"/>
      <c r="P55" s="76"/>
      <c r="Q55" s="76"/>
      <c r="R55" s="76"/>
      <c r="S55" s="76"/>
    </row>
    <row r="56" spans="1:19">
      <c r="A56" s="389" t="s">
        <v>403</v>
      </c>
      <c r="B56" s="98">
        <v>0</v>
      </c>
      <c r="C56" s="98">
        <v>0</v>
      </c>
      <c r="D56" s="76"/>
      <c r="E56" s="76"/>
      <c r="F56" s="76"/>
      <c r="G56" s="76"/>
      <c r="H56" s="76"/>
      <c r="I56" s="76"/>
      <c r="J56" s="76"/>
      <c r="K56" s="76"/>
      <c r="L56" s="76"/>
      <c r="M56" s="76"/>
      <c r="N56" s="76"/>
      <c r="O56" s="76"/>
      <c r="P56" s="76"/>
      <c r="Q56" s="76"/>
      <c r="R56" s="76"/>
      <c r="S56" s="76"/>
    </row>
    <row r="57" spans="1:19">
      <c r="A57" s="389" t="s">
        <v>404</v>
      </c>
      <c r="B57" s="98">
        <v>0</v>
      </c>
      <c r="C57" s="98">
        <v>0</v>
      </c>
      <c r="D57" s="76"/>
      <c r="E57" s="76"/>
      <c r="F57" s="76"/>
      <c r="G57" s="76"/>
      <c r="H57" s="76"/>
      <c r="I57" s="76"/>
      <c r="J57" s="76"/>
      <c r="K57" s="76"/>
      <c r="L57" s="76"/>
      <c r="M57" s="76"/>
      <c r="N57" s="76"/>
      <c r="O57" s="76"/>
      <c r="P57" s="76"/>
      <c r="Q57" s="76"/>
      <c r="R57" s="76"/>
      <c r="S57" s="76"/>
    </row>
    <row r="58" spans="1:19">
      <c r="A58" s="101"/>
      <c r="B58" s="108"/>
      <c r="C58" s="108"/>
      <c r="D58" s="76"/>
      <c r="E58" s="76"/>
      <c r="F58" s="76"/>
      <c r="G58" s="76"/>
      <c r="H58" s="76"/>
      <c r="I58" s="76"/>
      <c r="J58" s="76"/>
      <c r="K58" s="76"/>
      <c r="L58" s="76"/>
      <c r="M58" s="76"/>
      <c r="N58" s="76"/>
      <c r="O58" s="76"/>
      <c r="P58" s="76"/>
      <c r="Q58" s="76"/>
      <c r="R58" s="76"/>
      <c r="S58" s="76"/>
    </row>
    <row r="59" spans="1:19">
      <c r="A59" s="92" t="s">
        <v>378</v>
      </c>
      <c r="B59" s="108"/>
      <c r="C59" s="108"/>
      <c r="D59" s="76"/>
      <c r="E59" s="76"/>
      <c r="F59" s="76"/>
      <c r="G59" s="76"/>
      <c r="H59" s="76"/>
      <c r="I59" s="76"/>
      <c r="J59" s="76"/>
      <c r="K59" s="76"/>
      <c r="L59" s="76"/>
      <c r="M59" s="76"/>
      <c r="N59" s="76"/>
      <c r="O59" s="76"/>
      <c r="P59" s="76"/>
      <c r="Q59" s="76"/>
      <c r="R59" s="76"/>
      <c r="S59" s="76"/>
    </row>
    <row r="60" spans="1:19">
      <c r="A60" s="100" t="s">
        <v>406</v>
      </c>
      <c r="B60" s="106" t="str">
        <f>B35</f>
        <v>MyCounty</v>
      </c>
      <c r="C60" s="76" t="str">
        <f>C35</f>
        <v>MyRegion</v>
      </c>
      <c r="D60" s="76"/>
      <c r="E60" s="76"/>
      <c r="F60" s="76"/>
      <c r="G60" s="76"/>
      <c r="H60" s="76"/>
      <c r="I60" s="76"/>
      <c r="J60" s="76"/>
      <c r="K60" s="76"/>
      <c r="L60" s="76"/>
      <c r="M60" s="76"/>
      <c r="N60" s="76"/>
      <c r="O60" s="76"/>
      <c r="P60" s="76"/>
      <c r="Q60" s="76"/>
      <c r="R60" s="76"/>
      <c r="S60" s="76"/>
    </row>
    <row r="61" spans="1:19">
      <c r="A61" s="389" t="s">
        <v>383</v>
      </c>
      <c r="B61" s="98">
        <v>0</v>
      </c>
      <c r="C61" s="98">
        <v>0</v>
      </c>
      <c r="D61" s="76"/>
      <c r="E61" s="76"/>
      <c r="F61" s="76"/>
      <c r="G61" s="76"/>
      <c r="H61" s="76"/>
      <c r="I61" s="76"/>
      <c r="J61" s="76"/>
      <c r="K61" s="76"/>
      <c r="L61" s="76"/>
      <c r="M61" s="76"/>
      <c r="N61" s="76"/>
      <c r="O61" s="76"/>
      <c r="P61" s="76"/>
      <c r="Q61" s="76"/>
      <c r="R61" s="76"/>
      <c r="S61" s="76"/>
    </row>
    <row r="62" spans="1:19">
      <c r="A62" s="389" t="s">
        <v>384</v>
      </c>
      <c r="B62" s="98">
        <v>0</v>
      </c>
      <c r="C62" s="98">
        <v>0</v>
      </c>
      <c r="D62" s="76"/>
      <c r="E62" s="76"/>
      <c r="F62" s="76"/>
      <c r="G62" s="76"/>
      <c r="H62" s="76"/>
      <c r="I62" s="76"/>
      <c r="J62" s="76"/>
      <c r="K62" s="76"/>
      <c r="L62" s="76"/>
      <c r="M62" s="76"/>
      <c r="N62" s="76"/>
      <c r="O62" s="76"/>
      <c r="P62" s="76"/>
      <c r="Q62" s="76"/>
      <c r="R62" s="76"/>
      <c r="S62" s="76"/>
    </row>
    <row r="63" spans="1:19">
      <c r="A63" s="389" t="s">
        <v>385</v>
      </c>
      <c r="B63" s="98">
        <v>0</v>
      </c>
      <c r="C63" s="98">
        <v>0</v>
      </c>
      <c r="D63" s="76"/>
      <c r="E63" s="76"/>
      <c r="F63" s="76"/>
      <c r="G63" s="76"/>
      <c r="H63" s="76"/>
      <c r="I63" s="76"/>
      <c r="J63" s="76"/>
      <c r="K63" s="76"/>
      <c r="L63" s="76"/>
      <c r="M63" s="76"/>
      <c r="N63" s="76"/>
      <c r="O63" s="76"/>
      <c r="P63" s="76"/>
      <c r="Q63" s="76"/>
      <c r="R63" s="76"/>
      <c r="S63" s="76"/>
    </row>
    <row r="64" spans="1:19">
      <c r="A64" s="389" t="s">
        <v>386</v>
      </c>
      <c r="B64" s="98">
        <v>0</v>
      </c>
      <c r="C64" s="98">
        <v>0</v>
      </c>
      <c r="D64" s="76"/>
      <c r="E64" s="76"/>
      <c r="F64" s="76"/>
      <c r="G64" s="76"/>
      <c r="H64" s="76"/>
      <c r="I64" s="76"/>
      <c r="J64" s="76"/>
      <c r="K64" s="76"/>
      <c r="L64" s="76"/>
      <c r="M64" s="76"/>
      <c r="N64" s="76"/>
      <c r="O64" s="76"/>
      <c r="P64" s="76"/>
      <c r="Q64" s="76"/>
      <c r="R64" s="76"/>
      <c r="S64" s="76"/>
    </row>
    <row r="65" spans="1:19">
      <c r="A65" s="389" t="s">
        <v>387</v>
      </c>
      <c r="B65" s="98">
        <v>0</v>
      </c>
      <c r="C65" s="98">
        <v>0</v>
      </c>
      <c r="D65" s="76"/>
      <c r="E65" s="76"/>
      <c r="F65" s="76"/>
      <c r="G65" s="76"/>
      <c r="H65" s="76"/>
      <c r="I65" s="76"/>
      <c r="J65" s="76"/>
      <c r="K65" s="76"/>
      <c r="L65" s="76"/>
      <c r="M65" s="76"/>
      <c r="N65" s="76"/>
      <c r="O65" s="76"/>
      <c r="P65" s="76"/>
      <c r="Q65" s="76"/>
      <c r="R65" s="76"/>
      <c r="S65" s="76"/>
    </row>
    <row r="66" spans="1:19">
      <c r="A66" s="389" t="s">
        <v>388</v>
      </c>
      <c r="B66" s="98">
        <v>0</v>
      </c>
      <c r="C66" s="98">
        <v>0</v>
      </c>
      <c r="D66" s="76"/>
      <c r="E66" s="76"/>
      <c r="F66" s="76"/>
      <c r="G66" s="76"/>
      <c r="H66" s="76"/>
      <c r="I66" s="76"/>
      <c r="J66" s="76"/>
      <c r="K66" s="76"/>
      <c r="L66" s="76"/>
      <c r="M66" s="76"/>
      <c r="N66" s="76"/>
      <c r="O66" s="76"/>
      <c r="P66" s="76"/>
      <c r="Q66" s="76"/>
      <c r="R66" s="76"/>
      <c r="S66" s="76"/>
    </row>
    <row r="67" spans="1:19">
      <c r="A67" s="389" t="s">
        <v>389</v>
      </c>
      <c r="B67" s="98">
        <v>0</v>
      </c>
      <c r="C67" s="98">
        <v>0</v>
      </c>
      <c r="D67" s="76"/>
      <c r="E67" s="76"/>
      <c r="F67" s="76"/>
      <c r="G67" s="76"/>
      <c r="H67" s="76"/>
      <c r="I67" s="76"/>
      <c r="J67" s="76"/>
      <c r="K67" s="76"/>
      <c r="L67" s="76"/>
      <c r="M67" s="76"/>
      <c r="N67" s="76"/>
      <c r="O67" s="76"/>
      <c r="P67" s="76"/>
      <c r="Q67" s="76"/>
      <c r="R67" s="76"/>
      <c r="S67" s="76"/>
    </row>
    <row r="68" spans="1:19">
      <c r="A68" s="389" t="s">
        <v>390</v>
      </c>
      <c r="B68" s="98">
        <v>0</v>
      </c>
      <c r="C68" s="98">
        <v>0</v>
      </c>
      <c r="D68" s="76"/>
      <c r="E68" s="76"/>
      <c r="F68" s="76"/>
      <c r="G68" s="76"/>
      <c r="H68" s="76"/>
      <c r="I68" s="76"/>
      <c r="J68" s="76"/>
      <c r="K68" s="76"/>
      <c r="L68" s="76"/>
      <c r="M68" s="76"/>
      <c r="N68" s="76"/>
      <c r="O68" s="76"/>
      <c r="P68" s="76"/>
      <c r="Q68" s="76"/>
      <c r="R68" s="76"/>
      <c r="S68" s="76"/>
    </row>
    <row r="69" spans="1:19">
      <c r="A69" s="389" t="s">
        <v>391</v>
      </c>
      <c r="B69" s="98">
        <v>0</v>
      </c>
      <c r="C69" s="98">
        <v>0</v>
      </c>
      <c r="D69" s="76"/>
      <c r="E69" s="76"/>
      <c r="F69" s="76"/>
      <c r="G69" s="76"/>
      <c r="H69" s="76"/>
      <c r="I69" s="76"/>
      <c r="J69" s="76"/>
      <c r="K69" s="76"/>
      <c r="L69" s="76"/>
      <c r="M69" s="76"/>
      <c r="N69" s="76"/>
      <c r="O69" s="76"/>
      <c r="P69" s="76"/>
      <c r="Q69" s="76"/>
      <c r="R69" s="76"/>
      <c r="S69" s="76"/>
    </row>
    <row r="70" spans="1:19">
      <c r="A70" s="389" t="s">
        <v>392</v>
      </c>
      <c r="B70" s="98">
        <v>0</v>
      </c>
      <c r="C70" s="98">
        <v>0</v>
      </c>
      <c r="D70" s="76"/>
      <c r="E70" s="76"/>
      <c r="F70" s="76"/>
      <c r="G70" s="76"/>
      <c r="H70" s="76"/>
      <c r="I70" s="76"/>
      <c r="J70" s="76"/>
      <c r="K70" s="76"/>
      <c r="L70" s="76"/>
      <c r="M70" s="76"/>
      <c r="N70" s="76"/>
      <c r="O70" s="76"/>
      <c r="P70" s="76"/>
      <c r="Q70" s="76"/>
      <c r="R70" s="76"/>
      <c r="S70" s="76"/>
    </row>
    <row r="71" spans="1:19">
      <c r="A71" s="389" t="s">
        <v>393</v>
      </c>
      <c r="B71" s="98">
        <v>0</v>
      </c>
      <c r="C71" s="98">
        <v>0</v>
      </c>
      <c r="D71" s="76"/>
      <c r="E71" s="76"/>
      <c r="F71" s="76"/>
      <c r="G71" s="76"/>
      <c r="H71" s="76"/>
      <c r="I71" s="76"/>
      <c r="J71" s="76"/>
      <c r="K71" s="76"/>
      <c r="L71" s="76"/>
      <c r="M71" s="76"/>
      <c r="N71" s="76"/>
      <c r="O71" s="76"/>
      <c r="P71" s="76"/>
      <c r="Q71" s="76"/>
      <c r="R71" s="76"/>
      <c r="S71" s="76"/>
    </row>
    <row r="72" spans="1:19">
      <c r="A72" s="389" t="s">
        <v>394</v>
      </c>
      <c r="B72" s="98">
        <v>0</v>
      </c>
      <c r="C72" s="98">
        <v>0</v>
      </c>
      <c r="D72" s="76"/>
      <c r="E72" s="76"/>
      <c r="F72" s="76"/>
      <c r="G72" s="76"/>
      <c r="H72" s="76"/>
      <c r="I72" s="76"/>
      <c r="J72" s="76"/>
      <c r="K72" s="76"/>
      <c r="L72" s="76"/>
      <c r="M72" s="76"/>
      <c r="N72" s="76"/>
      <c r="O72" s="76"/>
      <c r="P72" s="76"/>
      <c r="Q72" s="76"/>
      <c r="R72" s="76"/>
      <c r="S72" s="76"/>
    </row>
    <row r="73" spans="1:19">
      <c r="A73" s="389" t="s">
        <v>395</v>
      </c>
      <c r="B73" s="98">
        <v>0</v>
      </c>
      <c r="C73" s="98">
        <v>0</v>
      </c>
      <c r="D73" s="76"/>
      <c r="E73" s="76"/>
      <c r="F73" s="76"/>
      <c r="G73" s="76"/>
      <c r="H73" s="76"/>
      <c r="I73" s="76"/>
      <c r="J73" s="76"/>
      <c r="K73" s="76"/>
      <c r="L73" s="76"/>
      <c r="M73" s="76"/>
      <c r="N73" s="76"/>
      <c r="O73" s="76"/>
      <c r="P73" s="76"/>
      <c r="Q73" s="76"/>
      <c r="R73" s="76"/>
      <c r="S73" s="76"/>
    </row>
    <row r="74" spans="1:19">
      <c r="A74" s="389" t="s">
        <v>396</v>
      </c>
      <c r="B74" s="98">
        <v>0</v>
      </c>
      <c r="C74" s="98">
        <v>0</v>
      </c>
      <c r="D74" s="76"/>
      <c r="E74" s="76"/>
      <c r="F74" s="76"/>
      <c r="G74" s="76"/>
      <c r="H74" s="76"/>
      <c r="I74" s="76"/>
      <c r="J74" s="76"/>
      <c r="K74" s="76"/>
      <c r="L74" s="76"/>
      <c r="M74" s="76"/>
      <c r="N74" s="76"/>
      <c r="O74" s="76"/>
      <c r="P74" s="76"/>
      <c r="Q74" s="76"/>
      <c r="R74" s="76"/>
      <c r="S74" s="76"/>
    </row>
    <row r="75" spans="1:19">
      <c r="A75" s="389" t="s">
        <v>397</v>
      </c>
      <c r="B75" s="98">
        <v>0</v>
      </c>
      <c r="C75" s="98">
        <v>0</v>
      </c>
      <c r="D75" s="76"/>
      <c r="E75" s="76"/>
      <c r="F75" s="76"/>
      <c r="G75" s="76"/>
      <c r="H75" s="76"/>
      <c r="I75" s="76"/>
      <c r="J75" s="76"/>
      <c r="K75" s="76"/>
      <c r="L75" s="76"/>
      <c r="M75" s="76"/>
      <c r="N75" s="76"/>
      <c r="O75" s="76"/>
      <c r="P75" s="76"/>
      <c r="Q75" s="76"/>
      <c r="R75" s="76"/>
      <c r="S75" s="76"/>
    </row>
    <row r="76" spans="1:19">
      <c r="A76" s="389" t="s">
        <v>398</v>
      </c>
      <c r="B76" s="98">
        <v>0</v>
      </c>
      <c r="C76" s="98">
        <v>0</v>
      </c>
      <c r="D76" s="76"/>
      <c r="E76" s="76"/>
      <c r="F76" s="76"/>
      <c r="G76" s="76"/>
      <c r="H76" s="76"/>
      <c r="I76" s="76"/>
      <c r="J76" s="76"/>
      <c r="K76" s="76"/>
      <c r="L76" s="76"/>
      <c r="M76" s="76"/>
      <c r="N76" s="76"/>
      <c r="O76" s="76"/>
      <c r="P76" s="76"/>
      <c r="Q76" s="76"/>
      <c r="R76" s="76"/>
      <c r="S76" s="76"/>
    </row>
    <row r="77" spans="1:19">
      <c r="A77" s="389" t="s">
        <v>399</v>
      </c>
      <c r="B77" s="98">
        <v>0</v>
      </c>
      <c r="C77" s="98">
        <v>0</v>
      </c>
      <c r="D77" s="76"/>
      <c r="E77" s="76"/>
      <c r="F77" s="76"/>
      <c r="G77" s="76"/>
      <c r="H77" s="76"/>
      <c r="I77" s="76"/>
      <c r="J77" s="76"/>
      <c r="K77" s="76"/>
      <c r="L77" s="76"/>
      <c r="M77" s="76"/>
      <c r="N77" s="76"/>
      <c r="O77" s="76"/>
      <c r="P77" s="76"/>
      <c r="Q77" s="76"/>
      <c r="R77" s="76"/>
      <c r="S77" s="76"/>
    </row>
    <row r="78" spans="1:19">
      <c r="A78" s="389" t="s">
        <v>400</v>
      </c>
      <c r="B78" s="98">
        <v>0</v>
      </c>
      <c r="C78" s="98">
        <v>0</v>
      </c>
      <c r="D78" s="76"/>
      <c r="E78" s="76"/>
      <c r="F78" s="76"/>
      <c r="G78" s="76"/>
      <c r="H78" s="76"/>
      <c r="I78" s="76"/>
      <c r="J78" s="76"/>
      <c r="K78" s="76"/>
      <c r="L78" s="76"/>
      <c r="M78" s="76"/>
      <c r="N78" s="76"/>
      <c r="O78" s="76"/>
      <c r="P78" s="76"/>
      <c r="Q78" s="76"/>
      <c r="R78" s="76"/>
      <c r="S78" s="76"/>
    </row>
    <row r="79" spans="1:19">
      <c r="A79" s="389" t="s">
        <v>401</v>
      </c>
      <c r="B79" s="98">
        <v>0</v>
      </c>
      <c r="C79" s="98">
        <v>0</v>
      </c>
      <c r="D79" s="76"/>
      <c r="E79" s="76"/>
      <c r="F79" s="76"/>
      <c r="G79" s="76"/>
      <c r="H79" s="76"/>
      <c r="I79" s="76"/>
      <c r="J79" s="76"/>
      <c r="K79" s="76"/>
      <c r="L79" s="76"/>
      <c r="M79" s="76"/>
      <c r="N79" s="76"/>
      <c r="O79" s="76"/>
      <c r="P79" s="76"/>
      <c r="Q79" s="76"/>
      <c r="R79" s="76"/>
      <c r="S79" s="76"/>
    </row>
    <row r="80" spans="1:19">
      <c r="A80" s="389" t="s">
        <v>402</v>
      </c>
      <c r="B80" s="98">
        <v>0</v>
      </c>
      <c r="C80" s="98">
        <v>0</v>
      </c>
      <c r="D80" s="76"/>
      <c r="E80" s="76"/>
      <c r="F80" s="76"/>
      <c r="G80" s="76"/>
      <c r="H80" s="76"/>
      <c r="I80" s="76"/>
      <c r="J80" s="76"/>
      <c r="K80" s="76"/>
      <c r="L80" s="76"/>
      <c r="M80" s="76"/>
      <c r="N80" s="76"/>
      <c r="O80" s="76"/>
      <c r="P80" s="76"/>
      <c r="Q80" s="76"/>
      <c r="R80" s="76"/>
      <c r="S80" s="76"/>
    </row>
    <row r="81" spans="1:19">
      <c r="A81" s="389" t="s">
        <v>403</v>
      </c>
      <c r="B81" s="98">
        <v>0</v>
      </c>
      <c r="C81" s="98">
        <v>0</v>
      </c>
      <c r="D81" s="76"/>
      <c r="E81" s="76"/>
      <c r="F81" s="76"/>
      <c r="G81" s="76"/>
      <c r="H81" s="76"/>
      <c r="I81" s="76"/>
      <c r="J81" s="76"/>
      <c r="K81" s="76"/>
      <c r="L81" s="76"/>
      <c r="M81" s="76"/>
      <c r="N81" s="76"/>
      <c r="O81" s="76"/>
      <c r="P81" s="76"/>
      <c r="Q81" s="76"/>
      <c r="R81" s="76"/>
      <c r="S81" s="76"/>
    </row>
    <row r="82" spans="1:19">
      <c r="A82" s="389" t="s">
        <v>404</v>
      </c>
      <c r="B82" s="98">
        <v>0</v>
      </c>
      <c r="C82" s="98">
        <v>0</v>
      </c>
      <c r="D82" s="76"/>
      <c r="E82" s="76"/>
      <c r="F82" s="76"/>
      <c r="G82" s="76"/>
      <c r="H82" s="76"/>
      <c r="I82" s="76"/>
      <c r="J82" s="76"/>
      <c r="K82" s="76"/>
      <c r="L82" s="76"/>
      <c r="M82" s="76"/>
      <c r="N82" s="76"/>
      <c r="O82" s="76"/>
      <c r="P82" s="76"/>
      <c r="Q82" s="76"/>
      <c r="R82" s="76"/>
      <c r="S82" s="76"/>
    </row>
    <row r="83" spans="1:19">
      <c r="A83" s="101"/>
      <c r="B83" s="108"/>
      <c r="C83" s="108"/>
      <c r="D83" s="76"/>
      <c r="E83" s="76"/>
      <c r="F83" s="76"/>
      <c r="G83" s="76"/>
      <c r="H83" s="76"/>
      <c r="I83" s="76"/>
      <c r="J83" s="76"/>
      <c r="K83" s="76"/>
      <c r="L83" s="76"/>
      <c r="M83" s="76"/>
      <c r="N83" s="76"/>
      <c r="O83" s="76"/>
      <c r="P83" s="76"/>
      <c r="Q83" s="76"/>
      <c r="R83" s="76"/>
      <c r="S83" s="76"/>
    </row>
    <row r="84" spans="1:19">
      <c r="A84" s="92" t="s">
        <v>407</v>
      </c>
      <c r="B84" s="108"/>
      <c r="C84" s="108"/>
      <c r="D84" s="76"/>
      <c r="E84" s="76"/>
      <c r="F84" s="76"/>
      <c r="G84" s="76"/>
      <c r="H84" s="76"/>
      <c r="I84" s="76"/>
      <c r="J84" s="76"/>
      <c r="K84" s="76"/>
      <c r="L84" s="76"/>
      <c r="M84" s="76"/>
      <c r="N84" s="76"/>
      <c r="O84" s="76"/>
      <c r="P84" s="76"/>
      <c r="Q84" s="76"/>
      <c r="R84" s="76"/>
      <c r="S84" s="76"/>
    </row>
    <row r="85" spans="1:19">
      <c r="A85" s="102" t="s">
        <v>408</v>
      </c>
      <c r="B85" s="106" t="str">
        <f>B60</f>
        <v>MyCounty</v>
      </c>
      <c r="C85" s="76" t="str">
        <f>C60</f>
        <v>MyRegion</v>
      </c>
      <c r="D85" s="76"/>
      <c r="E85" s="76"/>
      <c r="F85" s="76"/>
      <c r="G85" s="76"/>
      <c r="H85" s="76"/>
      <c r="I85" s="76"/>
      <c r="J85" s="76"/>
      <c r="K85" s="76"/>
      <c r="L85" s="76"/>
      <c r="M85" s="76"/>
      <c r="N85" s="76"/>
      <c r="O85" s="76"/>
      <c r="P85" s="76"/>
      <c r="Q85" s="76"/>
      <c r="R85" s="76"/>
      <c r="S85" s="76"/>
    </row>
    <row r="86" spans="1:19">
      <c r="A86" s="389" t="s">
        <v>383</v>
      </c>
      <c r="B86" s="98">
        <v>0</v>
      </c>
      <c r="C86" s="98">
        <v>0</v>
      </c>
      <c r="D86" s="76"/>
      <c r="E86" s="76"/>
      <c r="F86" s="76"/>
      <c r="G86" s="76"/>
      <c r="H86" s="76"/>
      <c r="I86" s="76"/>
      <c r="J86" s="76"/>
      <c r="K86" s="76"/>
      <c r="L86" s="76"/>
      <c r="M86" s="76"/>
      <c r="N86" s="76"/>
      <c r="O86" s="76"/>
      <c r="P86" s="76"/>
      <c r="Q86" s="76"/>
      <c r="R86" s="76"/>
      <c r="S86" s="76"/>
    </row>
    <row r="87" spans="1:19">
      <c r="A87" s="389" t="s">
        <v>384</v>
      </c>
      <c r="B87" s="98">
        <v>0</v>
      </c>
      <c r="C87" s="98">
        <v>0</v>
      </c>
      <c r="D87" s="76"/>
      <c r="E87" s="76"/>
      <c r="F87" s="76"/>
      <c r="G87" s="76"/>
      <c r="H87" s="76"/>
      <c r="I87" s="76"/>
      <c r="J87" s="76"/>
      <c r="K87" s="76"/>
      <c r="L87" s="76"/>
      <c r="M87" s="76"/>
      <c r="N87" s="76"/>
      <c r="O87" s="76"/>
      <c r="P87" s="76"/>
      <c r="Q87" s="76"/>
      <c r="R87" s="76"/>
      <c r="S87" s="76"/>
    </row>
    <row r="88" spans="1:19">
      <c r="A88" s="389" t="s">
        <v>385</v>
      </c>
      <c r="B88" s="98">
        <v>0</v>
      </c>
      <c r="C88" s="98">
        <v>0</v>
      </c>
      <c r="D88" s="76"/>
      <c r="E88" s="76"/>
      <c r="F88" s="76"/>
      <c r="G88" s="76"/>
      <c r="H88" s="76"/>
      <c r="I88" s="76"/>
      <c r="J88" s="76"/>
      <c r="K88" s="76"/>
      <c r="L88" s="76"/>
      <c r="M88" s="76"/>
      <c r="N88" s="76"/>
      <c r="O88" s="76"/>
      <c r="P88" s="76"/>
      <c r="Q88" s="76"/>
      <c r="R88" s="76"/>
      <c r="S88" s="76"/>
    </row>
    <row r="89" spans="1:19">
      <c r="A89" s="389" t="s">
        <v>386</v>
      </c>
      <c r="B89" s="98">
        <v>0</v>
      </c>
      <c r="C89" s="98">
        <v>0</v>
      </c>
      <c r="D89" s="76"/>
      <c r="E89" s="76"/>
      <c r="F89" s="76"/>
      <c r="G89" s="76"/>
      <c r="H89" s="76"/>
      <c r="I89" s="76"/>
      <c r="J89" s="76"/>
      <c r="K89" s="76"/>
      <c r="L89" s="76"/>
      <c r="M89" s="76"/>
      <c r="N89" s="76"/>
      <c r="O89" s="76"/>
      <c r="P89" s="76"/>
      <c r="Q89" s="76"/>
      <c r="R89" s="76"/>
      <c r="S89" s="76"/>
    </row>
    <row r="90" spans="1:19">
      <c r="A90" s="389" t="s">
        <v>387</v>
      </c>
      <c r="B90" s="98">
        <v>0</v>
      </c>
      <c r="C90" s="98">
        <v>0</v>
      </c>
      <c r="D90" s="76"/>
      <c r="E90" s="76"/>
      <c r="F90" s="76"/>
      <c r="G90" s="76"/>
      <c r="H90" s="76"/>
      <c r="I90" s="76"/>
      <c r="J90" s="76"/>
      <c r="K90" s="76"/>
      <c r="L90" s="76"/>
      <c r="M90" s="76"/>
      <c r="N90" s="76"/>
      <c r="O90" s="76"/>
      <c r="P90" s="76"/>
      <c r="Q90" s="76"/>
      <c r="R90" s="76"/>
      <c r="S90" s="76"/>
    </row>
    <row r="91" spans="1:19">
      <c r="A91" s="389" t="s">
        <v>388</v>
      </c>
      <c r="B91" s="98">
        <v>0</v>
      </c>
      <c r="C91" s="98">
        <v>0</v>
      </c>
      <c r="D91" s="76"/>
      <c r="E91" s="76"/>
      <c r="F91" s="76"/>
      <c r="G91" s="76"/>
      <c r="H91" s="76"/>
      <c r="I91" s="76"/>
      <c r="J91" s="76"/>
      <c r="K91" s="76"/>
      <c r="L91" s="76"/>
      <c r="M91" s="76"/>
      <c r="N91" s="76"/>
      <c r="O91" s="76"/>
      <c r="P91" s="76"/>
      <c r="Q91" s="76"/>
      <c r="R91" s="76"/>
      <c r="S91" s="76"/>
    </row>
    <row r="92" spans="1:19">
      <c r="A92" s="389" t="s">
        <v>389</v>
      </c>
      <c r="B92" s="98">
        <v>0</v>
      </c>
      <c r="C92" s="98">
        <v>0</v>
      </c>
      <c r="D92" s="76"/>
      <c r="E92" s="76"/>
      <c r="F92" s="76"/>
      <c r="G92" s="76"/>
      <c r="H92" s="76"/>
      <c r="I92" s="76"/>
      <c r="J92" s="76"/>
      <c r="K92" s="76"/>
      <c r="L92" s="76"/>
      <c r="M92" s="76"/>
      <c r="N92" s="76"/>
      <c r="O92" s="76"/>
      <c r="P92" s="76"/>
      <c r="Q92" s="76"/>
      <c r="R92" s="76"/>
      <c r="S92" s="76"/>
    </row>
    <row r="93" spans="1:19">
      <c r="A93" s="389" t="s">
        <v>390</v>
      </c>
      <c r="B93" s="98">
        <v>0</v>
      </c>
      <c r="C93" s="98">
        <v>0</v>
      </c>
      <c r="D93" s="76"/>
      <c r="E93" s="76"/>
      <c r="F93" s="76"/>
      <c r="G93" s="76"/>
      <c r="H93" s="76"/>
      <c r="I93" s="76"/>
      <c r="J93" s="76"/>
      <c r="K93" s="76"/>
      <c r="L93" s="76"/>
      <c r="M93" s="76"/>
      <c r="N93" s="76"/>
      <c r="O93" s="76"/>
      <c r="P93" s="76"/>
      <c r="Q93" s="76"/>
      <c r="R93" s="76"/>
      <c r="S93" s="76"/>
    </row>
    <row r="94" spans="1:19">
      <c r="A94" s="389" t="s">
        <v>391</v>
      </c>
      <c r="B94" s="98">
        <v>0</v>
      </c>
      <c r="C94" s="98">
        <v>0</v>
      </c>
      <c r="D94" s="76"/>
      <c r="E94" s="76"/>
      <c r="F94" s="76"/>
      <c r="G94" s="76"/>
      <c r="H94" s="76"/>
      <c r="I94" s="76"/>
      <c r="J94" s="76"/>
      <c r="K94" s="76"/>
      <c r="L94" s="76"/>
      <c r="M94" s="76"/>
      <c r="N94" s="76"/>
      <c r="O94" s="76"/>
      <c r="P94" s="76"/>
      <c r="Q94" s="76"/>
      <c r="R94" s="76"/>
      <c r="S94" s="76"/>
    </row>
    <row r="95" spans="1:19">
      <c r="A95" s="389" t="s">
        <v>392</v>
      </c>
      <c r="B95" s="98">
        <v>0</v>
      </c>
      <c r="C95" s="98">
        <v>0</v>
      </c>
      <c r="D95" s="76"/>
      <c r="E95" s="76"/>
      <c r="F95" s="76"/>
      <c r="G95" s="76"/>
      <c r="H95" s="76"/>
      <c r="I95" s="76"/>
      <c r="J95" s="76"/>
      <c r="K95" s="76"/>
      <c r="L95" s="76"/>
      <c r="M95" s="76"/>
      <c r="N95" s="76"/>
      <c r="O95" s="76"/>
      <c r="P95" s="76"/>
      <c r="Q95" s="76"/>
      <c r="R95" s="76"/>
      <c r="S95" s="76"/>
    </row>
    <row r="96" spans="1:19">
      <c r="A96" s="389" t="s">
        <v>393</v>
      </c>
      <c r="B96" s="98">
        <v>0</v>
      </c>
      <c r="C96" s="98">
        <v>0</v>
      </c>
      <c r="D96" s="76"/>
      <c r="E96" s="76"/>
      <c r="F96" s="76"/>
      <c r="G96" s="76"/>
      <c r="H96" s="76"/>
      <c r="I96" s="76"/>
      <c r="J96" s="76"/>
      <c r="K96" s="76"/>
      <c r="L96" s="76"/>
      <c r="M96" s="76"/>
      <c r="N96" s="76"/>
      <c r="O96" s="76"/>
      <c r="P96" s="76"/>
      <c r="Q96" s="76"/>
      <c r="R96" s="76"/>
      <c r="S96" s="76"/>
    </row>
    <row r="97" spans="1:19">
      <c r="A97" s="389" t="s">
        <v>394</v>
      </c>
      <c r="B97" s="98">
        <v>0</v>
      </c>
      <c r="C97" s="98">
        <v>0</v>
      </c>
      <c r="D97" s="76"/>
      <c r="E97" s="76"/>
      <c r="F97" s="76"/>
      <c r="G97" s="76"/>
      <c r="H97" s="76"/>
      <c r="I97" s="76"/>
      <c r="J97" s="76"/>
      <c r="K97" s="76"/>
      <c r="L97" s="76"/>
      <c r="M97" s="76"/>
      <c r="N97" s="76"/>
      <c r="O97" s="76"/>
      <c r="P97" s="76"/>
      <c r="Q97" s="76"/>
      <c r="R97" s="76"/>
      <c r="S97" s="76"/>
    </row>
    <row r="98" spans="1:19">
      <c r="A98" s="389" t="s">
        <v>395</v>
      </c>
      <c r="B98" s="98">
        <v>0</v>
      </c>
      <c r="C98" s="98">
        <v>0</v>
      </c>
      <c r="D98" s="76"/>
      <c r="E98" s="76"/>
      <c r="F98" s="76"/>
      <c r="G98" s="76"/>
      <c r="H98" s="76"/>
      <c r="I98" s="76"/>
      <c r="J98" s="76"/>
      <c r="K98" s="76"/>
      <c r="L98" s="76"/>
      <c r="M98" s="76"/>
      <c r="N98" s="76"/>
      <c r="O98" s="76"/>
      <c r="P98" s="76"/>
      <c r="Q98" s="76"/>
      <c r="R98" s="76"/>
      <c r="S98" s="76"/>
    </row>
    <row r="99" spans="1:19">
      <c r="A99" s="389" t="s">
        <v>396</v>
      </c>
      <c r="B99" s="98">
        <v>0</v>
      </c>
      <c r="C99" s="98">
        <v>0</v>
      </c>
      <c r="D99" s="76"/>
      <c r="E99" s="76"/>
      <c r="F99" s="76"/>
      <c r="G99" s="76"/>
      <c r="H99" s="76"/>
      <c r="I99" s="76"/>
      <c r="J99" s="76"/>
      <c r="K99" s="76"/>
      <c r="L99" s="76"/>
      <c r="M99" s="76"/>
      <c r="N99" s="76"/>
      <c r="O99" s="76"/>
      <c r="P99" s="76"/>
      <c r="Q99" s="76"/>
      <c r="R99" s="76"/>
      <c r="S99" s="76"/>
    </row>
    <row r="100" spans="1:19">
      <c r="A100" s="389" t="s">
        <v>397</v>
      </c>
      <c r="B100" s="98">
        <v>0</v>
      </c>
      <c r="C100" s="98">
        <v>0</v>
      </c>
      <c r="D100" s="76"/>
      <c r="E100" s="76"/>
      <c r="F100" s="76"/>
      <c r="G100" s="76"/>
      <c r="H100" s="76"/>
      <c r="I100" s="76"/>
      <c r="J100" s="76"/>
      <c r="K100" s="76"/>
      <c r="L100" s="76"/>
      <c r="M100" s="76"/>
      <c r="N100" s="76"/>
      <c r="O100" s="76"/>
      <c r="P100" s="76"/>
      <c r="Q100" s="76"/>
      <c r="R100" s="76"/>
      <c r="S100" s="76"/>
    </row>
    <row r="101" spans="1:19">
      <c r="A101" s="389" t="s">
        <v>398</v>
      </c>
      <c r="B101" s="98">
        <v>0</v>
      </c>
      <c r="C101" s="98">
        <v>0</v>
      </c>
      <c r="D101" s="76"/>
      <c r="E101" s="76"/>
      <c r="F101" s="76"/>
      <c r="G101" s="76"/>
      <c r="H101" s="76"/>
      <c r="I101" s="76"/>
      <c r="J101" s="76"/>
      <c r="K101" s="76"/>
      <c r="L101" s="76"/>
      <c r="M101" s="76"/>
      <c r="N101" s="76"/>
      <c r="O101" s="76"/>
      <c r="P101" s="76"/>
      <c r="Q101" s="76"/>
      <c r="R101" s="76"/>
      <c r="S101" s="76"/>
    </row>
    <row r="102" spans="1:19">
      <c r="A102" s="389" t="s">
        <v>399</v>
      </c>
      <c r="B102" s="98">
        <v>0</v>
      </c>
      <c r="C102" s="98">
        <v>0</v>
      </c>
      <c r="D102" s="76"/>
      <c r="E102" s="76"/>
      <c r="F102" s="76"/>
      <c r="G102" s="76"/>
      <c r="H102" s="76"/>
      <c r="I102" s="76"/>
      <c r="J102" s="76"/>
      <c r="K102" s="76"/>
      <c r="L102" s="76"/>
      <c r="M102" s="76"/>
      <c r="N102" s="76"/>
      <c r="O102" s="76"/>
      <c r="P102" s="76"/>
      <c r="Q102" s="76"/>
      <c r="R102" s="76"/>
      <c r="S102" s="76"/>
    </row>
    <row r="103" spans="1:19">
      <c r="A103" s="389" t="s">
        <v>400</v>
      </c>
      <c r="B103" s="98">
        <v>0</v>
      </c>
      <c r="C103" s="98">
        <v>0</v>
      </c>
      <c r="D103" s="76"/>
      <c r="E103" s="76"/>
      <c r="F103" s="76"/>
      <c r="G103" s="76"/>
      <c r="H103" s="76"/>
      <c r="I103" s="76"/>
      <c r="J103" s="76"/>
      <c r="K103" s="76"/>
      <c r="L103" s="76"/>
      <c r="M103" s="76"/>
      <c r="N103" s="76"/>
      <c r="O103" s="76"/>
      <c r="P103" s="76"/>
      <c r="Q103" s="76"/>
      <c r="R103" s="76"/>
      <c r="S103" s="76"/>
    </row>
    <row r="104" spans="1:19">
      <c r="A104" s="389" t="s">
        <v>401</v>
      </c>
      <c r="B104" s="98">
        <v>0</v>
      </c>
      <c r="C104" s="98">
        <v>0</v>
      </c>
      <c r="D104" s="76"/>
      <c r="E104" s="76"/>
      <c r="F104" s="76"/>
      <c r="G104" s="76"/>
      <c r="H104" s="76"/>
      <c r="I104" s="76"/>
      <c r="J104" s="76"/>
      <c r="K104" s="76"/>
      <c r="L104" s="76"/>
      <c r="M104" s="76"/>
      <c r="N104" s="76"/>
      <c r="O104" s="76"/>
      <c r="P104" s="76"/>
      <c r="Q104" s="76"/>
      <c r="R104" s="76"/>
      <c r="S104" s="76"/>
    </row>
    <row r="105" spans="1:19">
      <c r="A105" s="389" t="s">
        <v>402</v>
      </c>
      <c r="B105" s="98">
        <v>0</v>
      </c>
      <c r="C105" s="98">
        <v>0</v>
      </c>
      <c r="D105" s="76"/>
      <c r="E105" s="76"/>
      <c r="F105" s="76"/>
      <c r="G105" s="76"/>
      <c r="H105" s="76"/>
      <c r="I105" s="76"/>
      <c r="J105" s="76"/>
      <c r="K105" s="76"/>
      <c r="L105" s="76"/>
      <c r="M105" s="76"/>
      <c r="N105" s="76"/>
      <c r="O105" s="76"/>
      <c r="P105" s="76"/>
      <c r="Q105" s="76"/>
      <c r="R105" s="76"/>
      <c r="S105" s="76"/>
    </row>
    <row r="106" spans="1:19">
      <c r="A106" s="389" t="s">
        <v>403</v>
      </c>
      <c r="B106" s="98">
        <v>0</v>
      </c>
      <c r="C106" s="98">
        <v>0</v>
      </c>
      <c r="D106" s="76"/>
      <c r="E106" s="76"/>
      <c r="F106" s="76"/>
      <c r="G106" s="76"/>
      <c r="H106" s="76"/>
      <c r="I106" s="76"/>
      <c r="J106" s="76"/>
      <c r="K106" s="76"/>
      <c r="L106" s="76"/>
      <c r="M106" s="76"/>
      <c r="N106" s="76"/>
      <c r="O106" s="76"/>
      <c r="P106" s="76"/>
      <c r="Q106" s="76"/>
      <c r="R106" s="76"/>
      <c r="S106" s="76"/>
    </row>
    <row r="107" spans="1:19">
      <c r="A107" s="389" t="s">
        <v>404</v>
      </c>
      <c r="B107" s="98">
        <v>0</v>
      </c>
      <c r="C107" s="98">
        <v>0</v>
      </c>
      <c r="D107" s="76"/>
      <c r="E107" s="76"/>
      <c r="F107" s="76"/>
      <c r="G107" s="76"/>
      <c r="H107" s="76"/>
      <c r="I107" s="76"/>
      <c r="J107" s="76"/>
      <c r="K107" s="76"/>
      <c r="L107" s="76"/>
      <c r="M107" s="76"/>
      <c r="N107" s="76"/>
      <c r="O107" s="76"/>
      <c r="P107" s="76"/>
      <c r="Q107" s="76"/>
      <c r="R107" s="76"/>
      <c r="S107" s="76"/>
    </row>
    <row r="108" spans="1:19">
      <c r="A108" s="103"/>
      <c r="B108" s="108"/>
      <c r="C108" s="108"/>
      <c r="D108" s="76"/>
      <c r="E108" s="76"/>
      <c r="F108" s="76"/>
      <c r="G108" s="76"/>
      <c r="H108" s="76"/>
      <c r="I108" s="76"/>
      <c r="J108" s="76"/>
      <c r="K108" s="76"/>
      <c r="L108" s="76"/>
      <c r="M108" s="76"/>
      <c r="N108" s="76"/>
      <c r="O108" s="76"/>
      <c r="P108" s="76"/>
      <c r="Q108" s="76"/>
      <c r="R108" s="76"/>
      <c r="S108" s="76"/>
    </row>
    <row r="109" spans="1:19">
      <c r="A109" s="92" t="s">
        <v>407</v>
      </c>
      <c r="B109" s="108"/>
      <c r="C109" s="108"/>
      <c r="D109" s="76"/>
      <c r="E109" s="76"/>
      <c r="F109" s="76"/>
      <c r="G109" s="76"/>
      <c r="H109" s="76"/>
      <c r="I109" s="76"/>
      <c r="J109" s="76"/>
      <c r="K109" s="76"/>
      <c r="L109" s="76"/>
      <c r="M109" s="76"/>
      <c r="N109" s="76"/>
      <c r="O109" s="76"/>
      <c r="P109" s="76"/>
      <c r="Q109" s="76"/>
      <c r="R109" s="76"/>
      <c r="S109" s="76"/>
    </row>
    <row r="110" spans="1:19">
      <c r="A110" s="104" t="s">
        <v>409</v>
      </c>
      <c r="B110" s="106" t="str">
        <f>B85</f>
        <v>MyCounty</v>
      </c>
      <c r="C110" s="76" t="str">
        <f>C85</f>
        <v>MyRegion</v>
      </c>
      <c r="D110" s="76"/>
      <c r="E110" s="76"/>
      <c r="F110" s="76"/>
      <c r="G110" s="76"/>
      <c r="H110" s="76"/>
      <c r="I110" s="76"/>
      <c r="J110" s="76"/>
      <c r="K110" s="76"/>
      <c r="L110" s="76"/>
      <c r="M110" s="76"/>
      <c r="N110" s="76"/>
      <c r="O110" s="76"/>
      <c r="P110" s="76"/>
      <c r="Q110" s="76"/>
      <c r="R110" s="76"/>
      <c r="S110" s="76"/>
    </row>
    <row r="111" spans="1:19">
      <c r="A111" s="389" t="s">
        <v>383</v>
      </c>
      <c r="B111" s="98">
        <v>0</v>
      </c>
      <c r="C111" s="98">
        <v>0</v>
      </c>
      <c r="D111" s="76"/>
      <c r="E111" s="76"/>
      <c r="F111" s="76"/>
      <c r="G111" s="76"/>
      <c r="H111" s="76"/>
      <c r="I111" s="76"/>
      <c r="J111" s="76"/>
      <c r="K111" s="76"/>
      <c r="L111" s="76"/>
      <c r="M111" s="76"/>
      <c r="N111" s="76"/>
      <c r="O111" s="76"/>
      <c r="P111" s="76"/>
      <c r="Q111" s="76"/>
      <c r="R111" s="76"/>
      <c r="S111" s="76"/>
    </row>
    <row r="112" spans="1:19">
      <c r="A112" s="389" t="s">
        <v>384</v>
      </c>
      <c r="B112" s="98">
        <v>0</v>
      </c>
      <c r="C112" s="98">
        <v>0</v>
      </c>
      <c r="D112" s="76"/>
      <c r="E112" s="76"/>
      <c r="F112" s="76"/>
      <c r="G112" s="76"/>
      <c r="H112" s="76"/>
      <c r="I112" s="76"/>
      <c r="J112" s="76"/>
      <c r="K112" s="76"/>
      <c r="L112" s="76"/>
      <c r="M112" s="76"/>
      <c r="N112" s="76"/>
      <c r="O112" s="76"/>
      <c r="P112" s="76"/>
      <c r="Q112" s="76"/>
      <c r="R112" s="76"/>
      <c r="S112" s="76"/>
    </row>
    <row r="113" spans="1:19">
      <c r="A113" s="389" t="s">
        <v>385</v>
      </c>
      <c r="B113" s="98">
        <v>0</v>
      </c>
      <c r="C113" s="98">
        <v>0</v>
      </c>
      <c r="D113" s="76"/>
      <c r="E113" s="76"/>
      <c r="F113" s="76"/>
      <c r="G113" s="76"/>
      <c r="H113" s="76"/>
      <c r="I113" s="76"/>
      <c r="J113" s="76"/>
      <c r="K113" s="76"/>
      <c r="L113" s="76"/>
      <c r="M113" s="76"/>
      <c r="N113" s="76"/>
      <c r="O113" s="76"/>
      <c r="P113" s="76"/>
      <c r="Q113" s="76"/>
      <c r="R113" s="76"/>
      <c r="S113" s="76"/>
    </row>
    <row r="114" spans="1:19">
      <c r="A114" s="389" t="s">
        <v>386</v>
      </c>
      <c r="B114" s="98">
        <v>0</v>
      </c>
      <c r="C114" s="98">
        <v>0</v>
      </c>
      <c r="D114" s="76"/>
      <c r="E114" s="76"/>
      <c r="F114" s="76"/>
      <c r="G114" s="76"/>
      <c r="H114" s="76"/>
      <c r="I114" s="76"/>
      <c r="J114" s="76"/>
      <c r="K114" s="76"/>
      <c r="L114" s="76"/>
      <c r="M114" s="76"/>
      <c r="N114" s="76"/>
      <c r="O114" s="76"/>
      <c r="P114" s="76"/>
      <c r="Q114" s="76"/>
      <c r="R114" s="76"/>
      <c r="S114" s="76"/>
    </row>
    <row r="115" spans="1:19">
      <c r="A115" s="389" t="s">
        <v>387</v>
      </c>
      <c r="B115" s="98">
        <v>0</v>
      </c>
      <c r="C115" s="98">
        <v>0</v>
      </c>
      <c r="D115" s="76"/>
      <c r="E115" s="76"/>
      <c r="F115" s="76"/>
      <c r="G115" s="76"/>
      <c r="H115" s="76"/>
      <c r="I115" s="76"/>
      <c r="J115" s="76"/>
      <c r="K115" s="76"/>
      <c r="L115" s="76"/>
      <c r="M115" s="76"/>
      <c r="N115" s="76"/>
      <c r="O115" s="76"/>
      <c r="P115" s="76"/>
      <c r="Q115" s="76"/>
      <c r="R115" s="76"/>
      <c r="S115" s="76"/>
    </row>
    <row r="116" spans="1:19">
      <c r="A116" s="389" t="s">
        <v>388</v>
      </c>
      <c r="B116" s="98">
        <v>0</v>
      </c>
      <c r="C116" s="98">
        <v>0</v>
      </c>
      <c r="D116" s="76"/>
      <c r="E116" s="76"/>
      <c r="F116" s="76"/>
      <c r="G116" s="76"/>
      <c r="H116" s="76"/>
      <c r="I116" s="76"/>
      <c r="J116" s="76"/>
      <c r="K116" s="76"/>
      <c r="L116" s="76"/>
      <c r="M116" s="76"/>
      <c r="N116" s="76"/>
      <c r="O116" s="76"/>
      <c r="P116" s="76"/>
      <c r="Q116" s="76"/>
      <c r="R116" s="76"/>
      <c r="S116" s="76"/>
    </row>
    <row r="117" spans="1:19">
      <c r="A117" s="389" t="s">
        <v>389</v>
      </c>
      <c r="B117" s="98">
        <v>0</v>
      </c>
      <c r="C117" s="98">
        <v>0</v>
      </c>
      <c r="D117" s="76"/>
      <c r="E117" s="76"/>
      <c r="F117" s="76"/>
      <c r="G117" s="76"/>
      <c r="H117" s="76"/>
      <c r="I117" s="76"/>
      <c r="J117" s="76"/>
      <c r="K117" s="76"/>
      <c r="L117" s="76"/>
      <c r="M117" s="76"/>
      <c r="N117" s="76"/>
      <c r="O117" s="76"/>
      <c r="P117" s="76"/>
      <c r="Q117" s="76"/>
      <c r="R117" s="76"/>
      <c r="S117" s="76"/>
    </row>
    <row r="118" spans="1:19">
      <c r="A118" s="389" t="s">
        <v>390</v>
      </c>
      <c r="B118" s="98">
        <v>0</v>
      </c>
      <c r="C118" s="98">
        <v>0</v>
      </c>
      <c r="D118" s="76"/>
      <c r="E118" s="76"/>
      <c r="F118" s="76"/>
      <c r="G118" s="76"/>
      <c r="H118" s="76"/>
      <c r="I118" s="76"/>
      <c r="J118" s="76"/>
      <c r="K118" s="76"/>
      <c r="L118" s="76"/>
      <c r="M118" s="76"/>
      <c r="N118" s="76"/>
      <c r="O118" s="76"/>
      <c r="P118" s="76"/>
      <c r="Q118" s="76"/>
      <c r="R118" s="76"/>
      <c r="S118" s="76"/>
    </row>
    <row r="119" spans="1:19">
      <c r="A119" s="389" t="s">
        <v>391</v>
      </c>
      <c r="B119" s="98">
        <v>0</v>
      </c>
      <c r="C119" s="98">
        <v>0</v>
      </c>
      <c r="D119" s="76"/>
      <c r="E119" s="76"/>
      <c r="F119" s="76"/>
      <c r="G119" s="76"/>
      <c r="H119" s="76"/>
      <c r="I119" s="76"/>
      <c r="J119" s="76"/>
      <c r="K119" s="76"/>
      <c r="L119" s="76"/>
      <c r="M119" s="76"/>
      <c r="N119" s="76"/>
      <c r="O119" s="76"/>
      <c r="P119" s="76"/>
      <c r="Q119" s="76"/>
      <c r="R119" s="76"/>
      <c r="S119" s="76"/>
    </row>
    <row r="120" spans="1:19">
      <c r="A120" s="389" t="s">
        <v>392</v>
      </c>
      <c r="B120" s="98">
        <v>0</v>
      </c>
      <c r="C120" s="98">
        <v>0</v>
      </c>
      <c r="D120" s="76"/>
      <c r="E120" s="76"/>
      <c r="F120" s="76"/>
      <c r="G120" s="76"/>
      <c r="H120" s="76"/>
      <c r="I120" s="76"/>
      <c r="J120" s="76"/>
      <c r="K120" s="76"/>
      <c r="L120" s="76"/>
      <c r="M120" s="76"/>
      <c r="N120" s="76"/>
      <c r="O120" s="76"/>
      <c r="P120" s="76"/>
      <c r="Q120" s="76"/>
      <c r="R120" s="76"/>
      <c r="S120" s="76"/>
    </row>
    <row r="121" spans="1:19">
      <c r="A121" s="389" t="s">
        <v>393</v>
      </c>
      <c r="B121" s="98">
        <v>0</v>
      </c>
      <c r="C121" s="98">
        <v>0</v>
      </c>
      <c r="D121" s="76"/>
      <c r="E121" s="76"/>
      <c r="F121" s="76"/>
      <c r="G121" s="76"/>
      <c r="H121" s="76"/>
      <c r="I121" s="76"/>
      <c r="J121" s="76"/>
      <c r="K121" s="76"/>
      <c r="L121" s="76"/>
      <c r="M121" s="76"/>
      <c r="N121" s="76"/>
      <c r="O121" s="76"/>
      <c r="P121" s="76"/>
      <c r="Q121" s="76"/>
      <c r="R121" s="76"/>
      <c r="S121" s="76"/>
    </row>
    <row r="122" spans="1:19">
      <c r="A122" s="389" t="s">
        <v>394</v>
      </c>
      <c r="B122" s="98">
        <v>0</v>
      </c>
      <c r="C122" s="98">
        <v>0</v>
      </c>
      <c r="D122" s="76"/>
      <c r="E122" s="76"/>
      <c r="F122" s="76"/>
      <c r="G122" s="76"/>
      <c r="H122" s="76"/>
      <c r="I122" s="76"/>
      <c r="J122" s="76"/>
      <c r="K122" s="76"/>
      <c r="L122" s="76"/>
      <c r="M122" s="76"/>
      <c r="N122" s="76"/>
      <c r="O122" s="76"/>
      <c r="P122" s="76"/>
      <c r="Q122" s="76"/>
      <c r="R122" s="76"/>
      <c r="S122" s="76"/>
    </row>
    <row r="123" spans="1:19">
      <c r="A123" s="389" t="s">
        <v>395</v>
      </c>
      <c r="B123" s="98">
        <v>0</v>
      </c>
      <c r="C123" s="98">
        <v>0</v>
      </c>
      <c r="D123" s="76"/>
      <c r="E123" s="76"/>
      <c r="F123" s="76"/>
      <c r="G123" s="76"/>
      <c r="H123" s="76"/>
      <c r="I123" s="76"/>
      <c r="J123" s="76"/>
      <c r="K123" s="76"/>
      <c r="L123" s="76"/>
      <c r="M123" s="76"/>
      <c r="N123" s="76"/>
      <c r="O123" s="76"/>
      <c r="P123" s="76"/>
      <c r="Q123" s="76"/>
      <c r="R123" s="76"/>
      <c r="S123" s="76"/>
    </row>
    <row r="124" spans="1:19">
      <c r="A124" s="389" t="s">
        <v>396</v>
      </c>
      <c r="B124" s="98">
        <v>0</v>
      </c>
      <c r="C124" s="98">
        <v>0</v>
      </c>
      <c r="D124" s="76"/>
      <c r="E124" s="76"/>
      <c r="F124" s="76"/>
      <c r="G124" s="76"/>
      <c r="H124" s="76"/>
      <c r="I124" s="76"/>
      <c r="J124" s="76"/>
      <c r="K124" s="76"/>
      <c r="L124" s="76"/>
      <c r="M124" s="76"/>
      <c r="N124" s="76"/>
      <c r="O124" s="76"/>
      <c r="P124" s="76"/>
      <c r="Q124" s="76"/>
      <c r="R124" s="76"/>
      <c r="S124" s="76"/>
    </row>
    <row r="125" spans="1:19">
      <c r="A125" s="389" t="s">
        <v>397</v>
      </c>
      <c r="B125" s="98">
        <v>0</v>
      </c>
      <c r="C125" s="98">
        <v>0</v>
      </c>
      <c r="D125" s="76"/>
      <c r="E125" s="76"/>
      <c r="F125" s="76"/>
      <c r="G125" s="76"/>
      <c r="H125" s="76"/>
      <c r="I125" s="76"/>
      <c r="J125" s="76"/>
      <c r="K125" s="76"/>
      <c r="L125" s="76"/>
      <c r="M125" s="76"/>
      <c r="N125" s="76"/>
      <c r="O125" s="76"/>
      <c r="P125" s="76"/>
      <c r="Q125" s="76"/>
      <c r="R125" s="76"/>
      <c r="S125" s="76"/>
    </row>
    <row r="126" spans="1:19">
      <c r="A126" s="389" t="s">
        <v>398</v>
      </c>
      <c r="B126" s="98">
        <v>0</v>
      </c>
      <c r="C126" s="98">
        <v>0</v>
      </c>
      <c r="D126" s="76"/>
      <c r="E126" s="76"/>
      <c r="F126" s="76"/>
      <c r="G126" s="76"/>
      <c r="H126" s="76"/>
      <c r="I126" s="76"/>
      <c r="J126" s="76"/>
      <c r="K126" s="76"/>
      <c r="L126" s="76"/>
      <c r="M126" s="76"/>
      <c r="N126" s="76"/>
      <c r="O126" s="76"/>
      <c r="P126" s="76"/>
      <c r="Q126" s="76"/>
      <c r="R126" s="76"/>
      <c r="S126" s="76"/>
    </row>
    <row r="127" spans="1:19">
      <c r="A127" s="389" t="s">
        <v>399</v>
      </c>
      <c r="B127" s="98">
        <v>0</v>
      </c>
      <c r="C127" s="98">
        <v>0</v>
      </c>
      <c r="D127" s="76"/>
      <c r="E127" s="76"/>
      <c r="F127" s="76"/>
      <c r="G127" s="76"/>
      <c r="H127" s="76"/>
      <c r="I127" s="76"/>
      <c r="J127" s="76"/>
      <c r="K127" s="76"/>
      <c r="L127" s="76"/>
      <c r="M127" s="76"/>
      <c r="N127" s="76"/>
      <c r="O127" s="76"/>
      <c r="P127" s="76"/>
      <c r="Q127" s="76"/>
      <c r="R127" s="76"/>
      <c r="S127" s="76"/>
    </row>
    <row r="128" spans="1:19">
      <c r="A128" s="389" t="s">
        <v>400</v>
      </c>
      <c r="B128" s="98">
        <v>0</v>
      </c>
      <c r="C128" s="98">
        <v>0</v>
      </c>
      <c r="D128" s="76"/>
      <c r="E128" s="76"/>
      <c r="F128" s="76"/>
      <c r="G128" s="76"/>
      <c r="H128" s="76"/>
      <c r="I128" s="76"/>
      <c r="J128" s="76"/>
      <c r="K128" s="76"/>
      <c r="L128" s="76"/>
      <c r="M128" s="76"/>
      <c r="N128" s="76"/>
      <c r="O128" s="76"/>
      <c r="P128" s="76"/>
      <c r="Q128" s="76"/>
      <c r="R128" s="76"/>
      <c r="S128" s="76"/>
    </row>
    <row r="129" spans="1:19">
      <c r="A129" s="389" t="s">
        <v>401</v>
      </c>
      <c r="B129" s="98">
        <v>0</v>
      </c>
      <c r="C129" s="98">
        <v>0</v>
      </c>
      <c r="D129" s="76"/>
      <c r="E129" s="76"/>
      <c r="F129" s="76"/>
      <c r="G129" s="76"/>
      <c r="H129" s="76"/>
      <c r="I129" s="76"/>
      <c r="J129" s="76"/>
      <c r="K129" s="76"/>
      <c r="L129" s="76"/>
      <c r="M129" s="76"/>
      <c r="N129" s="76"/>
      <c r="O129" s="76"/>
      <c r="P129" s="76"/>
      <c r="Q129" s="76"/>
      <c r="R129" s="76"/>
      <c r="S129" s="76"/>
    </row>
    <row r="130" spans="1:19">
      <c r="A130" s="389" t="s">
        <v>402</v>
      </c>
      <c r="B130" s="98">
        <v>0</v>
      </c>
      <c r="C130" s="98">
        <v>0</v>
      </c>
      <c r="D130" s="76"/>
      <c r="E130" s="76"/>
      <c r="F130" s="76"/>
      <c r="G130" s="76"/>
      <c r="H130" s="76"/>
      <c r="I130" s="76"/>
      <c r="J130" s="76"/>
      <c r="K130" s="76"/>
      <c r="L130" s="76"/>
      <c r="M130" s="76"/>
      <c r="N130" s="76"/>
      <c r="O130" s="76"/>
      <c r="P130" s="76"/>
      <c r="Q130" s="76"/>
      <c r="R130" s="76"/>
      <c r="S130" s="76"/>
    </row>
    <row r="131" spans="1:19">
      <c r="A131" s="389" t="s">
        <v>403</v>
      </c>
      <c r="B131" s="98">
        <v>0</v>
      </c>
      <c r="C131" s="98">
        <v>0</v>
      </c>
      <c r="D131" s="76"/>
      <c r="E131" s="76"/>
      <c r="F131" s="76"/>
      <c r="G131" s="76"/>
      <c r="H131" s="76"/>
      <c r="I131" s="76"/>
      <c r="J131" s="76"/>
      <c r="K131" s="76"/>
      <c r="L131" s="76"/>
      <c r="M131" s="76"/>
      <c r="N131" s="76"/>
      <c r="O131" s="76"/>
      <c r="P131" s="76"/>
      <c r="Q131" s="76"/>
      <c r="R131" s="76"/>
      <c r="S131" s="76"/>
    </row>
    <row r="132" spans="1:19">
      <c r="A132" s="389" t="s">
        <v>404</v>
      </c>
      <c r="B132" s="98">
        <v>0</v>
      </c>
      <c r="C132" s="98">
        <v>0</v>
      </c>
      <c r="D132" s="76"/>
      <c r="E132" s="76"/>
      <c r="F132" s="76"/>
      <c r="G132" s="76"/>
      <c r="H132" s="76"/>
      <c r="I132" s="76"/>
      <c r="J132" s="76"/>
      <c r="K132" s="76"/>
      <c r="L132" s="76"/>
      <c r="M132" s="76"/>
      <c r="N132" s="76"/>
      <c r="O132" s="76"/>
      <c r="P132" s="76"/>
      <c r="Q132" s="76"/>
      <c r="R132" s="76"/>
      <c r="S132" s="76"/>
    </row>
    <row r="133" spans="1:19">
      <c r="A133" s="103"/>
      <c r="B133" s="108"/>
      <c r="C133" s="108"/>
      <c r="D133" s="76"/>
      <c r="E133" s="76"/>
      <c r="F133" s="76"/>
      <c r="G133" s="76"/>
      <c r="H133" s="76"/>
      <c r="I133" s="76"/>
      <c r="J133" s="76"/>
      <c r="K133" s="76"/>
      <c r="L133" s="76"/>
      <c r="M133" s="76"/>
      <c r="N133" s="76"/>
      <c r="O133" s="76"/>
      <c r="P133" s="76"/>
      <c r="Q133" s="76"/>
      <c r="R133" s="76"/>
      <c r="S133" s="76"/>
    </row>
    <row r="134" spans="1:19">
      <c r="A134" s="92" t="s">
        <v>407</v>
      </c>
      <c r="B134" s="108"/>
      <c r="C134" s="108"/>
      <c r="D134" s="76"/>
      <c r="E134" s="76"/>
      <c r="F134" s="76"/>
      <c r="G134" s="76"/>
      <c r="H134" s="76"/>
      <c r="I134" s="76"/>
      <c r="J134" s="76"/>
      <c r="K134" s="76"/>
      <c r="L134" s="76"/>
      <c r="M134" s="76"/>
      <c r="N134" s="76"/>
      <c r="O134" s="76"/>
      <c r="P134" s="76"/>
      <c r="Q134" s="76"/>
      <c r="R134" s="76"/>
      <c r="S134" s="76"/>
    </row>
    <row r="135" spans="1:19">
      <c r="A135" s="104" t="s">
        <v>410</v>
      </c>
      <c r="B135" s="106" t="str">
        <f>B110</f>
        <v>MyCounty</v>
      </c>
      <c r="C135" s="76" t="str">
        <f>C110</f>
        <v>MyRegion</v>
      </c>
      <c r="D135" s="76"/>
      <c r="E135" s="76"/>
      <c r="F135" s="76"/>
      <c r="G135" s="76"/>
      <c r="H135" s="76"/>
      <c r="I135" s="76"/>
      <c r="J135" s="76"/>
      <c r="K135" s="76"/>
      <c r="L135" s="76"/>
      <c r="M135" s="76"/>
      <c r="N135" s="76"/>
      <c r="O135" s="76"/>
      <c r="P135" s="76"/>
      <c r="Q135" s="76"/>
      <c r="R135" s="76"/>
      <c r="S135" s="76"/>
    </row>
    <row r="136" spans="1:19">
      <c r="A136" s="389" t="s">
        <v>383</v>
      </c>
      <c r="B136" s="98">
        <v>0</v>
      </c>
      <c r="C136" s="98">
        <v>0</v>
      </c>
      <c r="D136" s="76"/>
      <c r="E136" s="76"/>
      <c r="F136" s="76"/>
      <c r="G136" s="76"/>
      <c r="H136" s="76"/>
      <c r="I136" s="76"/>
      <c r="J136" s="76"/>
      <c r="K136" s="76"/>
      <c r="L136" s="76"/>
      <c r="M136" s="76"/>
      <c r="N136" s="76"/>
      <c r="O136" s="76"/>
      <c r="P136" s="76"/>
      <c r="Q136" s="76"/>
      <c r="R136" s="76"/>
      <c r="S136" s="76"/>
    </row>
    <row r="137" spans="1:19">
      <c r="A137" s="389" t="s">
        <v>384</v>
      </c>
      <c r="B137" s="98">
        <v>0</v>
      </c>
      <c r="C137" s="98">
        <v>0</v>
      </c>
      <c r="D137" s="76"/>
      <c r="E137" s="76"/>
      <c r="F137" s="76"/>
      <c r="G137" s="76"/>
      <c r="H137" s="76"/>
      <c r="I137" s="76"/>
      <c r="J137" s="76"/>
      <c r="K137" s="76"/>
      <c r="L137" s="76"/>
      <c r="M137" s="76"/>
      <c r="N137" s="76"/>
      <c r="O137" s="76"/>
      <c r="P137" s="76"/>
      <c r="Q137" s="76"/>
      <c r="R137" s="76"/>
      <c r="S137" s="76"/>
    </row>
    <row r="138" spans="1:19">
      <c r="A138" s="389" t="s">
        <v>385</v>
      </c>
      <c r="B138" s="98">
        <v>0</v>
      </c>
      <c r="C138" s="98">
        <v>0</v>
      </c>
      <c r="D138" s="76"/>
      <c r="E138" s="76"/>
      <c r="F138" s="76"/>
      <c r="G138" s="76"/>
      <c r="H138" s="76"/>
      <c r="I138" s="76"/>
      <c r="J138" s="76"/>
      <c r="K138" s="76"/>
      <c r="L138" s="76"/>
      <c r="M138" s="76"/>
      <c r="N138" s="76"/>
      <c r="O138" s="76"/>
      <c r="P138" s="76"/>
      <c r="Q138" s="76"/>
      <c r="R138" s="76"/>
      <c r="S138" s="76"/>
    </row>
    <row r="139" spans="1:19">
      <c r="A139" s="389" t="s">
        <v>386</v>
      </c>
      <c r="B139" s="98">
        <v>0</v>
      </c>
      <c r="C139" s="98">
        <v>0</v>
      </c>
      <c r="D139" s="76"/>
      <c r="E139" s="76"/>
      <c r="F139" s="76"/>
      <c r="G139" s="76"/>
      <c r="H139" s="76"/>
      <c r="I139" s="76"/>
      <c r="J139" s="76"/>
      <c r="K139" s="76"/>
      <c r="L139" s="76"/>
      <c r="M139" s="76"/>
      <c r="N139" s="76"/>
      <c r="O139" s="76"/>
      <c r="P139" s="76"/>
      <c r="Q139" s="76"/>
      <c r="R139" s="76"/>
      <c r="S139" s="76"/>
    </row>
    <row r="140" spans="1:19">
      <c r="A140" s="389" t="s">
        <v>387</v>
      </c>
      <c r="B140" s="98">
        <v>0</v>
      </c>
      <c r="C140" s="98">
        <v>0</v>
      </c>
      <c r="D140" s="76"/>
      <c r="E140" s="76"/>
      <c r="F140" s="76"/>
      <c r="G140" s="76"/>
      <c r="H140" s="76"/>
      <c r="I140" s="76"/>
      <c r="J140" s="76"/>
      <c r="K140" s="76"/>
      <c r="L140" s="76"/>
      <c r="M140" s="76"/>
      <c r="N140" s="76"/>
      <c r="O140" s="76"/>
      <c r="P140" s="76"/>
      <c r="Q140" s="76"/>
      <c r="R140" s="76"/>
      <c r="S140" s="76"/>
    </row>
    <row r="141" spans="1:19">
      <c r="A141" s="389" t="s">
        <v>388</v>
      </c>
      <c r="B141" s="98">
        <v>0</v>
      </c>
      <c r="C141" s="98">
        <v>0</v>
      </c>
      <c r="D141" s="76"/>
      <c r="E141" s="76"/>
      <c r="F141" s="76"/>
      <c r="G141" s="76"/>
      <c r="H141" s="76"/>
      <c r="I141" s="76"/>
      <c r="J141" s="76"/>
      <c r="K141" s="76"/>
      <c r="L141" s="76"/>
      <c r="M141" s="76"/>
      <c r="N141" s="76"/>
      <c r="O141" s="76"/>
      <c r="P141" s="76"/>
      <c r="Q141" s="76"/>
      <c r="R141" s="76"/>
      <c r="S141" s="76"/>
    </row>
    <row r="142" spans="1:19">
      <c r="A142" s="389" t="s">
        <v>389</v>
      </c>
      <c r="B142" s="98">
        <v>0</v>
      </c>
      <c r="C142" s="98">
        <v>0</v>
      </c>
      <c r="D142" s="76"/>
      <c r="E142" s="76"/>
      <c r="F142" s="76"/>
      <c r="G142" s="76"/>
      <c r="H142" s="76"/>
      <c r="I142" s="76"/>
      <c r="J142" s="76"/>
      <c r="K142" s="76"/>
      <c r="L142" s="76"/>
      <c r="M142" s="76"/>
      <c r="N142" s="76"/>
      <c r="O142" s="76"/>
      <c r="P142" s="76"/>
      <c r="Q142" s="76"/>
      <c r="R142" s="76"/>
      <c r="S142" s="76"/>
    </row>
    <row r="143" spans="1:19">
      <c r="A143" s="389" t="s">
        <v>390</v>
      </c>
      <c r="B143" s="98">
        <v>0</v>
      </c>
      <c r="C143" s="98">
        <v>0</v>
      </c>
      <c r="D143" s="76"/>
      <c r="E143" s="76"/>
      <c r="F143" s="76"/>
      <c r="G143" s="76"/>
      <c r="H143" s="76"/>
      <c r="I143" s="76"/>
      <c r="J143" s="76"/>
      <c r="K143" s="76"/>
      <c r="L143" s="76"/>
      <c r="M143" s="76"/>
      <c r="N143" s="76"/>
      <c r="O143" s="76"/>
      <c r="P143" s="76"/>
      <c r="Q143" s="76"/>
      <c r="R143" s="76"/>
      <c r="S143" s="76"/>
    </row>
    <row r="144" spans="1:19">
      <c r="A144" s="389" t="s">
        <v>391</v>
      </c>
      <c r="B144" s="98">
        <v>0</v>
      </c>
      <c r="C144" s="98">
        <v>0</v>
      </c>
      <c r="D144" s="76"/>
      <c r="E144" s="76"/>
      <c r="F144" s="76"/>
      <c r="G144" s="76"/>
      <c r="H144" s="76"/>
      <c r="I144" s="76"/>
      <c r="J144" s="76"/>
      <c r="K144" s="76"/>
      <c r="L144" s="76"/>
      <c r="M144" s="76"/>
      <c r="N144" s="76"/>
      <c r="O144" s="76"/>
      <c r="P144" s="76"/>
      <c r="Q144" s="76"/>
      <c r="R144" s="76"/>
      <c r="S144" s="76"/>
    </row>
    <row r="145" spans="1:19">
      <c r="A145" s="389" t="s">
        <v>392</v>
      </c>
      <c r="B145" s="98">
        <v>0</v>
      </c>
      <c r="C145" s="98">
        <v>0</v>
      </c>
      <c r="D145" s="76"/>
      <c r="E145" s="76"/>
      <c r="F145" s="76"/>
      <c r="G145" s="76"/>
      <c r="H145" s="76"/>
      <c r="I145" s="76"/>
      <c r="J145" s="76"/>
      <c r="K145" s="76"/>
      <c r="L145" s="76"/>
      <c r="M145" s="76"/>
      <c r="N145" s="76"/>
      <c r="O145" s="76"/>
      <c r="P145" s="76"/>
      <c r="Q145" s="76"/>
      <c r="R145" s="76"/>
      <c r="S145" s="76"/>
    </row>
    <row r="146" spans="1:19">
      <c r="A146" s="389" t="s">
        <v>393</v>
      </c>
      <c r="B146" s="98">
        <v>0</v>
      </c>
      <c r="C146" s="98">
        <v>0</v>
      </c>
      <c r="D146" s="76"/>
      <c r="E146" s="76"/>
      <c r="F146" s="76"/>
      <c r="G146" s="76"/>
      <c r="H146" s="76"/>
      <c r="I146" s="76"/>
      <c r="J146" s="76"/>
      <c r="K146" s="76"/>
      <c r="L146" s="76"/>
      <c r="M146" s="76"/>
      <c r="N146" s="76"/>
      <c r="O146" s="76"/>
      <c r="P146" s="76"/>
      <c r="Q146" s="76"/>
      <c r="R146" s="76"/>
      <c r="S146" s="76"/>
    </row>
    <row r="147" spans="1:19">
      <c r="A147" s="389" t="s">
        <v>394</v>
      </c>
      <c r="B147" s="98">
        <v>0</v>
      </c>
      <c r="C147" s="98">
        <v>0</v>
      </c>
      <c r="D147" s="76"/>
      <c r="E147" s="76"/>
      <c r="F147" s="76"/>
      <c r="G147" s="76"/>
      <c r="H147" s="76"/>
      <c r="I147" s="76"/>
      <c r="J147" s="76"/>
      <c r="K147" s="76"/>
      <c r="L147" s="76"/>
      <c r="M147" s="76"/>
      <c r="N147" s="76"/>
      <c r="O147" s="76"/>
      <c r="P147" s="76"/>
      <c r="Q147" s="76"/>
      <c r="R147" s="76"/>
      <c r="S147" s="76"/>
    </row>
    <row r="148" spans="1:19">
      <c r="A148" s="389" t="s">
        <v>395</v>
      </c>
      <c r="B148" s="98">
        <v>0</v>
      </c>
      <c r="C148" s="98">
        <v>0</v>
      </c>
      <c r="D148" s="76"/>
      <c r="E148" s="76"/>
      <c r="F148" s="76"/>
      <c r="G148" s="76"/>
      <c r="H148" s="76"/>
      <c r="I148" s="76"/>
      <c r="J148" s="76"/>
      <c r="K148" s="76"/>
      <c r="L148" s="76"/>
      <c r="M148" s="76"/>
      <c r="N148" s="76"/>
      <c r="O148" s="76"/>
      <c r="P148" s="76"/>
      <c r="Q148" s="76"/>
      <c r="R148" s="76"/>
      <c r="S148" s="76"/>
    </row>
    <row r="149" spans="1:19">
      <c r="A149" s="389" t="s">
        <v>396</v>
      </c>
      <c r="B149" s="98">
        <v>0</v>
      </c>
      <c r="C149" s="98">
        <v>0</v>
      </c>
      <c r="D149" s="76"/>
      <c r="E149" s="76"/>
      <c r="F149" s="76"/>
      <c r="G149" s="76"/>
      <c r="H149" s="76"/>
      <c r="I149" s="76"/>
      <c r="J149" s="76"/>
      <c r="K149" s="76"/>
      <c r="L149" s="76"/>
      <c r="M149" s="76"/>
      <c r="N149" s="76"/>
      <c r="O149" s="76"/>
      <c r="P149" s="76"/>
      <c r="Q149" s="76"/>
      <c r="R149" s="76"/>
      <c r="S149" s="76"/>
    </row>
    <row r="150" spans="1:19">
      <c r="A150" s="389" t="s">
        <v>397</v>
      </c>
      <c r="B150" s="98">
        <v>0</v>
      </c>
      <c r="C150" s="98">
        <v>0</v>
      </c>
      <c r="D150" s="76"/>
      <c r="E150" s="76"/>
      <c r="F150" s="76"/>
      <c r="G150" s="76"/>
      <c r="H150" s="76"/>
      <c r="I150" s="76"/>
      <c r="J150" s="76"/>
      <c r="K150" s="76"/>
      <c r="L150" s="76"/>
      <c r="M150" s="76"/>
      <c r="N150" s="76"/>
      <c r="O150" s="76"/>
      <c r="P150" s="76"/>
      <c r="Q150" s="76"/>
      <c r="R150" s="76"/>
      <c r="S150" s="76"/>
    </row>
    <row r="151" spans="1:19">
      <c r="A151" s="389" t="s">
        <v>398</v>
      </c>
      <c r="B151" s="98">
        <v>0</v>
      </c>
      <c r="C151" s="98">
        <v>0</v>
      </c>
      <c r="D151" s="76"/>
      <c r="E151" s="76"/>
      <c r="F151" s="76"/>
      <c r="G151" s="76"/>
      <c r="H151" s="76"/>
      <c r="I151" s="76"/>
      <c r="J151" s="76"/>
      <c r="K151" s="76"/>
      <c r="L151" s="76"/>
      <c r="M151" s="76"/>
      <c r="N151" s="76"/>
      <c r="O151" s="76"/>
      <c r="P151" s="76"/>
      <c r="Q151" s="76"/>
      <c r="R151" s="76"/>
      <c r="S151" s="76"/>
    </row>
    <row r="152" spans="1:19">
      <c r="A152" s="389" t="s">
        <v>399</v>
      </c>
      <c r="B152" s="98">
        <v>0</v>
      </c>
      <c r="C152" s="98">
        <v>0</v>
      </c>
      <c r="D152" s="76"/>
      <c r="E152" s="76"/>
      <c r="F152" s="76"/>
      <c r="G152" s="76"/>
      <c r="H152" s="76"/>
      <c r="I152" s="76"/>
      <c r="J152" s="76"/>
      <c r="K152" s="76"/>
      <c r="L152" s="76"/>
      <c r="M152" s="76"/>
      <c r="N152" s="76"/>
      <c r="O152" s="76"/>
      <c r="P152" s="76"/>
      <c r="Q152" s="76"/>
      <c r="R152" s="76"/>
      <c r="S152" s="76"/>
    </row>
    <row r="153" spans="1:19">
      <c r="A153" s="389" t="s">
        <v>400</v>
      </c>
      <c r="B153" s="98">
        <v>0</v>
      </c>
      <c r="C153" s="98">
        <v>0</v>
      </c>
      <c r="D153" s="76"/>
      <c r="E153" s="76"/>
      <c r="F153" s="76"/>
      <c r="G153" s="76"/>
      <c r="H153" s="76"/>
      <c r="I153" s="76"/>
      <c r="J153" s="76"/>
      <c r="K153" s="76"/>
      <c r="L153" s="76"/>
      <c r="M153" s="76"/>
      <c r="N153" s="76"/>
      <c r="O153" s="76"/>
      <c r="P153" s="76"/>
      <c r="Q153" s="76"/>
      <c r="R153" s="76"/>
      <c r="S153" s="76"/>
    </row>
    <row r="154" spans="1:19">
      <c r="A154" s="389" t="s">
        <v>401</v>
      </c>
      <c r="B154" s="98">
        <v>0</v>
      </c>
      <c r="C154" s="98">
        <v>0</v>
      </c>
      <c r="D154" s="76"/>
      <c r="E154" s="76"/>
      <c r="F154" s="76"/>
      <c r="G154" s="76"/>
      <c r="H154" s="76"/>
      <c r="I154" s="76"/>
      <c r="J154" s="76"/>
      <c r="K154" s="76"/>
      <c r="L154" s="76"/>
      <c r="M154" s="76"/>
      <c r="N154" s="76"/>
      <c r="O154" s="76"/>
      <c r="P154" s="76"/>
      <c r="Q154" s="76"/>
      <c r="R154" s="76"/>
      <c r="S154" s="76"/>
    </row>
    <row r="155" spans="1:19">
      <c r="A155" s="389" t="s">
        <v>402</v>
      </c>
      <c r="B155" s="98">
        <v>0</v>
      </c>
      <c r="C155" s="98">
        <v>0</v>
      </c>
      <c r="D155" s="76"/>
      <c r="E155" s="76"/>
      <c r="F155" s="76"/>
      <c r="G155" s="76"/>
      <c r="H155" s="76"/>
      <c r="I155" s="76"/>
      <c r="J155" s="76"/>
      <c r="K155" s="76"/>
      <c r="L155" s="76"/>
      <c r="M155" s="76"/>
      <c r="N155" s="76"/>
      <c r="O155" s="76"/>
      <c r="P155" s="76"/>
      <c r="Q155" s="76"/>
      <c r="R155" s="76"/>
      <c r="S155" s="76"/>
    </row>
    <row r="156" spans="1:19">
      <c r="A156" s="389" t="s">
        <v>403</v>
      </c>
      <c r="B156" s="98">
        <v>0</v>
      </c>
      <c r="C156" s="98">
        <v>0</v>
      </c>
      <c r="D156" s="76"/>
      <c r="E156" s="76"/>
      <c r="F156" s="76"/>
      <c r="G156" s="76"/>
      <c r="H156" s="76"/>
      <c r="I156" s="76"/>
      <c r="J156" s="76"/>
      <c r="K156" s="76"/>
      <c r="L156" s="76"/>
      <c r="M156" s="76"/>
      <c r="N156" s="76"/>
      <c r="O156" s="76"/>
      <c r="P156" s="76"/>
      <c r="Q156" s="76"/>
      <c r="R156" s="76"/>
      <c r="S156" s="76"/>
    </row>
    <row r="157" spans="1:19">
      <c r="A157" s="389" t="s">
        <v>404</v>
      </c>
      <c r="B157" s="98">
        <v>0</v>
      </c>
      <c r="C157" s="98">
        <v>0</v>
      </c>
      <c r="D157" s="76"/>
      <c r="E157" s="76"/>
      <c r="F157" s="76"/>
      <c r="G157" s="76"/>
      <c r="H157" s="76"/>
      <c r="I157" s="76"/>
      <c r="J157" s="76"/>
      <c r="K157" s="76"/>
      <c r="L157" s="76"/>
      <c r="M157" s="76"/>
      <c r="N157" s="76"/>
      <c r="O157" s="76"/>
      <c r="P157" s="76"/>
      <c r="Q157" s="76"/>
      <c r="R157" s="76"/>
      <c r="S157" s="76"/>
    </row>
    <row r="158" spans="1:19">
      <c r="A158" s="101"/>
      <c r="B158" s="108"/>
      <c r="C158" s="108"/>
      <c r="D158" s="76"/>
      <c r="E158" s="76"/>
      <c r="F158" s="76"/>
      <c r="G158" s="76"/>
      <c r="H158" s="76"/>
      <c r="I158" s="76"/>
      <c r="J158" s="76"/>
      <c r="K158" s="76"/>
      <c r="L158" s="76"/>
      <c r="M158" s="76"/>
      <c r="N158" s="76"/>
      <c r="O158" s="76"/>
      <c r="P158" s="76"/>
      <c r="Q158" s="76"/>
      <c r="R158" s="76"/>
      <c r="S158" s="76"/>
    </row>
    <row r="159" spans="1:19">
      <c r="A159" s="105" t="s">
        <v>411</v>
      </c>
      <c r="B159" s="108"/>
      <c r="C159" s="108"/>
      <c r="D159" s="76"/>
      <c r="E159" s="76"/>
      <c r="F159" s="76"/>
      <c r="G159" s="76"/>
      <c r="H159" s="76"/>
      <c r="I159" s="76"/>
      <c r="J159" s="76"/>
      <c r="K159" s="76"/>
      <c r="L159" s="76"/>
      <c r="M159" s="76"/>
      <c r="N159" s="76"/>
      <c r="O159" s="76"/>
      <c r="P159" s="76"/>
      <c r="Q159" s="76"/>
      <c r="R159" s="76"/>
      <c r="S159" s="76"/>
    </row>
    <row r="160" spans="1:19">
      <c r="A160" s="104" t="s">
        <v>412</v>
      </c>
      <c r="B160" s="106" t="str">
        <f>B135</f>
        <v>MyCounty</v>
      </c>
      <c r="C160" s="76" t="str">
        <f>C135</f>
        <v>MyRegion</v>
      </c>
      <c r="D160" s="76"/>
      <c r="E160" s="76"/>
      <c r="F160" s="76"/>
      <c r="G160" s="76"/>
      <c r="H160" s="76"/>
      <c r="I160" s="76"/>
      <c r="J160" s="76"/>
      <c r="K160" s="76"/>
      <c r="L160" s="76"/>
      <c r="M160" s="76"/>
      <c r="N160" s="76"/>
      <c r="O160" s="76"/>
      <c r="P160" s="76"/>
      <c r="Q160" s="76"/>
      <c r="R160" s="76"/>
      <c r="S160" s="76"/>
    </row>
    <row r="161" spans="1:19">
      <c r="A161" s="389" t="s">
        <v>383</v>
      </c>
      <c r="B161" s="98">
        <v>0</v>
      </c>
      <c r="C161" s="98">
        <v>0</v>
      </c>
      <c r="D161" s="76"/>
      <c r="E161" s="76"/>
      <c r="F161" s="76"/>
      <c r="G161" s="76"/>
      <c r="H161" s="76"/>
      <c r="I161" s="76"/>
      <c r="J161" s="76"/>
      <c r="K161" s="76"/>
      <c r="L161" s="76"/>
      <c r="M161" s="76"/>
      <c r="N161" s="76"/>
      <c r="O161" s="76"/>
      <c r="P161" s="76"/>
      <c r="Q161" s="76"/>
      <c r="R161" s="76"/>
      <c r="S161" s="76"/>
    </row>
    <row r="162" spans="1:19">
      <c r="A162" s="389" t="s">
        <v>384</v>
      </c>
      <c r="B162" s="98">
        <v>0</v>
      </c>
      <c r="C162" s="98">
        <v>0</v>
      </c>
      <c r="D162" s="76"/>
      <c r="E162" s="76"/>
      <c r="F162" s="76"/>
      <c r="G162" s="76"/>
      <c r="H162" s="76"/>
      <c r="I162" s="76"/>
      <c r="J162" s="76"/>
      <c r="K162" s="76"/>
      <c r="L162" s="76"/>
      <c r="M162" s="76"/>
      <c r="N162" s="76"/>
      <c r="O162" s="76"/>
      <c r="P162" s="76"/>
      <c r="Q162" s="76"/>
      <c r="R162" s="76"/>
      <c r="S162" s="76"/>
    </row>
    <row r="163" spans="1:19">
      <c r="A163" s="389" t="s">
        <v>385</v>
      </c>
      <c r="B163" s="98">
        <v>0</v>
      </c>
      <c r="C163" s="98">
        <v>0</v>
      </c>
      <c r="D163" s="76"/>
      <c r="E163" s="76"/>
      <c r="F163" s="76"/>
      <c r="G163" s="76"/>
      <c r="H163" s="76"/>
      <c r="I163" s="76"/>
      <c r="J163" s="76"/>
      <c r="K163" s="76"/>
      <c r="L163" s="76"/>
      <c r="M163" s="76"/>
      <c r="N163" s="76"/>
      <c r="O163" s="76"/>
      <c r="P163" s="76"/>
      <c r="Q163" s="76"/>
      <c r="R163" s="76"/>
      <c r="S163" s="76"/>
    </row>
    <row r="164" spans="1:19">
      <c r="A164" s="389" t="s">
        <v>386</v>
      </c>
      <c r="B164" s="98">
        <v>0</v>
      </c>
      <c r="C164" s="98">
        <v>0</v>
      </c>
      <c r="D164" s="76"/>
      <c r="E164" s="76"/>
      <c r="F164" s="76"/>
      <c r="G164" s="76"/>
      <c r="H164" s="76"/>
      <c r="I164" s="76"/>
      <c r="J164" s="76"/>
      <c r="K164" s="76"/>
      <c r="L164" s="76"/>
      <c r="M164" s="76"/>
      <c r="N164" s="76"/>
      <c r="O164" s="76"/>
      <c r="P164" s="76"/>
      <c r="Q164" s="76"/>
      <c r="R164" s="76"/>
      <c r="S164" s="76"/>
    </row>
    <row r="165" spans="1:19">
      <c r="A165" s="389" t="s">
        <v>387</v>
      </c>
      <c r="B165" s="98">
        <v>0</v>
      </c>
      <c r="C165" s="98">
        <v>0</v>
      </c>
      <c r="D165" s="76"/>
      <c r="E165" s="76"/>
      <c r="F165" s="76"/>
      <c r="G165" s="76"/>
      <c r="H165" s="76"/>
      <c r="I165" s="76"/>
      <c r="J165" s="76"/>
      <c r="K165" s="76"/>
      <c r="L165" s="76"/>
      <c r="M165" s="76"/>
      <c r="N165" s="76"/>
      <c r="O165" s="76"/>
      <c r="P165" s="76"/>
      <c r="Q165" s="76"/>
      <c r="R165" s="76"/>
      <c r="S165" s="76"/>
    </row>
    <row r="166" spans="1:19">
      <c r="A166" s="389" t="s">
        <v>388</v>
      </c>
      <c r="B166" s="98">
        <v>0</v>
      </c>
      <c r="C166" s="98">
        <v>0</v>
      </c>
      <c r="D166" s="76"/>
      <c r="E166" s="76"/>
      <c r="F166" s="76"/>
      <c r="G166" s="76"/>
      <c r="H166" s="76"/>
      <c r="I166" s="76"/>
      <c r="J166" s="76"/>
      <c r="K166" s="76"/>
      <c r="L166" s="76"/>
      <c r="M166" s="76"/>
      <c r="N166" s="76"/>
      <c r="O166" s="76"/>
      <c r="P166" s="76"/>
      <c r="Q166" s="76"/>
      <c r="R166" s="76"/>
      <c r="S166" s="76"/>
    </row>
    <row r="167" spans="1:19">
      <c r="A167" s="389" t="s">
        <v>389</v>
      </c>
      <c r="B167" s="98">
        <v>0</v>
      </c>
      <c r="C167" s="98">
        <v>0</v>
      </c>
      <c r="D167" s="76"/>
      <c r="E167" s="76"/>
      <c r="F167" s="76"/>
      <c r="G167" s="76"/>
      <c r="H167" s="76"/>
      <c r="I167" s="76"/>
      <c r="J167" s="76"/>
      <c r="K167" s="76"/>
      <c r="L167" s="76"/>
      <c r="M167" s="76"/>
      <c r="N167" s="76"/>
      <c r="O167" s="76"/>
      <c r="P167" s="76"/>
      <c r="Q167" s="76"/>
      <c r="R167" s="76"/>
      <c r="S167" s="76"/>
    </row>
    <row r="168" spans="1:19">
      <c r="A168" s="389" t="s">
        <v>390</v>
      </c>
      <c r="B168" s="98">
        <v>0</v>
      </c>
      <c r="C168" s="98">
        <v>0</v>
      </c>
      <c r="D168" s="76"/>
      <c r="E168" s="76"/>
      <c r="F168" s="76"/>
      <c r="G168" s="76"/>
      <c r="H168" s="76"/>
      <c r="I168" s="76"/>
      <c r="J168" s="76"/>
      <c r="K168" s="76"/>
      <c r="L168" s="76"/>
      <c r="M168" s="76"/>
      <c r="N168" s="76"/>
      <c r="O168" s="76"/>
      <c r="P168" s="76"/>
      <c r="Q168" s="76"/>
      <c r="R168" s="76"/>
      <c r="S168" s="76"/>
    </row>
    <row r="169" spans="1:19">
      <c r="A169" s="389" t="s">
        <v>391</v>
      </c>
      <c r="B169" s="98">
        <v>0</v>
      </c>
      <c r="C169" s="98">
        <v>0</v>
      </c>
      <c r="D169" s="76"/>
      <c r="E169" s="76"/>
      <c r="F169" s="76"/>
      <c r="G169" s="76"/>
      <c r="H169" s="76"/>
      <c r="I169" s="76"/>
      <c r="J169" s="76"/>
      <c r="K169" s="76"/>
      <c r="L169" s="76"/>
      <c r="M169" s="76"/>
      <c r="N169" s="76"/>
      <c r="O169" s="76"/>
      <c r="P169" s="76"/>
      <c r="Q169" s="76"/>
      <c r="R169" s="76"/>
      <c r="S169" s="76"/>
    </row>
    <row r="170" spans="1:19">
      <c r="A170" s="389" t="s">
        <v>392</v>
      </c>
      <c r="B170" s="98">
        <v>0</v>
      </c>
      <c r="C170" s="98">
        <v>0</v>
      </c>
      <c r="D170" s="76"/>
      <c r="E170" s="76"/>
      <c r="F170" s="76"/>
      <c r="G170" s="76"/>
      <c r="H170" s="76"/>
      <c r="I170" s="76"/>
      <c r="J170" s="76"/>
      <c r="K170" s="76"/>
      <c r="L170" s="76"/>
      <c r="M170" s="76"/>
      <c r="N170" s="76"/>
      <c r="O170" s="76"/>
      <c r="P170" s="76"/>
      <c r="Q170" s="76"/>
      <c r="R170" s="76"/>
      <c r="S170" s="76"/>
    </row>
    <row r="171" spans="1:19">
      <c r="A171" s="389" t="s">
        <v>393</v>
      </c>
      <c r="B171" s="98">
        <v>0</v>
      </c>
      <c r="C171" s="98">
        <v>0</v>
      </c>
      <c r="D171" s="76"/>
      <c r="E171" s="76"/>
      <c r="F171" s="76"/>
      <c r="G171" s="76"/>
      <c r="H171" s="76"/>
      <c r="I171" s="76"/>
      <c r="J171" s="76"/>
      <c r="K171" s="76"/>
      <c r="L171" s="76"/>
      <c r="M171" s="76"/>
      <c r="N171" s="76"/>
      <c r="O171" s="76"/>
      <c r="P171" s="76"/>
      <c r="Q171" s="76"/>
      <c r="R171" s="76"/>
      <c r="S171" s="76"/>
    </row>
    <row r="172" spans="1:19">
      <c r="A172" s="389" t="s">
        <v>394</v>
      </c>
      <c r="B172" s="98">
        <v>0</v>
      </c>
      <c r="C172" s="98">
        <v>0</v>
      </c>
      <c r="D172" s="76"/>
      <c r="E172" s="76"/>
      <c r="F172" s="76"/>
      <c r="G172" s="76"/>
      <c r="H172" s="76"/>
      <c r="I172" s="76"/>
      <c r="J172" s="76"/>
      <c r="K172" s="76"/>
      <c r="L172" s="76"/>
      <c r="M172" s="76"/>
      <c r="N172" s="76"/>
      <c r="O172" s="76"/>
      <c r="P172" s="76"/>
      <c r="Q172" s="76"/>
      <c r="R172" s="76"/>
      <c r="S172" s="76"/>
    </row>
    <row r="173" spans="1:19">
      <c r="A173" s="389" t="s">
        <v>395</v>
      </c>
      <c r="B173" s="98">
        <v>0</v>
      </c>
      <c r="C173" s="98">
        <v>0</v>
      </c>
      <c r="D173" s="76"/>
      <c r="E173" s="76"/>
      <c r="F173" s="76"/>
      <c r="G173" s="76"/>
      <c r="H173" s="76"/>
      <c r="I173" s="76"/>
      <c r="J173" s="76"/>
      <c r="K173" s="76"/>
      <c r="L173" s="76"/>
      <c r="M173" s="76"/>
      <c r="N173" s="76"/>
      <c r="O173" s="76"/>
      <c r="P173" s="76"/>
      <c r="Q173" s="76"/>
      <c r="R173" s="76"/>
      <c r="S173" s="76"/>
    </row>
    <row r="174" spans="1:19">
      <c r="A174" s="389" t="s">
        <v>396</v>
      </c>
      <c r="B174" s="98">
        <v>0</v>
      </c>
      <c r="C174" s="98">
        <v>0</v>
      </c>
      <c r="D174" s="76"/>
      <c r="E174" s="76"/>
      <c r="F174" s="76"/>
      <c r="G174" s="76"/>
      <c r="H174" s="76"/>
      <c r="I174" s="76"/>
      <c r="J174" s="76"/>
      <c r="K174" s="76"/>
      <c r="L174" s="76"/>
      <c r="M174" s="76"/>
      <c r="N174" s="76"/>
      <c r="O174" s="76"/>
      <c r="P174" s="76"/>
      <c r="Q174" s="76"/>
      <c r="R174" s="76"/>
      <c r="S174" s="76"/>
    </row>
    <row r="175" spans="1:19">
      <c r="A175" s="389" t="s">
        <v>397</v>
      </c>
      <c r="B175" s="98">
        <v>0</v>
      </c>
      <c r="C175" s="98">
        <v>0</v>
      </c>
      <c r="D175" s="76"/>
      <c r="E175" s="76"/>
      <c r="F175" s="76"/>
      <c r="G175" s="76"/>
      <c r="H175" s="76"/>
      <c r="I175" s="76"/>
      <c r="J175" s="76"/>
      <c r="K175" s="76"/>
      <c r="L175" s="76"/>
      <c r="M175" s="76"/>
      <c r="N175" s="76"/>
      <c r="O175" s="76"/>
      <c r="P175" s="76"/>
      <c r="Q175" s="76"/>
      <c r="R175" s="76"/>
      <c r="S175" s="76"/>
    </row>
    <row r="176" spans="1:19">
      <c r="A176" s="389" t="s">
        <v>398</v>
      </c>
      <c r="B176" s="98">
        <v>0</v>
      </c>
      <c r="C176" s="98">
        <v>0</v>
      </c>
      <c r="D176" s="76"/>
      <c r="E176" s="76"/>
      <c r="F176" s="76"/>
      <c r="G176" s="76"/>
      <c r="H176" s="76"/>
      <c r="I176" s="76"/>
      <c r="J176" s="76"/>
      <c r="K176" s="76"/>
      <c r="L176" s="76"/>
      <c r="M176" s="76"/>
      <c r="N176" s="76"/>
      <c r="O176" s="76"/>
      <c r="P176" s="76"/>
      <c r="Q176" s="76"/>
      <c r="R176" s="76"/>
      <c r="S176" s="76"/>
    </row>
    <row r="177" spans="1:19">
      <c r="A177" s="389" t="s">
        <v>399</v>
      </c>
      <c r="B177" s="98">
        <v>0</v>
      </c>
      <c r="C177" s="98">
        <v>0</v>
      </c>
      <c r="D177" s="76"/>
      <c r="E177" s="76"/>
      <c r="F177" s="76"/>
      <c r="G177" s="76"/>
      <c r="H177" s="76"/>
      <c r="I177" s="76"/>
      <c r="J177" s="76"/>
      <c r="K177" s="76"/>
      <c r="L177" s="76"/>
      <c r="M177" s="76"/>
      <c r="N177" s="76"/>
      <c r="O177" s="76"/>
      <c r="P177" s="76"/>
      <c r="Q177" s="76"/>
      <c r="R177" s="76"/>
      <c r="S177" s="76"/>
    </row>
    <row r="178" spans="1:19">
      <c r="A178" s="389" t="s">
        <v>400</v>
      </c>
      <c r="B178" s="98">
        <v>0</v>
      </c>
      <c r="C178" s="98">
        <v>0</v>
      </c>
      <c r="D178" s="76"/>
      <c r="E178" s="76"/>
      <c r="F178" s="76"/>
      <c r="G178" s="76"/>
      <c r="H178" s="76"/>
      <c r="I178" s="76"/>
      <c r="J178" s="76"/>
      <c r="K178" s="76"/>
      <c r="L178" s="76"/>
      <c r="M178" s="76"/>
      <c r="N178" s="76"/>
      <c r="O178" s="76"/>
      <c r="P178" s="76"/>
      <c r="Q178" s="76"/>
      <c r="R178" s="76"/>
      <c r="S178" s="76"/>
    </row>
    <row r="179" spans="1:19">
      <c r="A179" s="389" t="s">
        <v>401</v>
      </c>
      <c r="B179" s="98">
        <v>0</v>
      </c>
      <c r="C179" s="98">
        <v>0</v>
      </c>
      <c r="D179" s="76"/>
      <c r="E179" s="76"/>
      <c r="F179" s="76"/>
      <c r="G179" s="76"/>
      <c r="H179" s="76"/>
      <c r="I179" s="76"/>
      <c r="J179" s="76"/>
      <c r="K179" s="76"/>
      <c r="L179" s="76"/>
      <c r="M179" s="76"/>
      <c r="N179" s="76"/>
      <c r="O179" s="76"/>
      <c r="P179" s="76"/>
      <c r="Q179" s="76"/>
      <c r="R179" s="76"/>
      <c r="S179" s="76"/>
    </row>
    <row r="180" spans="1:19">
      <c r="A180" s="389" t="s">
        <v>402</v>
      </c>
      <c r="B180" s="98">
        <v>0</v>
      </c>
      <c r="C180" s="98">
        <v>0</v>
      </c>
      <c r="D180" s="76"/>
      <c r="E180" s="76"/>
      <c r="F180" s="76"/>
      <c r="G180" s="76"/>
      <c r="H180" s="76"/>
      <c r="I180" s="76"/>
      <c r="J180" s="76"/>
      <c r="K180" s="76"/>
      <c r="L180" s="76"/>
      <c r="M180" s="76"/>
      <c r="N180" s="76"/>
      <c r="O180" s="76"/>
      <c r="P180" s="76"/>
      <c r="Q180" s="76"/>
      <c r="R180" s="76"/>
      <c r="S180" s="76"/>
    </row>
    <row r="181" spans="1:19">
      <c r="A181" s="389" t="s">
        <v>403</v>
      </c>
      <c r="B181" s="98">
        <v>0</v>
      </c>
      <c r="C181" s="98">
        <v>0</v>
      </c>
      <c r="D181" s="76"/>
      <c r="E181" s="76"/>
      <c r="F181" s="76"/>
      <c r="G181" s="76"/>
      <c r="H181" s="76"/>
      <c r="I181" s="76"/>
      <c r="J181" s="76"/>
      <c r="K181" s="76"/>
      <c r="L181" s="76"/>
      <c r="M181" s="76"/>
      <c r="N181" s="76"/>
      <c r="O181" s="76"/>
      <c r="P181" s="76"/>
      <c r="Q181" s="76"/>
      <c r="R181" s="76"/>
      <c r="S181" s="76"/>
    </row>
    <row r="182" spans="1:19">
      <c r="A182" s="389" t="s">
        <v>404</v>
      </c>
      <c r="B182" s="98">
        <v>0</v>
      </c>
      <c r="C182" s="98">
        <v>0</v>
      </c>
      <c r="D182" s="76"/>
      <c r="E182" s="76"/>
      <c r="F182" s="76"/>
      <c r="G182" s="76"/>
      <c r="H182" s="76"/>
      <c r="I182" s="76"/>
      <c r="J182" s="76"/>
      <c r="K182" s="76"/>
      <c r="L182" s="76"/>
      <c r="M182" s="76"/>
      <c r="N182" s="76"/>
      <c r="O182" s="76"/>
      <c r="P182" s="76"/>
      <c r="Q182" s="76"/>
      <c r="R182" s="76"/>
      <c r="S182" s="76"/>
    </row>
    <row r="183" spans="1:19">
      <c r="A183" s="101"/>
      <c r="B183" s="108"/>
      <c r="C183" s="108"/>
      <c r="D183" s="76"/>
      <c r="E183" s="76"/>
      <c r="F183" s="76"/>
      <c r="G183" s="76"/>
      <c r="H183" s="76"/>
      <c r="I183" s="76"/>
      <c r="J183" s="76"/>
      <c r="K183" s="76"/>
      <c r="L183" s="76"/>
      <c r="M183" s="76"/>
      <c r="N183" s="76"/>
      <c r="O183" s="76"/>
      <c r="P183" s="76"/>
      <c r="Q183" s="76"/>
      <c r="R183" s="76"/>
      <c r="S183" s="76"/>
    </row>
    <row r="184" spans="1:19">
      <c r="A184" s="105" t="s">
        <v>411</v>
      </c>
      <c r="B184" s="108"/>
      <c r="C184" s="108"/>
      <c r="D184" s="76"/>
      <c r="E184" s="76"/>
      <c r="F184" s="76"/>
      <c r="G184" s="76"/>
      <c r="H184" s="76"/>
      <c r="I184" s="76"/>
      <c r="J184" s="76"/>
      <c r="K184" s="76"/>
      <c r="L184" s="76"/>
      <c r="M184" s="76"/>
      <c r="N184" s="76"/>
      <c r="O184" s="76"/>
      <c r="P184" s="76"/>
      <c r="Q184" s="76"/>
      <c r="R184" s="76"/>
      <c r="S184" s="76"/>
    </row>
    <row r="185" spans="1:19">
      <c r="A185" s="104" t="s">
        <v>413</v>
      </c>
      <c r="B185" s="106" t="str">
        <f>B160</f>
        <v>MyCounty</v>
      </c>
      <c r="C185" s="76" t="str">
        <f>C160</f>
        <v>MyRegion</v>
      </c>
      <c r="D185" s="76"/>
      <c r="E185" s="76"/>
      <c r="F185" s="76"/>
      <c r="G185" s="76"/>
      <c r="H185" s="76"/>
      <c r="I185" s="76"/>
      <c r="J185" s="76"/>
      <c r="K185" s="76"/>
      <c r="L185" s="76"/>
      <c r="M185" s="76"/>
      <c r="N185" s="76"/>
      <c r="O185" s="76"/>
      <c r="P185" s="76"/>
      <c r="Q185" s="76"/>
      <c r="R185" s="76"/>
      <c r="S185" s="76"/>
    </row>
    <row r="186" spans="1:19">
      <c r="A186" s="389" t="s">
        <v>383</v>
      </c>
      <c r="B186" s="98">
        <v>0</v>
      </c>
      <c r="C186" s="98">
        <v>0</v>
      </c>
      <c r="D186" s="76"/>
      <c r="E186" s="76"/>
      <c r="F186" s="76"/>
      <c r="G186" s="76"/>
      <c r="H186" s="76"/>
      <c r="I186" s="76"/>
      <c r="J186" s="76"/>
      <c r="K186" s="76"/>
      <c r="L186" s="76"/>
      <c r="M186" s="76"/>
      <c r="N186" s="76"/>
      <c r="O186" s="76"/>
      <c r="P186" s="76"/>
      <c r="Q186" s="76"/>
      <c r="R186" s="76"/>
      <c r="S186" s="76"/>
    </row>
    <row r="187" spans="1:19">
      <c r="A187" s="389" t="s">
        <v>384</v>
      </c>
      <c r="B187" s="98">
        <v>0</v>
      </c>
      <c r="C187" s="98">
        <v>0</v>
      </c>
      <c r="D187" s="76"/>
      <c r="E187" s="76"/>
      <c r="F187" s="76"/>
      <c r="G187" s="76"/>
      <c r="H187" s="76"/>
      <c r="I187" s="76"/>
      <c r="J187" s="76"/>
      <c r="K187" s="76"/>
      <c r="L187" s="76"/>
      <c r="M187" s="76"/>
      <c r="N187" s="76"/>
      <c r="O187" s="76"/>
      <c r="P187" s="76"/>
      <c r="Q187" s="76"/>
      <c r="R187" s="76"/>
      <c r="S187" s="76"/>
    </row>
    <row r="188" spans="1:19">
      <c r="A188" s="389" t="s">
        <v>385</v>
      </c>
      <c r="B188" s="98">
        <v>0</v>
      </c>
      <c r="C188" s="98">
        <v>0</v>
      </c>
      <c r="D188" s="76"/>
      <c r="E188" s="76"/>
      <c r="F188" s="76"/>
      <c r="G188" s="76"/>
      <c r="H188" s="76"/>
      <c r="I188" s="76"/>
      <c r="J188" s="76"/>
      <c r="K188" s="76"/>
      <c r="L188" s="76"/>
      <c r="M188" s="76"/>
      <c r="N188" s="76"/>
      <c r="O188" s="76"/>
      <c r="P188" s="76"/>
      <c r="Q188" s="76"/>
      <c r="R188" s="76"/>
      <c r="S188" s="76"/>
    </row>
    <row r="189" spans="1:19">
      <c r="A189" s="389" t="s">
        <v>386</v>
      </c>
      <c r="B189" s="98">
        <v>0</v>
      </c>
      <c r="C189" s="98">
        <v>0</v>
      </c>
      <c r="D189" s="76"/>
      <c r="E189" s="76"/>
      <c r="F189" s="76"/>
      <c r="G189" s="76"/>
      <c r="H189" s="76"/>
      <c r="I189" s="76"/>
      <c r="J189" s="76"/>
      <c r="K189" s="76"/>
      <c r="L189" s="76"/>
      <c r="M189" s="76"/>
      <c r="N189" s="76"/>
      <c r="O189" s="76"/>
      <c r="P189" s="76"/>
      <c r="Q189" s="76"/>
      <c r="R189" s="76"/>
      <c r="S189" s="76"/>
    </row>
    <row r="190" spans="1:19">
      <c r="A190" s="389" t="s">
        <v>387</v>
      </c>
      <c r="B190" s="98">
        <v>0</v>
      </c>
      <c r="C190" s="98">
        <v>0</v>
      </c>
      <c r="D190" s="76"/>
      <c r="E190" s="76"/>
      <c r="F190" s="76"/>
      <c r="G190" s="76"/>
      <c r="H190" s="76"/>
      <c r="I190" s="76"/>
      <c r="J190" s="76"/>
      <c r="K190" s="76"/>
      <c r="L190" s="76"/>
      <c r="M190" s="76"/>
      <c r="N190" s="76"/>
      <c r="O190" s="76"/>
      <c r="P190" s="76"/>
      <c r="Q190" s="76"/>
      <c r="R190" s="76"/>
      <c r="S190" s="76"/>
    </row>
    <row r="191" spans="1:19">
      <c r="A191" s="389" t="s">
        <v>388</v>
      </c>
      <c r="B191" s="98">
        <v>0</v>
      </c>
      <c r="C191" s="98">
        <v>0</v>
      </c>
      <c r="D191" s="76"/>
      <c r="E191" s="76"/>
      <c r="F191" s="76"/>
      <c r="G191" s="76"/>
      <c r="H191" s="76"/>
      <c r="I191" s="76"/>
      <c r="J191" s="76"/>
      <c r="K191" s="76"/>
      <c r="L191" s="76"/>
      <c r="M191" s="76"/>
      <c r="N191" s="76"/>
      <c r="O191" s="76"/>
      <c r="P191" s="76"/>
      <c r="Q191" s="76"/>
      <c r="R191" s="76"/>
      <c r="S191" s="76"/>
    </row>
    <row r="192" spans="1:19">
      <c r="A192" s="389" t="s">
        <v>389</v>
      </c>
      <c r="B192" s="98">
        <v>0</v>
      </c>
      <c r="C192" s="98">
        <v>0</v>
      </c>
      <c r="D192" s="76"/>
      <c r="E192" s="76"/>
      <c r="F192" s="76"/>
      <c r="G192" s="76"/>
      <c r="H192" s="76"/>
      <c r="I192" s="76"/>
      <c r="J192" s="76"/>
      <c r="K192" s="76"/>
      <c r="L192" s="76"/>
      <c r="M192" s="76"/>
      <c r="N192" s="76"/>
      <c r="O192" s="76"/>
      <c r="P192" s="76"/>
      <c r="Q192" s="76"/>
      <c r="R192" s="76"/>
      <c r="S192" s="76"/>
    </row>
    <row r="193" spans="1:19">
      <c r="A193" s="389" t="s">
        <v>390</v>
      </c>
      <c r="B193" s="98">
        <v>0</v>
      </c>
      <c r="C193" s="98">
        <v>0</v>
      </c>
      <c r="D193" s="76"/>
      <c r="E193" s="76"/>
      <c r="F193" s="76"/>
      <c r="G193" s="76"/>
      <c r="H193" s="76"/>
      <c r="I193" s="76"/>
      <c r="J193" s="76"/>
      <c r="K193" s="76"/>
      <c r="L193" s="76"/>
      <c r="M193" s="76"/>
      <c r="N193" s="76"/>
      <c r="O193" s="76"/>
      <c r="P193" s="76"/>
      <c r="Q193" s="76"/>
      <c r="R193" s="76"/>
      <c r="S193" s="76"/>
    </row>
    <row r="194" spans="1:19">
      <c r="A194" s="389" t="s">
        <v>391</v>
      </c>
      <c r="B194" s="98">
        <v>0</v>
      </c>
      <c r="C194" s="98">
        <v>0</v>
      </c>
      <c r="D194" s="76"/>
      <c r="E194" s="76"/>
      <c r="F194" s="76"/>
      <c r="G194" s="76"/>
      <c r="H194" s="76"/>
      <c r="I194" s="76"/>
      <c r="J194" s="76"/>
      <c r="K194" s="76"/>
      <c r="L194" s="76"/>
      <c r="M194" s="76"/>
      <c r="N194" s="76"/>
      <c r="O194" s="76"/>
      <c r="P194" s="76"/>
      <c r="Q194" s="76"/>
      <c r="R194" s="76"/>
      <c r="S194" s="76"/>
    </row>
    <row r="195" spans="1:19">
      <c r="A195" s="389" t="s">
        <v>392</v>
      </c>
      <c r="B195" s="98">
        <v>0</v>
      </c>
      <c r="C195" s="98">
        <v>0</v>
      </c>
      <c r="D195" s="76"/>
      <c r="E195" s="76"/>
      <c r="F195" s="76"/>
      <c r="G195" s="76"/>
      <c r="H195" s="76"/>
      <c r="I195" s="76"/>
      <c r="J195" s="76"/>
      <c r="K195" s="76"/>
      <c r="L195" s="76"/>
      <c r="M195" s="76"/>
      <c r="N195" s="76"/>
      <c r="O195" s="76"/>
      <c r="P195" s="76"/>
      <c r="Q195" s="76"/>
      <c r="R195" s="76"/>
      <c r="S195" s="76"/>
    </row>
    <row r="196" spans="1:19">
      <c r="A196" s="389" t="s">
        <v>393</v>
      </c>
      <c r="B196" s="98">
        <v>0</v>
      </c>
      <c r="C196" s="98">
        <v>0</v>
      </c>
      <c r="D196" s="76"/>
      <c r="E196" s="76"/>
      <c r="F196" s="76"/>
      <c r="G196" s="76"/>
      <c r="H196" s="76"/>
      <c r="I196" s="76"/>
      <c r="J196" s="76"/>
      <c r="K196" s="76"/>
      <c r="L196" s="76"/>
      <c r="M196" s="76"/>
      <c r="N196" s="76"/>
      <c r="O196" s="76"/>
      <c r="P196" s="76"/>
      <c r="Q196" s="76"/>
      <c r="R196" s="76"/>
      <c r="S196" s="76"/>
    </row>
    <row r="197" spans="1:19">
      <c r="A197" s="389" t="s">
        <v>394</v>
      </c>
      <c r="B197" s="98">
        <v>0</v>
      </c>
      <c r="C197" s="98">
        <v>0</v>
      </c>
      <c r="D197" s="76"/>
      <c r="E197" s="76"/>
      <c r="F197" s="76"/>
      <c r="G197" s="76"/>
      <c r="H197" s="76"/>
      <c r="I197" s="76"/>
      <c r="J197" s="76"/>
      <c r="K197" s="76"/>
      <c r="L197" s="76"/>
      <c r="M197" s="76"/>
      <c r="N197" s="76"/>
      <c r="O197" s="76"/>
      <c r="P197" s="76"/>
      <c r="Q197" s="76"/>
      <c r="R197" s="76"/>
      <c r="S197" s="76"/>
    </row>
    <row r="198" spans="1:19">
      <c r="A198" s="389" t="s">
        <v>395</v>
      </c>
      <c r="B198" s="98">
        <v>0</v>
      </c>
      <c r="C198" s="98">
        <v>0</v>
      </c>
      <c r="D198" s="76"/>
      <c r="E198" s="76"/>
      <c r="F198" s="76"/>
      <c r="G198" s="76"/>
      <c r="H198" s="76"/>
      <c r="I198" s="76"/>
      <c r="J198" s="76"/>
      <c r="K198" s="76"/>
      <c r="L198" s="76"/>
      <c r="M198" s="76"/>
      <c r="N198" s="76"/>
      <c r="O198" s="76"/>
      <c r="P198" s="76"/>
      <c r="Q198" s="76"/>
      <c r="R198" s="76"/>
      <c r="S198" s="76"/>
    </row>
    <row r="199" spans="1:19">
      <c r="A199" s="389" t="s">
        <v>396</v>
      </c>
      <c r="B199" s="98">
        <v>0</v>
      </c>
      <c r="C199" s="98">
        <v>0</v>
      </c>
      <c r="D199" s="76"/>
      <c r="E199" s="76"/>
      <c r="F199" s="76"/>
      <c r="G199" s="76"/>
      <c r="H199" s="76"/>
      <c r="I199" s="76"/>
      <c r="J199" s="76"/>
      <c r="K199" s="76"/>
      <c r="L199" s="76"/>
      <c r="M199" s="76"/>
      <c r="N199" s="76"/>
      <c r="O199" s="76"/>
      <c r="P199" s="76"/>
      <c r="Q199" s="76"/>
      <c r="R199" s="76"/>
      <c r="S199" s="76"/>
    </row>
    <row r="200" spans="1:19">
      <c r="A200" s="389" t="s">
        <v>397</v>
      </c>
      <c r="B200" s="98">
        <v>0</v>
      </c>
      <c r="C200" s="98">
        <v>0</v>
      </c>
      <c r="D200" s="76"/>
      <c r="E200" s="76"/>
      <c r="F200" s="76"/>
      <c r="G200" s="76"/>
      <c r="H200" s="76"/>
      <c r="I200" s="76"/>
      <c r="J200" s="76"/>
      <c r="K200" s="76"/>
      <c r="L200" s="76"/>
      <c r="M200" s="76"/>
      <c r="N200" s="76"/>
      <c r="O200" s="76"/>
      <c r="P200" s="76"/>
      <c r="Q200" s="76"/>
      <c r="R200" s="76"/>
      <c r="S200" s="76"/>
    </row>
    <row r="201" spans="1:19">
      <c r="A201" s="389" t="s">
        <v>398</v>
      </c>
      <c r="B201" s="98">
        <v>0</v>
      </c>
      <c r="C201" s="98">
        <v>0</v>
      </c>
      <c r="D201" s="76"/>
      <c r="E201" s="76"/>
      <c r="F201" s="76"/>
      <c r="G201" s="76"/>
      <c r="H201" s="76"/>
      <c r="I201" s="76"/>
      <c r="J201" s="76"/>
      <c r="K201" s="76"/>
      <c r="L201" s="76"/>
      <c r="M201" s="76"/>
      <c r="N201" s="76"/>
      <c r="O201" s="76"/>
      <c r="P201" s="76"/>
      <c r="Q201" s="76"/>
      <c r="R201" s="76"/>
      <c r="S201" s="76"/>
    </row>
    <row r="202" spans="1:19">
      <c r="A202" s="389" t="s">
        <v>399</v>
      </c>
      <c r="B202" s="98">
        <v>0</v>
      </c>
      <c r="C202" s="98">
        <v>0</v>
      </c>
      <c r="D202" s="76"/>
      <c r="E202" s="76"/>
      <c r="F202" s="76"/>
      <c r="G202" s="76"/>
      <c r="H202" s="76"/>
      <c r="I202" s="76"/>
      <c r="J202" s="76"/>
      <c r="K202" s="76"/>
      <c r="L202" s="76"/>
      <c r="M202" s="76"/>
      <c r="N202" s="76"/>
      <c r="O202" s="76"/>
      <c r="P202" s="76"/>
      <c r="Q202" s="76"/>
      <c r="R202" s="76"/>
      <c r="S202" s="76"/>
    </row>
    <row r="203" spans="1:19">
      <c r="A203" s="389" t="s">
        <v>400</v>
      </c>
      <c r="B203" s="98">
        <v>0</v>
      </c>
      <c r="C203" s="98">
        <v>0</v>
      </c>
      <c r="D203" s="76"/>
      <c r="E203" s="76"/>
      <c r="F203" s="76"/>
      <c r="G203" s="76"/>
      <c r="H203" s="76"/>
      <c r="I203" s="76"/>
      <c r="J203" s="76"/>
      <c r="K203" s="76"/>
      <c r="L203" s="76"/>
      <c r="M203" s="76"/>
      <c r="N203" s="76"/>
      <c r="O203" s="76"/>
      <c r="P203" s="76"/>
      <c r="Q203" s="76"/>
      <c r="R203" s="76"/>
      <c r="S203" s="76"/>
    </row>
    <row r="204" spans="1:19">
      <c r="A204" s="389" t="s">
        <v>401</v>
      </c>
      <c r="B204" s="98">
        <v>0</v>
      </c>
      <c r="C204" s="98">
        <v>0</v>
      </c>
      <c r="D204" s="76"/>
      <c r="E204" s="76"/>
      <c r="F204" s="76"/>
      <c r="G204" s="76"/>
      <c r="H204" s="76"/>
      <c r="I204" s="76"/>
      <c r="J204" s="76"/>
      <c r="K204" s="76"/>
      <c r="L204" s="76"/>
      <c r="M204" s="76"/>
      <c r="N204" s="76"/>
      <c r="O204" s="76"/>
      <c r="P204" s="76"/>
      <c r="Q204" s="76"/>
      <c r="R204" s="76"/>
      <c r="S204" s="76"/>
    </row>
    <row r="205" spans="1:19">
      <c r="A205" s="389" t="s">
        <v>402</v>
      </c>
      <c r="B205" s="98">
        <v>0</v>
      </c>
      <c r="C205" s="98">
        <v>0</v>
      </c>
      <c r="D205" s="76"/>
      <c r="E205" s="76"/>
      <c r="F205" s="76"/>
      <c r="G205" s="76"/>
      <c r="H205" s="76"/>
      <c r="I205" s="76"/>
      <c r="J205" s="76"/>
      <c r="K205" s="76"/>
      <c r="L205" s="76"/>
      <c r="M205" s="76"/>
      <c r="N205" s="76"/>
      <c r="O205" s="76"/>
      <c r="P205" s="76"/>
      <c r="Q205" s="76"/>
      <c r="R205" s="76"/>
      <c r="S205" s="76"/>
    </row>
    <row r="206" spans="1:19">
      <c r="A206" s="389" t="s">
        <v>403</v>
      </c>
      <c r="B206" s="98">
        <v>0</v>
      </c>
      <c r="C206" s="98">
        <v>0</v>
      </c>
      <c r="D206" s="76"/>
      <c r="E206" s="76"/>
      <c r="F206" s="76"/>
      <c r="G206" s="76"/>
      <c r="H206" s="76"/>
      <c r="I206" s="76"/>
      <c r="J206" s="76"/>
      <c r="K206" s="76"/>
      <c r="L206" s="76"/>
      <c r="M206" s="76"/>
      <c r="N206" s="76"/>
      <c r="O206" s="76"/>
      <c r="P206" s="76"/>
      <c r="Q206" s="76"/>
      <c r="R206" s="76"/>
      <c r="S206" s="76"/>
    </row>
    <row r="207" spans="1:19">
      <c r="A207" s="389" t="s">
        <v>404</v>
      </c>
      <c r="B207" s="98">
        <v>0</v>
      </c>
      <c r="C207" s="98">
        <v>0</v>
      </c>
      <c r="D207" s="76"/>
      <c r="E207" s="76"/>
      <c r="F207" s="76"/>
      <c r="G207" s="76"/>
      <c r="H207" s="76"/>
      <c r="I207" s="76"/>
      <c r="J207" s="76"/>
      <c r="K207" s="76"/>
      <c r="L207" s="76"/>
      <c r="M207" s="76"/>
      <c r="N207" s="76"/>
      <c r="O207" s="76"/>
      <c r="P207" s="76"/>
      <c r="Q207" s="76"/>
      <c r="R207" s="76"/>
      <c r="S207" s="76"/>
    </row>
    <row r="208" spans="1:19">
      <c r="A208" s="76"/>
      <c r="B208" s="109"/>
      <c r="C208" s="109"/>
      <c r="D208" s="76"/>
      <c r="E208" s="76"/>
      <c r="F208" s="76"/>
      <c r="G208" s="76"/>
      <c r="H208" s="76"/>
      <c r="I208" s="76"/>
      <c r="J208" s="76"/>
      <c r="K208" s="76"/>
      <c r="L208" s="76"/>
      <c r="M208" s="76"/>
      <c r="N208" s="76"/>
      <c r="O208" s="76"/>
      <c r="P208" s="76"/>
      <c r="Q208" s="76"/>
      <c r="R208" s="76"/>
      <c r="S208" s="76"/>
    </row>
    <row r="209" spans="1:19">
      <c r="A209" s="105" t="s">
        <v>411</v>
      </c>
      <c r="B209" s="109"/>
      <c r="C209" s="109"/>
      <c r="D209" s="76"/>
      <c r="E209" s="76"/>
      <c r="F209" s="76"/>
      <c r="G209" s="76"/>
      <c r="H209" s="76"/>
      <c r="I209" s="76"/>
      <c r="J209" s="76"/>
      <c r="K209" s="76"/>
      <c r="L209" s="76"/>
      <c r="M209" s="76"/>
      <c r="N209" s="76"/>
      <c r="O209" s="76"/>
      <c r="P209" s="76"/>
      <c r="Q209" s="76"/>
      <c r="R209" s="76"/>
      <c r="S209" s="76"/>
    </row>
    <row r="210" spans="1:19">
      <c r="A210" s="104" t="s">
        <v>414</v>
      </c>
      <c r="B210" s="112" t="str">
        <f>B185</f>
        <v>MyCounty</v>
      </c>
      <c r="C210" s="110" t="str">
        <f>C185</f>
        <v>MyRegion</v>
      </c>
      <c r="D210" s="76"/>
      <c r="E210" s="76"/>
      <c r="F210" s="76"/>
      <c r="G210" s="76"/>
      <c r="H210" s="76"/>
      <c r="I210" s="76"/>
      <c r="J210" s="76"/>
      <c r="K210" s="76"/>
      <c r="L210" s="76"/>
      <c r="M210" s="76"/>
      <c r="N210" s="76"/>
      <c r="O210" s="76"/>
      <c r="P210" s="76"/>
      <c r="Q210" s="76"/>
      <c r="R210" s="76"/>
      <c r="S210" s="76"/>
    </row>
    <row r="211" spans="1:19">
      <c r="A211" s="389" t="s">
        <v>383</v>
      </c>
      <c r="B211" s="98">
        <v>0</v>
      </c>
      <c r="C211" s="98">
        <v>0</v>
      </c>
      <c r="D211" s="76"/>
      <c r="E211" s="76"/>
      <c r="F211" s="76"/>
      <c r="G211" s="76"/>
      <c r="H211" s="76"/>
      <c r="I211" s="76"/>
      <c r="J211" s="76"/>
      <c r="K211" s="76"/>
      <c r="L211" s="76"/>
      <c r="M211" s="76"/>
      <c r="N211" s="76"/>
      <c r="O211" s="76"/>
      <c r="P211" s="76"/>
      <c r="Q211" s="76"/>
      <c r="R211" s="76"/>
      <c r="S211" s="76"/>
    </row>
    <row r="212" spans="1:19">
      <c r="A212" s="389" t="s">
        <v>384</v>
      </c>
      <c r="B212" s="98">
        <v>0</v>
      </c>
      <c r="C212" s="98">
        <v>0</v>
      </c>
      <c r="D212" s="76"/>
      <c r="E212" s="76"/>
      <c r="F212" s="76"/>
      <c r="G212" s="76"/>
      <c r="H212" s="76"/>
      <c r="I212" s="76"/>
      <c r="J212" s="76"/>
      <c r="K212" s="76"/>
      <c r="L212" s="76"/>
      <c r="M212" s="76"/>
      <c r="N212" s="76"/>
      <c r="O212" s="76"/>
      <c r="P212" s="76"/>
      <c r="Q212" s="76"/>
      <c r="R212" s="76"/>
      <c r="S212" s="76"/>
    </row>
    <row r="213" spans="1:19">
      <c r="A213" s="389" t="s">
        <v>385</v>
      </c>
      <c r="B213" s="98">
        <v>0</v>
      </c>
      <c r="C213" s="98">
        <v>0</v>
      </c>
      <c r="D213" s="76"/>
      <c r="E213" s="76"/>
      <c r="F213" s="76"/>
      <c r="G213" s="76"/>
      <c r="H213" s="76"/>
      <c r="I213" s="76"/>
      <c r="J213" s="76"/>
      <c r="K213" s="76"/>
      <c r="L213" s="76"/>
      <c r="M213" s="76"/>
      <c r="N213" s="76"/>
      <c r="O213" s="76"/>
      <c r="P213" s="76"/>
      <c r="Q213" s="76"/>
      <c r="R213" s="76"/>
      <c r="S213" s="76"/>
    </row>
    <row r="214" spans="1:19">
      <c r="A214" s="389" t="s">
        <v>386</v>
      </c>
      <c r="B214" s="98">
        <v>0</v>
      </c>
      <c r="C214" s="98">
        <v>0</v>
      </c>
      <c r="D214" s="76"/>
      <c r="E214" s="76"/>
      <c r="F214" s="76"/>
      <c r="G214" s="76"/>
      <c r="H214" s="76"/>
      <c r="I214" s="76"/>
      <c r="J214" s="76"/>
      <c r="K214" s="76"/>
      <c r="L214" s="76"/>
      <c r="M214" s="76"/>
      <c r="N214" s="76"/>
      <c r="O214" s="76"/>
      <c r="P214" s="76"/>
      <c r="Q214" s="76"/>
      <c r="R214" s="76"/>
      <c r="S214" s="76"/>
    </row>
    <row r="215" spans="1:19">
      <c r="A215" s="389" t="s">
        <v>387</v>
      </c>
      <c r="B215" s="98">
        <v>0</v>
      </c>
      <c r="C215" s="98">
        <v>0</v>
      </c>
      <c r="D215" s="76"/>
      <c r="E215" s="76"/>
      <c r="F215" s="76"/>
      <c r="G215" s="76"/>
      <c r="H215" s="76"/>
      <c r="I215" s="76"/>
      <c r="J215" s="76"/>
      <c r="K215" s="76"/>
      <c r="L215" s="76"/>
      <c r="M215" s="76"/>
      <c r="N215" s="76"/>
      <c r="O215" s="76"/>
      <c r="P215" s="76"/>
      <c r="Q215" s="76"/>
      <c r="R215" s="76"/>
      <c r="S215" s="76"/>
    </row>
    <row r="216" spans="1:19">
      <c r="A216" s="389" t="s">
        <v>388</v>
      </c>
      <c r="B216" s="98">
        <v>0</v>
      </c>
      <c r="C216" s="98">
        <v>0</v>
      </c>
      <c r="D216" s="76"/>
      <c r="E216" s="76"/>
      <c r="F216" s="76"/>
      <c r="G216" s="76"/>
      <c r="H216" s="76"/>
      <c r="I216" s="76"/>
      <c r="J216" s="76"/>
      <c r="K216" s="76"/>
      <c r="L216" s="76"/>
      <c r="M216" s="76"/>
      <c r="N216" s="76"/>
      <c r="O216" s="76"/>
      <c r="P216" s="76"/>
      <c r="Q216" s="76"/>
      <c r="R216" s="76"/>
      <c r="S216" s="76"/>
    </row>
    <row r="217" spans="1:19">
      <c r="A217" s="389" t="s">
        <v>389</v>
      </c>
      <c r="B217" s="98">
        <v>0</v>
      </c>
      <c r="C217" s="98">
        <v>0</v>
      </c>
      <c r="D217" s="76"/>
      <c r="E217" s="76"/>
      <c r="F217" s="76"/>
      <c r="G217" s="76"/>
      <c r="H217" s="76"/>
      <c r="I217" s="76"/>
      <c r="J217" s="76"/>
      <c r="K217" s="76"/>
      <c r="L217" s="76"/>
      <c r="M217" s="76"/>
      <c r="N217" s="76"/>
      <c r="O217" s="76"/>
      <c r="P217" s="76"/>
      <c r="Q217" s="76"/>
      <c r="R217" s="76"/>
      <c r="S217" s="76"/>
    </row>
    <row r="218" spans="1:19">
      <c r="A218" s="389" t="s">
        <v>390</v>
      </c>
      <c r="B218" s="98">
        <v>0</v>
      </c>
      <c r="C218" s="98">
        <v>0</v>
      </c>
      <c r="D218" s="76"/>
      <c r="E218" s="76"/>
      <c r="F218" s="76"/>
      <c r="G218" s="76"/>
      <c r="H218" s="76"/>
      <c r="I218" s="76"/>
      <c r="J218" s="76"/>
      <c r="K218" s="76"/>
      <c r="L218" s="76"/>
      <c r="M218" s="76"/>
      <c r="N218" s="76"/>
      <c r="O218" s="76"/>
      <c r="P218" s="76"/>
      <c r="Q218" s="76"/>
      <c r="R218" s="76"/>
      <c r="S218" s="76"/>
    </row>
    <row r="219" spans="1:19">
      <c r="A219" s="389" t="s">
        <v>391</v>
      </c>
      <c r="B219" s="98">
        <v>0</v>
      </c>
      <c r="C219" s="98">
        <v>0</v>
      </c>
      <c r="D219" s="76"/>
      <c r="E219" s="76"/>
      <c r="F219" s="76"/>
      <c r="G219" s="76"/>
      <c r="H219" s="76"/>
      <c r="I219" s="76"/>
      <c r="J219" s="76"/>
      <c r="K219" s="76"/>
      <c r="L219" s="76"/>
      <c r="M219" s="76"/>
      <c r="N219" s="76"/>
      <c r="O219" s="76"/>
      <c r="P219" s="76"/>
      <c r="Q219" s="76"/>
      <c r="R219" s="76"/>
      <c r="S219" s="76"/>
    </row>
    <row r="220" spans="1:19">
      <c r="A220" s="389" t="s">
        <v>392</v>
      </c>
      <c r="B220" s="98">
        <v>0</v>
      </c>
      <c r="C220" s="98">
        <v>0</v>
      </c>
      <c r="D220" s="76"/>
      <c r="E220" s="76"/>
      <c r="F220" s="76"/>
      <c r="G220" s="76"/>
      <c r="H220" s="76"/>
      <c r="I220" s="76"/>
      <c r="J220" s="76"/>
      <c r="K220" s="76"/>
      <c r="L220" s="76"/>
      <c r="M220" s="76"/>
      <c r="N220" s="76"/>
      <c r="O220" s="76"/>
      <c r="P220" s="76"/>
      <c r="Q220" s="76"/>
      <c r="R220" s="76"/>
      <c r="S220" s="76"/>
    </row>
    <row r="221" spans="1:19">
      <c r="A221" s="389" t="s">
        <v>393</v>
      </c>
      <c r="B221" s="98">
        <v>0</v>
      </c>
      <c r="C221" s="98">
        <v>0</v>
      </c>
      <c r="D221" s="76"/>
      <c r="E221" s="76"/>
      <c r="F221" s="76"/>
      <c r="G221" s="76"/>
      <c r="H221" s="76"/>
      <c r="I221" s="76"/>
      <c r="J221" s="76"/>
      <c r="K221" s="76"/>
      <c r="L221" s="76"/>
      <c r="M221" s="76"/>
      <c r="N221" s="76"/>
      <c r="O221" s="76"/>
      <c r="P221" s="76"/>
      <c r="Q221" s="76"/>
      <c r="R221" s="76"/>
      <c r="S221" s="76"/>
    </row>
    <row r="222" spans="1:19">
      <c r="A222" s="389" t="s">
        <v>394</v>
      </c>
      <c r="B222" s="98">
        <v>0</v>
      </c>
      <c r="C222" s="98">
        <v>0</v>
      </c>
      <c r="D222" s="76"/>
      <c r="E222" s="76"/>
      <c r="F222" s="76"/>
      <c r="G222" s="76"/>
      <c r="H222" s="76"/>
      <c r="I222" s="76"/>
      <c r="J222" s="76"/>
      <c r="K222" s="76"/>
      <c r="L222" s="76"/>
      <c r="M222" s="76"/>
      <c r="N222" s="76"/>
      <c r="O222" s="76"/>
      <c r="P222" s="76"/>
      <c r="Q222" s="76"/>
      <c r="R222" s="76"/>
      <c r="S222" s="76"/>
    </row>
    <row r="223" spans="1:19">
      <c r="A223" s="389" t="s">
        <v>395</v>
      </c>
      <c r="B223" s="98">
        <v>0</v>
      </c>
      <c r="C223" s="98">
        <v>0</v>
      </c>
      <c r="D223" s="76"/>
      <c r="E223" s="76"/>
      <c r="F223" s="76"/>
      <c r="G223" s="76"/>
      <c r="H223" s="76"/>
      <c r="I223" s="76"/>
      <c r="J223" s="76"/>
      <c r="K223" s="76"/>
      <c r="L223" s="76"/>
      <c r="M223" s="76"/>
      <c r="N223" s="76"/>
      <c r="O223" s="76"/>
      <c r="P223" s="76"/>
      <c r="Q223" s="76"/>
      <c r="R223" s="76"/>
      <c r="S223" s="76"/>
    </row>
    <row r="224" spans="1:19">
      <c r="A224" s="389" t="s">
        <v>396</v>
      </c>
      <c r="B224" s="98">
        <v>0</v>
      </c>
      <c r="C224" s="98">
        <v>0</v>
      </c>
      <c r="D224" s="76"/>
      <c r="E224" s="76"/>
      <c r="F224" s="76"/>
      <c r="G224" s="76"/>
      <c r="H224" s="76"/>
      <c r="I224" s="76"/>
      <c r="J224" s="76"/>
      <c r="K224" s="76"/>
      <c r="L224" s="76"/>
      <c r="M224" s="76"/>
      <c r="N224" s="76"/>
      <c r="O224" s="76"/>
      <c r="P224" s="76"/>
      <c r="Q224" s="76"/>
      <c r="R224" s="76"/>
      <c r="S224" s="76"/>
    </row>
    <row r="225" spans="1:19">
      <c r="A225" s="389" t="s">
        <v>397</v>
      </c>
      <c r="B225" s="98">
        <v>0</v>
      </c>
      <c r="C225" s="98">
        <v>0</v>
      </c>
      <c r="D225" s="76"/>
      <c r="E225" s="76"/>
      <c r="F225" s="76"/>
      <c r="G225" s="76"/>
      <c r="H225" s="76"/>
      <c r="I225" s="76"/>
      <c r="J225" s="76"/>
      <c r="K225" s="76"/>
      <c r="L225" s="76"/>
      <c r="M225" s="76"/>
      <c r="N225" s="76"/>
      <c r="O225" s="76"/>
      <c r="P225" s="76"/>
      <c r="Q225" s="76"/>
      <c r="R225" s="76"/>
      <c r="S225" s="76"/>
    </row>
    <row r="226" spans="1:19">
      <c r="A226" s="389" t="s">
        <v>398</v>
      </c>
      <c r="B226" s="98">
        <v>0</v>
      </c>
      <c r="C226" s="98">
        <v>0</v>
      </c>
      <c r="D226" s="76"/>
      <c r="E226" s="76"/>
      <c r="F226" s="76"/>
      <c r="G226" s="76"/>
      <c r="H226" s="76"/>
      <c r="I226" s="76"/>
      <c r="J226" s="76"/>
      <c r="K226" s="76"/>
      <c r="L226" s="76"/>
      <c r="M226" s="76"/>
      <c r="N226" s="76"/>
      <c r="O226" s="76"/>
      <c r="P226" s="76"/>
      <c r="Q226" s="76"/>
      <c r="R226" s="76"/>
      <c r="S226" s="76"/>
    </row>
    <row r="227" spans="1:19">
      <c r="A227" s="389" t="s">
        <v>399</v>
      </c>
      <c r="B227" s="98">
        <v>0</v>
      </c>
      <c r="C227" s="98">
        <v>0</v>
      </c>
      <c r="D227" s="76"/>
      <c r="E227" s="76"/>
      <c r="F227" s="76"/>
      <c r="G227" s="76"/>
      <c r="H227" s="76"/>
      <c r="I227" s="76"/>
      <c r="J227" s="76"/>
      <c r="K227" s="76"/>
      <c r="L227" s="76"/>
      <c r="M227" s="76"/>
      <c r="N227" s="76"/>
      <c r="O227" s="76"/>
      <c r="P227" s="76"/>
      <c r="Q227" s="76"/>
      <c r="R227" s="76"/>
      <c r="S227" s="76"/>
    </row>
    <row r="228" spans="1:19">
      <c r="A228" s="389" t="s">
        <v>400</v>
      </c>
      <c r="B228" s="98">
        <v>0</v>
      </c>
      <c r="C228" s="98">
        <v>0</v>
      </c>
      <c r="D228" s="76"/>
      <c r="E228" s="76"/>
      <c r="F228" s="76"/>
      <c r="G228" s="76"/>
      <c r="H228" s="76"/>
      <c r="I228" s="76"/>
      <c r="J228" s="76"/>
      <c r="K228" s="76"/>
      <c r="L228" s="76"/>
      <c r="M228" s="76"/>
      <c r="N228" s="76"/>
      <c r="O228" s="76"/>
      <c r="P228" s="76"/>
      <c r="Q228" s="76"/>
      <c r="R228" s="76"/>
      <c r="S228" s="76"/>
    </row>
    <row r="229" spans="1:19">
      <c r="A229" s="389" t="s">
        <v>401</v>
      </c>
      <c r="B229" s="98">
        <v>0</v>
      </c>
      <c r="C229" s="98">
        <v>0</v>
      </c>
      <c r="D229" s="76"/>
      <c r="E229" s="76"/>
      <c r="F229" s="76"/>
      <c r="G229" s="76"/>
      <c r="H229" s="76"/>
      <c r="I229" s="76"/>
      <c r="J229" s="76"/>
      <c r="K229" s="76"/>
      <c r="L229" s="76"/>
      <c r="M229" s="76"/>
      <c r="N229" s="76"/>
      <c r="O229" s="76"/>
      <c r="P229" s="76"/>
      <c r="Q229" s="76"/>
      <c r="R229" s="76"/>
      <c r="S229" s="76"/>
    </row>
    <row r="230" spans="1:19">
      <c r="A230" s="389" t="s">
        <v>402</v>
      </c>
      <c r="B230" s="98">
        <v>0</v>
      </c>
      <c r="C230" s="98">
        <v>0</v>
      </c>
      <c r="D230" s="76"/>
      <c r="E230" s="76"/>
      <c r="F230" s="76"/>
      <c r="G230" s="76"/>
      <c r="H230" s="76"/>
      <c r="I230" s="76"/>
      <c r="J230" s="76"/>
      <c r="K230" s="76"/>
      <c r="L230" s="76"/>
      <c r="M230" s="76"/>
      <c r="N230" s="76"/>
      <c r="O230" s="76"/>
      <c r="P230" s="76"/>
      <c r="Q230" s="76"/>
      <c r="R230" s="76"/>
      <c r="S230" s="76"/>
    </row>
    <row r="231" spans="1:19">
      <c r="A231" s="389" t="s">
        <v>403</v>
      </c>
      <c r="B231" s="98">
        <v>0</v>
      </c>
      <c r="C231" s="98">
        <v>0</v>
      </c>
      <c r="D231" s="76"/>
      <c r="E231" s="76"/>
      <c r="F231" s="76"/>
      <c r="G231" s="76"/>
      <c r="H231" s="76"/>
      <c r="I231" s="76"/>
      <c r="J231" s="76"/>
      <c r="K231" s="76"/>
      <c r="L231" s="76"/>
      <c r="M231" s="76"/>
      <c r="N231" s="76"/>
      <c r="O231" s="76"/>
      <c r="P231" s="76"/>
      <c r="Q231" s="76"/>
      <c r="R231" s="76"/>
      <c r="S231" s="76"/>
    </row>
    <row r="232" spans="1:19">
      <c r="A232" s="389" t="s">
        <v>404</v>
      </c>
      <c r="B232" s="98">
        <v>0</v>
      </c>
      <c r="C232" s="98">
        <v>0</v>
      </c>
      <c r="D232" s="76"/>
      <c r="E232" s="76"/>
      <c r="F232" s="76"/>
      <c r="G232" s="76"/>
      <c r="H232" s="76"/>
      <c r="I232" s="76"/>
      <c r="J232" s="76"/>
      <c r="K232" s="76"/>
      <c r="L232" s="76"/>
      <c r="M232" s="76"/>
      <c r="N232" s="76"/>
      <c r="O232" s="76"/>
      <c r="P232" s="76"/>
      <c r="Q232" s="76"/>
      <c r="R232" s="76"/>
      <c r="S232" s="76"/>
    </row>
    <row r="233" spans="1:19">
      <c r="A233" s="76"/>
      <c r="B233" s="76"/>
      <c r="C233" s="76"/>
      <c r="D233" s="76"/>
      <c r="E233" s="76"/>
      <c r="F233" s="76"/>
      <c r="G233" s="76"/>
      <c r="H233" s="76"/>
      <c r="I233" s="76"/>
      <c r="J233" s="76"/>
      <c r="K233" s="76"/>
      <c r="L233" s="76"/>
      <c r="M233" s="76"/>
      <c r="N233" s="76"/>
      <c r="O233" s="76"/>
      <c r="P233" s="76"/>
      <c r="Q233" s="76"/>
      <c r="R233" s="76"/>
      <c r="S233" s="76"/>
    </row>
    <row r="234" spans="1:19">
      <c r="A234" s="105" t="s">
        <v>415</v>
      </c>
      <c r="B234" s="108"/>
      <c r="C234" s="108"/>
      <c r="D234" s="76"/>
      <c r="E234" s="76"/>
      <c r="F234" s="76"/>
      <c r="G234" s="76"/>
      <c r="H234" s="76"/>
      <c r="I234" s="76"/>
      <c r="J234" s="76"/>
      <c r="K234" s="76"/>
      <c r="L234" s="76"/>
      <c r="M234" s="76"/>
      <c r="N234" s="76"/>
      <c r="O234" s="76"/>
      <c r="P234" s="76"/>
      <c r="Q234" s="76"/>
      <c r="R234" s="76"/>
      <c r="S234" s="76"/>
    </row>
    <row r="235" spans="1:19">
      <c r="A235" s="104" t="s">
        <v>416</v>
      </c>
      <c r="B235" s="106" t="str">
        <f>B210</f>
        <v>MyCounty</v>
      </c>
      <c r="C235" s="76" t="str">
        <f>C210</f>
        <v>MyRegion</v>
      </c>
      <c r="D235" s="76"/>
      <c r="E235" s="76"/>
      <c r="F235" s="76"/>
      <c r="G235" s="76"/>
      <c r="H235" s="76"/>
      <c r="I235" s="76"/>
      <c r="J235" s="76"/>
      <c r="K235" s="76"/>
      <c r="L235" s="76"/>
      <c r="M235" s="76"/>
      <c r="N235" s="76"/>
      <c r="O235" s="76"/>
      <c r="P235" s="76"/>
      <c r="Q235" s="76"/>
      <c r="R235" s="76"/>
      <c r="S235" s="76"/>
    </row>
    <row r="236" spans="1:19">
      <c r="A236" s="389" t="s">
        <v>383</v>
      </c>
      <c r="B236" s="98">
        <v>0</v>
      </c>
      <c r="C236" s="98">
        <v>0</v>
      </c>
      <c r="D236" s="76"/>
      <c r="E236" s="76"/>
      <c r="F236" s="76"/>
      <c r="G236" s="76"/>
      <c r="H236" s="76"/>
      <c r="I236" s="76"/>
      <c r="J236" s="76"/>
      <c r="K236" s="76"/>
      <c r="L236" s="76"/>
      <c r="M236" s="76"/>
      <c r="N236" s="76"/>
      <c r="O236" s="76"/>
      <c r="P236" s="76"/>
      <c r="Q236" s="76"/>
      <c r="R236" s="76"/>
      <c r="S236" s="76"/>
    </row>
    <row r="237" spans="1:19">
      <c r="A237" s="389" t="s">
        <v>384</v>
      </c>
      <c r="B237" s="98">
        <v>0</v>
      </c>
      <c r="C237" s="98">
        <v>0</v>
      </c>
      <c r="D237" s="76"/>
      <c r="E237" s="76"/>
      <c r="F237" s="76"/>
      <c r="G237" s="76"/>
      <c r="H237" s="76"/>
      <c r="I237" s="76"/>
      <c r="J237" s="76"/>
      <c r="K237" s="76"/>
      <c r="L237" s="76"/>
      <c r="M237" s="76"/>
      <c r="N237" s="76"/>
      <c r="O237" s="76"/>
      <c r="P237" s="76"/>
      <c r="Q237" s="76"/>
      <c r="R237" s="76"/>
      <c r="S237" s="76"/>
    </row>
    <row r="238" spans="1:19">
      <c r="A238" s="389" t="s">
        <v>385</v>
      </c>
      <c r="B238" s="98">
        <v>0</v>
      </c>
      <c r="C238" s="98">
        <v>0</v>
      </c>
      <c r="D238" s="76"/>
      <c r="E238" s="76"/>
      <c r="F238" s="76"/>
      <c r="G238" s="76"/>
      <c r="H238" s="76"/>
      <c r="I238" s="76"/>
      <c r="J238" s="76"/>
      <c r="K238" s="76"/>
      <c r="L238" s="76"/>
      <c r="M238" s="76"/>
      <c r="N238" s="76"/>
      <c r="O238" s="76"/>
      <c r="P238" s="76"/>
      <c r="Q238" s="76"/>
      <c r="R238" s="76"/>
      <c r="S238" s="76"/>
    </row>
    <row r="239" spans="1:19">
      <c r="A239" s="389" t="s">
        <v>386</v>
      </c>
      <c r="B239" s="98">
        <v>0</v>
      </c>
      <c r="C239" s="98">
        <v>0</v>
      </c>
      <c r="D239" s="76"/>
      <c r="E239" s="76"/>
      <c r="F239" s="76"/>
      <c r="G239" s="76"/>
      <c r="H239" s="76"/>
      <c r="I239" s="76"/>
      <c r="J239" s="76"/>
      <c r="K239" s="76"/>
      <c r="L239" s="76"/>
      <c r="M239" s="76"/>
      <c r="N239" s="76"/>
      <c r="O239" s="76"/>
      <c r="P239" s="76"/>
      <c r="Q239" s="76"/>
      <c r="R239" s="76"/>
      <c r="S239" s="76"/>
    </row>
    <row r="240" spans="1:19">
      <c r="A240" s="389" t="s">
        <v>387</v>
      </c>
      <c r="B240" s="98">
        <v>0</v>
      </c>
      <c r="C240" s="98">
        <v>0</v>
      </c>
      <c r="D240" s="76"/>
      <c r="E240" s="76"/>
      <c r="F240" s="76"/>
      <c r="G240" s="76"/>
      <c r="H240" s="76"/>
      <c r="I240" s="76"/>
      <c r="J240" s="76"/>
      <c r="K240" s="76"/>
      <c r="L240" s="76"/>
      <c r="M240" s="76"/>
      <c r="N240" s="76"/>
      <c r="O240" s="76"/>
      <c r="P240" s="76"/>
      <c r="Q240" s="76"/>
      <c r="R240" s="76"/>
      <c r="S240" s="76"/>
    </row>
    <row r="241" spans="1:19">
      <c r="A241" s="389" t="s">
        <v>388</v>
      </c>
      <c r="B241" s="98">
        <v>0</v>
      </c>
      <c r="C241" s="98">
        <v>0</v>
      </c>
      <c r="D241" s="76"/>
      <c r="E241" s="76"/>
      <c r="F241" s="76"/>
      <c r="G241" s="76"/>
      <c r="H241" s="76"/>
      <c r="I241" s="76"/>
      <c r="J241" s="76"/>
      <c r="K241" s="76"/>
      <c r="L241" s="76"/>
      <c r="M241" s="76"/>
      <c r="N241" s="76"/>
      <c r="O241" s="76"/>
      <c r="P241" s="76"/>
      <c r="Q241" s="76"/>
      <c r="R241" s="76"/>
      <c r="S241" s="76"/>
    </row>
    <row r="242" spans="1:19">
      <c r="A242" s="389" t="s">
        <v>389</v>
      </c>
      <c r="B242" s="98">
        <v>0</v>
      </c>
      <c r="C242" s="98">
        <v>0</v>
      </c>
      <c r="D242" s="76"/>
      <c r="E242" s="76"/>
      <c r="F242" s="76"/>
      <c r="G242" s="76"/>
      <c r="H242" s="76"/>
      <c r="I242" s="76"/>
      <c r="J242" s="76"/>
      <c r="K242" s="76"/>
      <c r="L242" s="76"/>
      <c r="M242" s="76"/>
      <c r="N242" s="76"/>
      <c r="O242" s="76"/>
      <c r="P242" s="76"/>
      <c r="Q242" s="76"/>
      <c r="R242" s="76"/>
      <c r="S242" s="76"/>
    </row>
    <row r="243" spans="1:19">
      <c r="A243" s="389" t="s">
        <v>390</v>
      </c>
      <c r="B243" s="98">
        <v>0</v>
      </c>
      <c r="C243" s="98">
        <v>0</v>
      </c>
      <c r="D243" s="76"/>
      <c r="E243" s="76"/>
      <c r="F243" s="76"/>
      <c r="G243" s="76"/>
      <c r="H243" s="76"/>
      <c r="I243" s="76"/>
      <c r="J243" s="76"/>
      <c r="K243" s="76"/>
      <c r="L243" s="76"/>
      <c r="M243" s="76"/>
      <c r="N243" s="76"/>
      <c r="O243" s="76"/>
      <c r="P243" s="76"/>
      <c r="Q243" s="76"/>
      <c r="R243" s="76"/>
      <c r="S243" s="76"/>
    </row>
    <row r="244" spans="1:19">
      <c r="A244" s="389" t="s">
        <v>391</v>
      </c>
      <c r="B244" s="98">
        <v>0</v>
      </c>
      <c r="C244" s="98">
        <v>0</v>
      </c>
      <c r="D244" s="76"/>
      <c r="E244" s="76"/>
      <c r="F244" s="76"/>
      <c r="G244" s="76"/>
      <c r="H244" s="76"/>
      <c r="I244" s="76"/>
      <c r="J244" s="76"/>
      <c r="K244" s="76"/>
      <c r="L244" s="76"/>
      <c r="M244" s="76"/>
      <c r="N244" s="76"/>
      <c r="O244" s="76"/>
      <c r="P244" s="76"/>
      <c r="Q244" s="76"/>
      <c r="R244" s="76"/>
      <c r="S244" s="76"/>
    </row>
    <row r="245" spans="1:19">
      <c r="A245" s="389" t="s">
        <v>392</v>
      </c>
      <c r="B245" s="98">
        <v>0</v>
      </c>
      <c r="C245" s="98">
        <v>0</v>
      </c>
      <c r="D245" s="76"/>
      <c r="E245" s="76"/>
      <c r="F245" s="76"/>
      <c r="G245" s="76"/>
      <c r="H245" s="76"/>
      <c r="I245" s="76"/>
      <c r="J245" s="76"/>
      <c r="K245" s="76"/>
      <c r="L245" s="76"/>
      <c r="M245" s="76"/>
      <c r="N245" s="76"/>
      <c r="O245" s="76"/>
      <c r="P245" s="76"/>
      <c r="Q245" s="76"/>
      <c r="R245" s="76"/>
      <c r="S245" s="76"/>
    </row>
    <row r="246" spans="1:19">
      <c r="A246" s="389" t="s">
        <v>393</v>
      </c>
      <c r="B246" s="98">
        <v>0</v>
      </c>
      <c r="C246" s="98">
        <v>0</v>
      </c>
      <c r="D246" s="76"/>
      <c r="E246" s="76"/>
      <c r="F246" s="76"/>
      <c r="G246" s="76"/>
      <c r="H246" s="76"/>
      <c r="I246" s="76"/>
      <c r="J246" s="76"/>
      <c r="K246" s="76"/>
      <c r="L246" s="76"/>
      <c r="M246" s="76"/>
      <c r="N246" s="76"/>
      <c r="O246" s="76"/>
      <c r="P246" s="76"/>
      <c r="Q246" s="76"/>
      <c r="R246" s="76"/>
      <c r="S246" s="76"/>
    </row>
    <row r="247" spans="1:19">
      <c r="A247" s="389" t="s">
        <v>394</v>
      </c>
      <c r="B247" s="98">
        <v>0</v>
      </c>
      <c r="C247" s="98">
        <v>0</v>
      </c>
      <c r="D247" s="76"/>
      <c r="E247" s="76"/>
      <c r="F247" s="76"/>
      <c r="G247" s="76"/>
      <c r="H247" s="76"/>
      <c r="I247" s="76"/>
      <c r="J247" s="76"/>
      <c r="K247" s="76"/>
      <c r="L247" s="76"/>
      <c r="M247" s="76"/>
      <c r="N247" s="76"/>
      <c r="O247" s="76"/>
      <c r="P247" s="76"/>
      <c r="Q247" s="76"/>
      <c r="R247" s="76"/>
      <c r="S247" s="76"/>
    </row>
    <row r="248" spans="1:19">
      <c r="A248" s="389" t="s">
        <v>395</v>
      </c>
      <c r="B248" s="98">
        <v>0</v>
      </c>
      <c r="C248" s="98">
        <v>0</v>
      </c>
      <c r="D248" s="76"/>
      <c r="E248" s="76"/>
      <c r="F248" s="76"/>
      <c r="G248" s="76"/>
      <c r="H248" s="76"/>
      <c r="I248" s="76"/>
      <c r="J248" s="76"/>
      <c r="K248" s="76"/>
      <c r="L248" s="76"/>
      <c r="M248" s="76"/>
      <c r="N248" s="76"/>
      <c r="O248" s="76"/>
      <c r="P248" s="76"/>
      <c r="Q248" s="76"/>
      <c r="R248" s="76"/>
      <c r="S248" s="76"/>
    </row>
    <row r="249" spans="1:19">
      <c r="A249" s="389" t="s">
        <v>396</v>
      </c>
      <c r="B249" s="98">
        <v>0</v>
      </c>
      <c r="C249" s="98">
        <v>0</v>
      </c>
      <c r="D249" s="76"/>
      <c r="E249" s="76"/>
      <c r="F249" s="76"/>
      <c r="G249" s="76"/>
      <c r="H249" s="76"/>
      <c r="I249" s="76"/>
      <c r="J249" s="76"/>
      <c r="K249" s="76"/>
      <c r="L249" s="76"/>
      <c r="M249" s="76"/>
      <c r="N249" s="76"/>
      <c r="O249" s="76"/>
      <c r="P249" s="76"/>
      <c r="Q249" s="76"/>
      <c r="R249" s="76"/>
      <c r="S249" s="76"/>
    </row>
    <row r="250" spans="1:19">
      <c r="A250" s="389" t="s">
        <v>397</v>
      </c>
      <c r="B250" s="98">
        <v>0</v>
      </c>
      <c r="C250" s="98">
        <v>0</v>
      </c>
      <c r="D250" s="76"/>
      <c r="E250" s="76"/>
      <c r="F250" s="76"/>
      <c r="G250" s="76"/>
      <c r="H250" s="76"/>
      <c r="I250" s="76"/>
      <c r="J250" s="76"/>
      <c r="K250" s="76"/>
      <c r="L250" s="76"/>
      <c r="M250" s="76"/>
      <c r="N250" s="76"/>
      <c r="O250" s="76"/>
      <c r="P250" s="76"/>
      <c r="Q250" s="76"/>
      <c r="R250" s="76"/>
      <c r="S250" s="76"/>
    </row>
    <row r="251" spans="1:19">
      <c r="A251" s="389" t="s">
        <v>398</v>
      </c>
      <c r="B251" s="98">
        <v>0</v>
      </c>
      <c r="C251" s="98">
        <v>0</v>
      </c>
      <c r="D251" s="76"/>
      <c r="E251" s="76"/>
      <c r="F251" s="76"/>
      <c r="G251" s="76"/>
      <c r="H251" s="76"/>
      <c r="I251" s="76"/>
      <c r="J251" s="76"/>
      <c r="K251" s="76"/>
      <c r="L251" s="76"/>
      <c r="M251" s="76"/>
      <c r="N251" s="76"/>
      <c r="O251" s="76"/>
      <c r="P251" s="76"/>
      <c r="Q251" s="76"/>
      <c r="R251" s="76"/>
      <c r="S251" s="76"/>
    </row>
    <row r="252" spans="1:19">
      <c r="A252" s="389" t="s">
        <v>399</v>
      </c>
      <c r="B252" s="98">
        <v>0</v>
      </c>
      <c r="C252" s="98">
        <v>0</v>
      </c>
      <c r="D252" s="76"/>
      <c r="E252" s="76"/>
      <c r="F252" s="76"/>
      <c r="G252" s="76"/>
      <c r="H252" s="76"/>
      <c r="I252" s="76"/>
      <c r="J252" s="76"/>
      <c r="K252" s="76"/>
      <c r="L252" s="76"/>
      <c r="M252" s="76"/>
      <c r="N252" s="76"/>
      <c r="O252" s="76"/>
      <c r="P252" s="76"/>
      <c r="Q252" s="76"/>
      <c r="R252" s="76"/>
      <c r="S252" s="76"/>
    </row>
    <row r="253" spans="1:19">
      <c r="A253" s="389" t="s">
        <v>400</v>
      </c>
      <c r="B253" s="98">
        <v>0</v>
      </c>
      <c r="C253" s="98">
        <v>0</v>
      </c>
      <c r="D253" s="76"/>
      <c r="E253" s="76"/>
      <c r="F253" s="76"/>
      <c r="G253" s="76"/>
      <c r="H253" s="76"/>
      <c r="I253" s="76"/>
      <c r="J253" s="76"/>
      <c r="K253" s="76"/>
      <c r="L253" s="76"/>
      <c r="M253" s="76"/>
      <c r="N253" s="76"/>
      <c r="O253" s="76"/>
      <c r="P253" s="76"/>
      <c r="Q253" s="76"/>
      <c r="R253" s="76"/>
      <c r="S253" s="76"/>
    </row>
    <row r="254" spans="1:19">
      <c r="A254" s="389" t="s">
        <v>401</v>
      </c>
      <c r="B254" s="98">
        <v>0</v>
      </c>
      <c r="C254" s="98">
        <v>0</v>
      </c>
      <c r="D254" s="76"/>
      <c r="E254" s="76"/>
      <c r="F254" s="76"/>
      <c r="G254" s="76"/>
      <c r="H254" s="76"/>
      <c r="I254" s="76"/>
      <c r="J254" s="76"/>
      <c r="K254" s="76"/>
      <c r="L254" s="76"/>
      <c r="M254" s="76"/>
      <c r="N254" s="76"/>
      <c r="O254" s="76"/>
      <c r="P254" s="76"/>
      <c r="Q254" s="76"/>
      <c r="R254" s="76"/>
      <c r="S254" s="76"/>
    </row>
    <row r="255" spans="1:19">
      <c r="A255" s="389" t="s">
        <v>402</v>
      </c>
      <c r="B255" s="98">
        <v>0</v>
      </c>
      <c r="C255" s="98">
        <v>0</v>
      </c>
      <c r="D255" s="76"/>
      <c r="E255" s="76"/>
      <c r="F255" s="76"/>
      <c r="G255" s="76"/>
      <c r="H255" s="76"/>
      <c r="I255" s="76"/>
      <c r="J255" s="76"/>
      <c r="K255" s="76"/>
      <c r="L255" s="76"/>
      <c r="M255" s="76"/>
      <c r="N255" s="76"/>
      <c r="O255" s="76"/>
      <c r="P255" s="76"/>
      <c r="Q255" s="76"/>
      <c r="R255" s="76"/>
      <c r="S255" s="76"/>
    </row>
    <row r="256" spans="1:19">
      <c r="A256" s="389" t="s">
        <v>403</v>
      </c>
      <c r="B256" s="98">
        <v>0</v>
      </c>
      <c r="C256" s="98">
        <v>0</v>
      </c>
      <c r="D256" s="76"/>
      <c r="E256" s="76"/>
      <c r="F256" s="76"/>
      <c r="G256" s="76"/>
      <c r="H256" s="76"/>
      <c r="I256" s="76"/>
      <c r="J256" s="76"/>
      <c r="K256" s="76"/>
      <c r="L256" s="76"/>
      <c r="M256" s="76"/>
      <c r="N256" s="76"/>
      <c r="O256" s="76"/>
      <c r="P256" s="76"/>
      <c r="Q256" s="76"/>
      <c r="R256" s="76"/>
      <c r="S256" s="76"/>
    </row>
    <row r="257" spans="1:19">
      <c r="A257" s="389" t="s">
        <v>404</v>
      </c>
      <c r="B257" s="98">
        <v>0</v>
      </c>
      <c r="C257" s="98">
        <v>0</v>
      </c>
      <c r="D257" s="76"/>
      <c r="E257" s="76"/>
      <c r="F257" s="76"/>
      <c r="G257" s="76"/>
      <c r="H257" s="76"/>
      <c r="I257" s="76"/>
      <c r="J257" s="76"/>
      <c r="K257" s="76"/>
      <c r="L257" s="76"/>
      <c r="M257" s="76"/>
      <c r="N257" s="76"/>
      <c r="O257" s="76"/>
      <c r="P257" s="76"/>
      <c r="Q257" s="76"/>
      <c r="R257" s="76"/>
      <c r="S257" s="76"/>
    </row>
    <row r="258" spans="1:19">
      <c r="A258" s="101"/>
      <c r="B258" s="108"/>
      <c r="C258" s="108"/>
      <c r="D258" s="76"/>
      <c r="E258" s="76"/>
      <c r="F258" s="76"/>
      <c r="G258" s="76"/>
      <c r="H258" s="76"/>
      <c r="I258" s="76"/>
      <c r="J258" s="76"/>
      <c r="K258" s="76"/>
      <c r="L258" s="76"/>
      <c r="M258" s="76"/>
      <c r="N258" s="76"/>
      <c r="O258" s="76"/>
      <c r="P258" s="76"/>
      <c r="Q258" s="76"/>
      <c r="R258" s="76"/>
      <c r="S258" s="76"/>
    </row>
    <row r="259" spans="1:19">
      <c r="A259" s="105" t="s">
        <v>415</v>
      </c>
      <c r="B259" s="108"/>
      <c r="C259" s="108"/>
      <c r="D259" s="76"/>
      <c r="E259" s="76"/>
      <c r="F259" s="76"/>
      <c r="G259" s="76"/>
      <c r="H259" s="76"/>
      <c r="I259" s="76"/>
      <c r="J259" s="76"/>
      <c r="K259" s="76"/>
      <c r="L259" s="76"/>
      <c r="M259" s="76"/>
      <c r="N259" s="76"/>
      <c r="O259" s="76"/>
      <c r="P259" s="76"/>
      <c r="Q259" s="76"/>
      <c r="R259" s="76"/>
      <c r="S259" s="76"/>
    </row>
    <row r="260" spans="1:19">
      <c r="A260" s="104" t="s">
        <v>417</v>
      </c>
      <c r="B260" s="106" t="str">
        <f>B235</f>
        <v>MyCounty</v>
      </c>
      <c r="C260" s="76" t="str">
        <f>C235</f>
        <v>MyRegion</v>
      </c>
      <c r="D260" s="76"/>
      <c r="E260" s="76"/>
      <c r="F260" s="76"/>
      <c r="G260" s="76"/>
      <c r="H260" s="76"/>
      <c r="I260" s="76"/>
      <c r="J260" s="76"/>
      <c r="K260" s="76"/>
      <c r="L260" s="76"/>
      <c r="M260" s="76"/>
      <c r="N260" s="76"/>
      <c r="O260" s="76"/>
      <c r="P260" s="76"/>
      <c r="Q260" s="76"/>
      <c r="R260" s="76"/>
      <c r="S260" s="76"/>
    </row>
    <row r="261" spans="1:19">
      <c r="A261" s="389" t="s">
        <v>383</v>
      </c>
      <c r="B261" s="98">
        <v>0</v>
      </c>
      <c r="C261" s="98">
        <v>0</v>
      </c>
      <c r="D261" s="76"/>
      <c r="E261" s="76"/>
      <c r="F261" s="76"/>
      <c r="G261" s="76"/>
      <c r="H261" s="76"/>
      <c r="I261" s="76"/>
      <c r="J261" s="76"/>
      <c r="K261" s="76"/>
      <c r="L261" s="76"/>
      <c r="M261" s="76"/>
      <c r="N261" s="76"/>
      <c r="O261" s="76"/>
      <c r="P261" s="76"/>
      <c r="Q261" s="76"/>
      <c r="R261" s="76"/>
      <c r="S261" s="76"/>
    </row>
    <row r="262" spans="1:19">
      <c r="A262" s="389" t="s">
        <v>384</v>
      </c>
      <c r="B262" s="98">
        <v>0</v>
      </c>
      <c r="C262" s="98">
        <v>0</v>
      </c>
      <c r="D262" s="76"/>
      <c r="E262" s="76"/>
      <c r="F262" s="76"/>
      <c r="G262" s="76"/>
      <c r="H262" s="76"/>
      <c r="I262" s="76"/>
      <c r="J262" s="76"/>
      <c r="K262" s="76"/>
      <c r="L262" s="76"/>
      <c r="M262" s="76"/>
      <c r="N262" s="76"/>
      <c r="O262" s="76"/>
      <c r="P262" s="76"/>
      <c r="Q262" s="76"/>
      <c r="R262" s="76"/>
      <c r="S262" s="76"/>
    </row>
    <row r="263" spans="1:19">
      <c r="A263" s="389" t="s">
        <v>385</v>
      </c>
      <c r="B263" s="98">
        <v>0</v>
      </c>
      <c r="C263" s="98">
        <v>0</v>
      </c>
      <c r="D263" s="76"/>
      <c r="E263" s="76"/>
      <c r="F263" s="76"/>
      <c r="G263" s="76"/>
      <c r="H263" s="76"/>
      <c r="I263" s="76"/>
      <c r="J263" s="76"/>
      <c r="K263" s="76"/>
      <c r="L263" s="76"/>
      <c r="M263" s="76"/>
      <c r="N263" s="76"/>
      <c r="O263" s="76"/>
      <c r="P263" s="76"/>
      <c r="Q263" s="76"/>
      <c r="R263" s="76"/>
      <c r="S263" s="76"/>
    </row>
    <row r="264" spans="1:19">
      <c r="A264" s="389" t="s">
        <v>386</v>
      </c>
      <c r="B264" s="98">
        <v>0</v>
      </c>
      <c r="C264" s="98">
        <v>0</v>
      </c>
      <c r="D264" s="76"/>
      <c r="E264" s="76"/>
      <c r="F264" s="76"/>
      <c r="G264" s="76"/>
      <c r="H264" s="76"/>
      <c r="I264" s="76"/>
      <c r="J264" s="76"/>
      <c r="K264" s="76"/>
      <c r="L264" s="76"/>
      <c r="M264" s="76"/>
      <c r="N264" s="76"/>
      <c r="O264" s="76"/>
      <c r="P264" s="76"/>
      <c r="Q264" s="76"/>
      <c r="R264" s="76"/>
      <c r="S264" s="76"/>
    </row>
    <row r="265" spans="1:19">
      <c r="A265" s="389" t="s">
        <v>387</v>
      </c>
      <c r="B265" s="98">
        <v>0</v>
      </c>
      <c r="C265" s="98">
        <v>0</v>
      </c>
      <c r="D265" s="76"/>
      <c r="E265" s="76"/>
      <c r="F265" s="76"/>
      <c r="G265" s="76"/>
      <c r="H265" s="76"/>
      <c r="I265" s="76"/>
      <c r="J265" s="76"/>
      <c r="K265" s="76"/>
      <c r="L265" s="76"/>
      <c r="M265" s="76"/>
      <c r="N265" s="76"/>
      <c r="O265" s="76"/>
      <c r="P265" s="76"/>
      <c r="Q265" s="76"/>
      <c r="R265" s="76"/>
      <c r="S265" s="76"/>
    </row>
    <row r="266" spans="1:19">
      <c r="A266" s="389" t="s">
        <v>388</v>
      </c>
      <c r="B266" s="98">
        <v>0</v>
      </c>
      <c r="C266" s="98">
        <v>0</v>
      </c>
      <c r="D266" s="76"/>
      <c r="E266" s="76"/>
      <c r="F266" s="76"/>
      <c r="G266" s="76"/>
      <c r="H266" s="76"/>
      <c r="I266" s="76"/>
      <c r="J266" s="76"/>
      <c r="K266" s="76"/>
      <c r="L266" s="76"/>
      <c r="M266" s="76"/>
      <c r="N266" s="76"/>
      <c r="O266" s="76"/>
      <c r="P266" s="76"/>
      <c r="Q266" s="76"/>
      <c r="R266" s="76"/>
      <c r="S266" s="76"/>
    </row>
    <row r="267" spans="1:19">
      <c r="A267" s="389" t="s">
        <v>389</v>
      </c>
      <c r="B267" s="98">
        <v>0</v>
      </c>
      <c r="C267" s="98">
        <v>0</v>
      </c>
      <c r="D267" s="76"/>
      <c r="E267" s="76"/>
      <c r="F267" s="76"/>
      <c r="G267" s="76"/>
      <c r="H267" s="76"/>
      <c r="I267" s="76"/>
      <c r="J267" s="76"/>
      <c r="K267" s="76"/>
      <c r="L267" s="76"/>
      <c r="M267" s="76"/>
      <c r="N267" s="76"/>
      <c r="O267" s="76"/>
      <c r="P267" s="76"/>
      <c r="Q267" s="76"/>
      <c r="R267" s="76"/>
      <c r="S267" s="76"/>
    </row>
    <row r="268" spans="1:19">
      <c r="A268" s="389" t="s">
        <v>390</v>
      </c>
      <c r="B268" s="98">
        <v>0</v>
      </c>
      <c r="C268" s="98">
        <v>0</v>
      </c>
      <c r="D268" s="76"/>
      <c r="E268" s="76"/>
      <c r="F268" s="76"/>
      <c r="G268" s="76"/>
      <c r="H268" s="76"/>
      <c r="I268" s="76"/>
      <c r="J268" s="76"/>
      <c r="K268" s="76"/>
      <c r="L268" s="76"/>
      <c r="M268" s="76"/>
      <c r="N268" s="76"/>
      <c r="O268" s="76"/>
      <c r="P268" s="76"/>
      <c r="Q268" s="76"/>
      <c r="R268" s="76"/>
      <c r="S268" s="76"/>
    </row>
    <row r="269" spans="1:19">
      <c r="A269" s="389" t="s">
        <v>391</v>
      </c>
      <c r="B269" s="98">
        <v>0</v>
      </c>
      <c r="C269" s="98">
        <v>0</v>
      </c>
      <c r="D269" s="76"/>
      <c r="E269" s="76"/>
      <c r="F269" s="76"/>
      <c r="G269" s="76"/>
      <c r="H269" s="76"/>
      <c r="I269" s="76"/>
      <c r="J269" s="76"/>
      <c r="K269" s="76"/>
      <c r="L269" s="76"/>
      <c r="M269" s="76"/>
      <c r="N269" s="76"/>
      <c r="O269" s="76"/>
      <c r="P269" s="76"/>
      <c r="Q269" s="76"/>
      <c r="R269" s="76"/>
      <c r="S269" s="76"/>
    </row>
    <row r="270" spans="1:19">
      <c r="A270" s="389" t="s">
        <v>392</v>
      </c>
      <c r="B270" s="98">
        <v>0</v>
      </c>
      <c r="C270" s="98">
        <v>0</v>
      </c>
      <c r="D270" s="76"/>
      <c r="E270" s="76"/>
      <c r="F270" s="76"/>
      <c r="G270" s="76"/>
      <c r="H270" s="76"/>
      <c r="I270" s="76"/>
      <c r="J270" s="76"/>
      <c r="K270" s="76"/>
      <c r="L270" s="76"/>
      <c r="M270" s="76"/>
      <c r="N270" s="76"/>
      <c r="O270" s="76"/>
      <c r="P270" s="76"/>
      <c r="Q270" s="76"/>
      <c r="R270" s="76"/>
      <c r="S270" s="76"/>
    </row>
    <row r="271" spans="1:19">
      <c r="A271" s="389" t="s">
        <v>393</v>
      </c>
      <c r="B271" s="98">
        <v>0</v>
      </c>
      <c r="C271" s="98">
        <v>0</v>
      </c>
      <c r="D271" s="76"/>
      <c r="E271" s="76"/>
      <c r="F271" s="76"/>
      <c r="G271" s="76"/>
      <c r="H271" s="76"/>
      <c r="I271" s="76"/>
      <c r="J271" s="76"/>
      <c r="K271" s="76"/>
      <c r="L271" s="76"/>
      <c r="M271" s="76"/>
      <c r="N271" s="76"/>
      <c r="O271" s="76"/>
      <c r="P271" s="76"/>
      <c r="Q271" s="76"/>
      <c r="R271" s="76"/>
      <c r="S271" s="76"/>
    </row>
    <row r="272" spans="1:19">
      <c r="A272" s="389" t="s">
        <v>394</v>
      </c>
      <c r="B272" s="98">
        <v>0</v>
      </c>
      <c r="C272" s="98">
        <v>0</v>
      </c>
      <c r="D272" s="76"/>
      <c r="E272" s="76"/>
      <c r="F272" s="76"/>
      <c r="G272" s="76"/>
      <c r="H272" s="76"/>
      <c r="I272" s="76"/>
      <c r="J272" s="76"/>
      <c r="K272" s="76"/>
      <c r="L272" s="76"/>
      <c r="M272" s="76"/>
      <c r="N272" s="76"/>
      <c r="O272" s="76"/>
      <c r="P272" s="76"/>
      <c r="Q272" s="76"/>
      <c r="R272" s="76"/>
      <c r="S272" s="76"/>
    </row>
    <row r="273" spans="1:19">
      <c r="A273" s="389" t="s">
        <v>395</v>
      </c>
      <c r="B273" s="98">
        <v>0</v>
      </c>
      <c r="C273" s="98">
        <v>0</v>
      </c>
      <c r="D273" s="76"/>
      <c r="E273" s="76"/>
      <c r="F273" s="76"/>
      <c r="G273" s="76"/>
      <c r="H273" s="76"/>
      <c r="I273" s="76"/>
      <c r="J273" s="76"/>
      <c r="K273" s="76"/>
      <c r="L273" s="76"/>
      <c r="M273" s="76"/>
      <c r="N273" s="76"/>
      <c r="O273" s="76"/>
      <c r="P273" s="76"/>
      <c r="Q273" s="76"/>
      <c r="R273" s="76"/>
      <c r="S273" s="76"/>
    </row>
    <row r="274" spans="1:19">
      <c r="A274" s="389" t="s">
        <v>396</v>
      </c>
      <c r="B274" s="98">
        <v>0</v>
      </c>
      <c r="C274" s="98">
        <v>0</v>
      </c>
      <c r="D274" s="76"/>
      <c r="E274" s="76"/>
      <c r="F274" s="76"/>
      <c r="G274" s="76"/>
      <c r="H274" s="76"/>
      <c r="I274" s="76"/>
      <c r="J274" s="76"/>
      <c r="K274" s="76"/>
      <c r="L274" s="76"/>
      <c r="M274" s="76"/>
      <c r="N274" s="76"/>
      <c r="O274" s="76"/>
      <c r="P274" s="76"/>
      <c r="Q274" s="76"/>
      <c r="R274" s="76"/>
      <c r="S274" s="76"/>
    </row>
    <row r="275" spans="1:19">
      <c r="A275" s="389" t="s">
        <v>397</v>
      </c>
      <c r="B275" s="98">
        <v>0</v>
      </c>
      <c r="C275" s="98">
        <v>0</v>
      </c>
      <c r="D275" s="76"/>
      <c r="E275" s="76"/>
      <c r="F275" s="76"/>
      <c r="G275" s="76"/>
      <c r="H275" s="76"/>
      <c r="I275" s="76"/>
      <c r="J275" s="76"/>
      <c r="K275" s="76"/>
      <c r="L275" s="76"/>
      <c r="M275" s="76"/>
      <c r="N275" s="76"/>
      <c r="O275" s="76"/>
      <c r="P275" s="76"/>
      <c r="Q275" s="76"/>
      <c r="R275" s="76"/>
      <c r="S275" s="76"/>
    </row>
    <row r="276" spans="1:19">
      <c r="A276" s="389" t="s">
        <v>398</v>
      </c>
      <c r="B276" s="98">
        <v>0</v>
      </c>
      <c r="C276" s="98">
        <v>0</v>
      </c>
      <c r="D276" s="76"/>
      <c r="E276" s="76"/>
      <c r="F276" s="76"/>
      <c r="G276" s="76"/>
      <c r="H276" s="76"/>
      <c r="I276" s="76"/>
      <c r="J276" s="76"/>
      <c r="K276" s="76"/>
      <c r="L276" s="76"/>
      <c r="M276" s="76"/>
      <c r="N276" s="76"/>
      <c r="O276" s="76"/>
      <c r="P276" s="76"/>
      <c r="Q276" s="76"/>
      <c r="R276" s="76"/>
      <c r="S276" s="76"/>
    </row>
    <row r="277" spans="1:19">
      <c r="A277" s="389" t="s">
        <v>399</v>
      </c>
      <c r="B277" s="98">
        <v>0</v>
      </c>
      <c r="C277" s="98">
        <v>0</v>
      </c>
      <c r="D277" s="76"/>
      <c r="E277" s="76"/>
      <c r="F277" s="76"/>
      <c r="G277" s="76"/>
      <c r="H277" s="76"/>
      <c r="I277" s="76"/>
      <c r="J277" s="76"/>
      <c r="K277" s="76"/>
      <c r="L277" s="76"/>
      <c r="M277" s="76"/>
      <c r="N277" s="76"/>
      <c r="O277" s="76"/>
      <c r="P277" s="76"/>
      <c r="Q277" s="76"/>
      <c r="R277" s="76"/>
      <c r="S277" s="76"/>
    </row>
    <row r="278" spans="1:19">
      <c r="A278" s="389" t="s">
        <v>400</v>
      </c>
      <c r="B278" s="98">
        <v>0</v>
      </c>
      <c r="C278" s="98">
        <v>0</v>
      </c>
      <c r="D278" s="76"/>
      <c r="E278" s="76"/>
      <c r="F278" s="76"/>
      <c r="G278" s="76"/>
      <c r="H278" s="76"/>
      <c r="I278" s="76"/>
      <c r="J278" s="76"/>
      <c r="K278" s="76"/>
      <c r="L278" s="76"/>
      <c r="M278" s="76"/>
      <c r="N278" s="76"/>
      <c r="O278" s="76"/>
      <c r="P278" s="76"/>
      <c r="Q278" s="76"/>
      <c r="R278" s="76"/>
      <c r="S278" s="76"/>
    </row>
    <row r="279" spans="1:19">
      <c r="A279" s="389" t="s">
        <v>401</v>
      </c>
      <c r="B279" s="98">
        <v>0</v>
      </c>
      <c r="C279" s="98">
        <v>0</v>
      </c>
      <c r="D279" s="76"/>
      <c r="E279" s="76"/>
      <c r="F279" s="76"/>
      <c r="G279" s="76"/>
      <c r="H279" s="76"/>
      <c r="I279" s="76"/>
      <c r="J279" s="76"/>
      <c r="K279" s="76"/>
      <c r="L279" s="76"/>
      <c r="M279" s="76"/>
      <c r="N279" s="76"/>
      <c r="O279" s="76"/>
      <c r="P279" s="76"/>
      <c r="Q279" s="76"/>
      <c r="R279" s="76"/>
      <c r="S279" s="76"/>
    </row>
    <row r="280" spans="1:19">
      <c r="A280" s="389" t="s">
        <v>402</v>
      </c>
      <c r="B280" s="98">
        <v>0</v>
      </c>
      <c r="C280" s="98">
        <v>0</v>
      </c>
      <c r="D280" s="76"/>
      <c r="E280" s="76"/>
      <c r="F280" s="76"/>
      <c r="G280" s="76"/>
      <c r="H280" s="76"/>
      <c r="I280" s="76"/>
      <c r="J280" s="76"/>
      <c r="K280" s="76"/>
      <c r="L280" s="76"/>
      <c r="M280" s="76"/>
      <c r="N280" s="76"/>
      <c r="O280" s="76"/>
      <c r="P280" s="76"/>
      <c r="Q280" s="76"/>
      <c r="R280" s="76"/>
      <c r="S280" s="76"/>
    </row>
    <row r="281" spans="1:19">
      <c r="A281" s="389" t="s">
        <v>403</v>
      </c>
      <c r="B281" s="98">
        <v>0</v>
      </c>
      <c r="C281" s="98">
        <v>0</v>
      </c>
      <c r="D281" s="76"/>
      <c r="E281" s="76"/>
      <c r="F281" s="76"/>
      <c r="G281" s="76"/>
      <c r="H281" s="76"/>
      <c r="I281" s="76"/>
      <c r="J281" s="76"/>
      <c r="K281" s="76"/>
      <c r="L281" s="76"/>
      <c r="M281" s="76"/>
      <c r="N281" s="76"/>
      <c r="O281" s="76"/>
      <c r="P281" s="76"/>
      <c r="Q281" s="76"/>
      <c r="R281" s="76"/>
      <c r="S281" s="76"/>
    </row>
    <row r="282" spans="1:19">
      <c r="A282" s="389" t="s">
        <v>404</v>
      </c>
      <c r="B282" s="98">
        <v>0</v>
      </c>
      <c r="C282" s="98">
        <v>0</v>
      </c>
      <c r="D282" s="76"/>
      <c r="E282" s="76"/>
      <c r="F282" s="76"/>
      <c r="G282" s="76"/>
      <c r="H282" s="76"/>
      <c r="I282" s="76"/>
      <c r="J282" s="76"/>
      <c r="K282" s="76"/>
      <c r="L282" s="76"/>
      <c r="M282" s="76"/>
      <c r="N282" s="76"/>
      <c r="O282" s="76"/>
      <c r="P282" s="76"/>
      <c r="Q282" s="76"/>
      <c r="R282" s="76"/>
      <c r="S282" s="76"/>
    </row>
    <row r="283" spans="1:19">
      <c r="A283" s="76"/>
      <c r="B283" s="109"/>
      <c r="C283" s="109"/>
      <c r="D283" s="76"/>
      <c r="E283" s="76"/>
      <c r="F283" s="76"/>
      <c r="G283" s="76"/>
      <c r="H283" s="76"/>
      <c r="I283" s="76"/>
      <c r="J283" s="76"/>
      <c r="K283" s="76"/>
      <c r="L283" s="76"/>
      <c r="M283" s="76"/>
      <c r="N283" s="76"/>
      <c r="O283" s="76"/>
      <c r="P283" s="76"/>
      <c r="Q283" s="76"/>
      <c r="R283" s="76"/>
      <c r="S283" s="76"/>
    </row>
    <row r="284" spans="1:19">
      <c r="A284" s="105" t="s">
        <v>415</v>
      </c>
      <c r="B284" s="109"/>
      <c r="C284" s="109"/>
      <c r="D284" s="76"/>
      <c r="E284" s="76"/>
      <c r="F284" s="76"/>
      <c r="G284" s="76"/>
      <c r="H284" s="76"/>
      <c r="I284" s="76"/>
      <c r="J284" s="76"/>
      <c r="K284" s="76"/>
      <c r="L284" s="76"/>
      <c r="M284" s="76"/>
      <c r="N284" s="76"/>
      <c r="O284" s="76"/>
      <c r="P284" s="76"/>
      <c r="Q284" s="76"/>
      <c r="R284" s="76"/>
      <c r="S284" s="76"/>
    </row>
    <row r="285" spans="1:19">
      <c r="A285" s="104" t="s">
        <v>418</v>
      </c>
      <c r="B285" s="112" t="str">
        <f>B260</f>
        <v>MyCounty</v>
      </c>
      <c r="C285" s="110" t="str">
        <f>C260</f>
        <v>MyRegion</v>
      </c>
      <c r="D285" s="76"/>
      <c r="E285" s="76"/>
      <c r="F285" s="76"/>
      <c r="G285" s="76"/>
      <c r="H285" s="76"/>
      <c r="I285" s="76"/>
      <c r="J285" s="76"/>
      <c r="K285" s="76"/>
      <c r="L285" s="76"/>
      <c r="M285" s="76"/>
      <c r="N285" s="76"/>
      <c r="O285" s="76"/>
      <c r="P285" s="76"/>
      <c r="Q285" s="76"/>
      <c r="R285" s="76"/>
      <c r="S285" s="76"/>
    </row>
    <row r="286" spans="1:19">
      <c r="A286" s="389" t="s">
        <v>383</v>
      </c>
      <c r="B286" s="98">
        <v>0</v>
      </c>
      <c r="C286" s="98">
        <v>0</v>
      </c>
      <c r="D286" s="76"/>
      <c r="E286" s="76"/>
      <c r="F286" s="76"/>
      <c r="G286" s="76"/>
      <c r="H286" s="76"/>
      <c r="I286" s="76"/>
      <c r="J286" s="76"/>
      <c r="K286" s="76"/>
      <c r="L286" s="76"/>
      <c r="M286" s="76"/>
      <c r="N286" s="76"/>
      <c r="O286" s="76"/>
      <c r="P286" s="76"/>
      <c r="Q286" s="76"/>
      <c r="R286" s="76"/>
      <c r="S286" s="76"/>
    </row>
    <row r="287" spans="1:19">
      <c r="A287" s="389" t="s">
        <v>384</v>
      </c>
      <c r="B287" s="98">
        <v>0</v>
      </c>
      <c r="C287" s="98">
        <v>0</v>
      </c>
      <c r="D287" s="76"/>
      <c r="E287" s="76"/>
      <c r="F287" s="76"/>
      <c r="G287" s="76"/>
      <c r="H287" s="76"/>
      <c r="I287" s="76"/>
      <c r="J287" s="76"/>
      <c r="K287" s="76"/>
      <c r="L287" s="76"/>
      <c r="M287" s="76"/>
      <c r="N287" s="76"/>
      <c r="O287" s="76"/>
      <c r="P287" s="76"/>
      <c r="Q287" s="76"/>
      <c r="R287" s="76"/>
      <c r="S287" s="76"/>
    </row>
    <row r="288" spans="1:19">
      <c r="A288" s="389" t="s">
        <v>385</v>
      </c>
      <c r="B288" s="98">
        <v>0</v>
      </c>
      <c r="C288" s="98">
        <v>0</v>
      </c>
      <c r="D288" s="76"/>
      <c r="E288" s="76"/>
      <c r="F288" s="76"/>
      <c r="G288" s="76"/>
      <c r="H288" s="76"/>
      <c r="I288" s="76"/>
      <c r="J288" s="76"/>
      <c r="K288" s="76"/>
      <c r="L288" s="76"/>
      <c r="M288" s="76"/>
      <c r="N288" s="76"/>
      <c r="O288" s="76"/>
      <c r="P288" s="76"/>
      <c r="Q288" s="76"/>
      <c r="R288" s="76"/>
      <c r="S288" s="76"/>
    </row>
    <row r="289" spans="1:19">
      <c r="A289" s="389" t="s">
        <v>386</v>
      </c>
      <c r="B289" s="98">
        <v>0</v>
      </c>
      <c r="C289" s="98">
        <v>0</v>
      </c>
      <c r="D289" s="76"/>
      <c r="E289" s="76"/>
      <c r="F289" s="76"/>
      <c r="G289" s="76"/>
      <c r="H289" s="76"/>
      <c r="I289" s="76"/>
      <c r="J289" s="76"/>
      <c r="K289" s="76"/>
      <c r="L289" s="76"/>
      <c r="M289" s="76"/>
      <c r="N289" s="76"/>
      <c r="O289" s="76"/>
      <c r="P289" s="76"/>
      <c r="Q289" s="76"/>
      <c r="R289" s="76"/>
      <c r="S289" s="76"/>
    </row>
    <row r="290" spans="1:19">
      <c r="A290" s="389" t="s">
        <v>387</v>
      </c>
      <c r="B290" s="98">
        <v>0</v>
      </c>
      <c r="C290" s="98">
        <v>0</v>
      </c>
      <c r="D290" s="76"/>
      <c r="E290" s="76"/>
      <c r="F290" s="76"/>
      <c r="G290" s="76"/>
      <c r="H290" s="76"/>
      <c r="I290" s="76"/>
      <c r="J290" s="76"/>
      <c r="K290" s="76"/>
      <c r="L290" s="76"/>
      <c r="M290" s="76"/>
      <c r="N290" s="76"/>
      <c r="O290" s="76"/>
      <c r="P290" s="76"/>
      <c r="Q290" s="76"/>
      <c r="R290" s="76"/>
      <c r="S290" s="76"/>
    </row>
    <row r="291" spans="1:19">
      <c r="A291" s="389" t="s">
        <v>388</v>
      </c>
      <c r="B291" s="98">
        <v>0</v>
      </c>
      <c r="C291" s="98">
        <v>0</v>
      </c>
      <c r="D291" s="76"/>
      <c r="E291" s="76"/>
      <c r="F291" s="76"/>
      <c r="G291" s="76"/>
      <c r="H291" s="76"/>
      <c r="I291" s="76"/>
      <c r="J291" s="76"/>
      <c r="K291" s="76"/>
      <c r="L291" s="76"/>
      <c r="M291" s="76"/>
      <c r="N291" s="76"/>
      <c r="O291" s="76"/>
      <c r="P291" s="76"/>
      <c r="Q291" s="76"/>
      <c r="R291" s="76"/>
      <c r="S291" s="76"/>
    </row>
    <row r="292" spans="1:19">
      <c r="A292" s="389" t="s">
        <v>389</v>
      </c>
      <c r="B292" s="98">
        <v>0</v>
      </c>
      <c r="C292" s="98">
        <v>0</v>
      </c>
      <c r="D292" s="76"/>
      <c r="E292" s="76"/>
      <c r="F292" s="76"/>
      <c r="G292" s="76"/>
      <c r="H292" s="76"/>
      <c r="I292" s="76"/>
      <c r="J292" s="76"/>
      <c r="K292" s="76"/>
      <c r="L292" s="76"/>
      <c r="M292" s="76"/>
      <c r="N292" s="76"/>
      <c r="O292" s="76"/>
      <c r="P292" s="76"/>
      <c r="Q292" s="76"/>
      <c r="R292" s="76"/>
      <c r="S292" s="76"/>
    </row>
    <row r="293" spans="1:19">
      <c r="A293" s="389" t="s">
        <v>390</v>
      </c>
      <c r="B293" s="98">
        <v>0</v>
      </c>
      <c r="C293" s="98">
        <v>0</v>
      </c>
      <c r="D293" s="76"/>
      <c r="E293" s="76"/>
      <c r="F293" s="76"/>
      <c r="G293" s="76"/>
      <c r="H293" s="76"/>
      <c r="I293" s="76"/>
      <c r="J293" s="76"/>
      <c r="K293" s="76"/>
      <c r="L293" s="76"/>
      <c r="M293" s="76"/>
      <c r="N293" s="76"/>
      <c r="O293" s="76"/>
      <c r="P293" s="76"/>
      <c r="Q293" s="76"/>
      <c r="R293" s="76"/>
      <c r="S293" s="76"/>
    </row>
    <row r="294" spans="1:19">
      <c r="A294" s="389" t="s">
        <v>391</v>
      </c>
      <c r="B294" s="98">
        <v>0</v>
      </c>
      <c r="C294" s="98">
        <v>0</v>
      </c>
      <c r="D294" s="76"/>
      <c r="E294" s="76"/>
      <c r="F294" s="76"/>
      <c r="G294" s="76"/>
      <c r="H294" s="76"/>
      <c r="I294" s="76"/>
      <c r="J294" s="76"/>
      <c r="K294" s="76"/>
      <c r="L294" s="76"/>
      <c r="M294" s="76"/>
      <c r="N294" s="76"/>
      <c r="O294" s="76"/>
      <c r="P294" s="76"/>
      <c r="Q294" s="76"/>
      <c r="R294" s="76"/>
      <c r="S294" s="76"/>
    </row>
    <row r="295" spans="1:19">
      <c r="A295" s="389" t="s">
        <v>392</v>
      </c>
      <c r="B295" s="98">
        <v>0</v>
      </c>
      <c r="C295" s="98">
        <v>0</v>
      </c>
      <c r="D295" s="76"/>
      <c r="E295" s="76"/>
      <c r="F295" s="76"/>
      <c r="G295" s="76"/>
      <c r="H295" s="76"/>
      <c r="I295" s="76"/>
      <c r="J295" s="76"/>
      <c r="K295" s="76"/>
      <c r="L295" s="76"/>
      <c r="M295" s="76"/>
      <c r="N295" s="76"/>
      <c r="O295" s="76"/>
      <c r="P295" s="76"/>
      <c r="Q295" s="76"/>
      <c r="R295" s="76"/>
      <c r="S295" s="76"/>
    </row>
    <row r="296" spans="1:19">
      <c r="A296" s="389" t="s">
        <v>393</v>
      </c>
      <c r="B296" s="98">
        <v>0</v>
      </c>
      <c r="C296" s="98">
        <v>0</v>
      </c>
      <c r="D296" s="76"/>
      <c r="E296" s="76"/>
      <c r="F296" s="76"/>
      <c r="G296" s="76"/>
      <c r="H296" s="76"/>
      <c r="I296" s="76"/>
      <c r="J296" s="76"/>
      <c r="K296" s="76"/>
      <c r="L296" s="76"/>
      <c r="M296" s="76"/>
      <c r="N296" s="76"/>
      <c r="O296" s="76"/>
      <c r="P296" s="76"/>
      <c r="Q296" s="76"/>
      <c r="R296" s="76"/>
      <c r="S296" s="76"/>
    </row>
    <row r="297" spans="1:19">
      <c r="A297" s="389" t="s">
        <v>394</v>
      </c>
      <c r="B297" s="98">
        <v>0</v>
      </c>
      <c r="C297" s="98">
        <v>0</v>
      </c>
      <c r="D297" s="76"/>
      <c r="E297" s="76"/>
      <c r="F297" s="76"/>
      <c r="G297" s="76"/>
      <c r="H297" s="76"/>
      <c r="I297" s="76"/>
      <c r="J297" s="76"/>
      <c r="K297" s="76"/>
      <c r="L297" s="76"/>
      <c r="M297" s="76"/>
      <c r="N297" s="76"/>
      <c r="O297" s="76"/>
      <c r="P297" s="76"/>
      <c r="Q297" s="76"/>
      <c r="R297" s="76"/>
      <c r="S297" s="76"/>
    </row>
    <row r="298" spans="1:19">
      <c r="A298" s="389" t="s">
        <v>395</v>
      </c>
      <c r="B298" s="98">
        <v>0</v>
      </c>
      <c r="C298" s="98">
        <v>0</v>
      </c>
      <c r="D298" s="76"/>
      <c r="E298" s="76"/>
      <c r="F298" s="76"/>
      <c r="G298" s="76"/>
      <c r="H298" s="76"/>
      <c r="I298" s="76"/>
      <c r="J298" s="76"/>
      <c r="K298" s="76"/>
      <c r="L298" s="76"/>
      <c r="M298" s="76"/>
      <c r="N298" s="76"/>
      <c r="O298" s="76"/>
      <c r="P298" s="76"/>
      <c r="Q298" s="76"/>
      <c r="R298" s="76"/>
      <c r="S298" s="76"/>
    </row>
    <row r="299" spans="1:19">
      <c r="A299" s="389" t="s">
        <v>396</v>
      </c>
      <c r="B299" s="98">
        <v>0</v>
      </c>
      <c r="C299" s="98">
        <v>0</v>
      </c>
      <c r="D299" s="76"/>
      <c r="E299" s="76"/>
      <c r="F299" s="76"/>
      <c r="G299" s="76"/>
      <c r="H299" s="76"/>
      <c r="I299" s="76"/>
      <c r="J299" s="76"/>
      <c r="K299" s="76"/>
      <c r="L299" s="76"/>
      <c r="M299" s="76"/>
      <c r="N299" s="76"/>
      <c r="O299" s="76"/>
      <c r="P299" s="76"/>
      <c r="Q299" s="76"/>
      <c r="R299" s="76"/>
      <c r="S299" s="76"/>
    </row>
    <row r="300" spans="1:19">
      <c r="A300" s="389" t="s">
        <v>397</v>
      </c>
      <c r="B300" s="98">
        <v>0</v>
      </c>
      <c r="C300" s="98">
        <v>0</v>
      </c>
      <c r="D300" s="76"/>
      <c r="E300" s="76"/>
      <c r="F300" s="76"/>
      <c r="G300" s="76"/>
      <c r="H300" s="76"/>
      <c r="I300" s="76"/>
      <c r="J300" s="76"/>
      <c r="K300" s="76"/>
      <c r="L300" s="76"/>
      <c r="M300" s="76"/>
      <c r="N300" s="76"/>
      <c r="O300" s="76"/>
      <c r="P300" s="76"/>
      <c r="Q300" s="76"/>
      <c r="R300" s="76"/>
      <c r="S300" s="76"/>
    </row>
    <row r="301" spans="1:19">
      <c r="A301" s="389" t="s">
        <v>398</v>
      </c>
      <c r="B301" s="98">
        <v>0</v>
      </c>
      <c r="C301" s="98">
        <v>0</v>
      </c>
      <c r="D301" s="76"/>
      <c r="E301" s="76"/>
      <c r="F301" s="76"/>
      <c r="G301" s="76"/>
      <c r="H301" s="76"/>
      <c r="I301" s="76"/>
      <c r="J301" s="76"/>
      <c r="K301" s="76"/>
      <c r="L301" s="76"/>
      <c r="M301" s="76"/>
      <c r="N301" s="76"/>
      <c r="O301" s="76"/>
      <c r="P301" s="76"/>
      <c r="Q301" s="76"/>
      <c r="R301" s="76"/>
      <c r="S301" s="76"/>
    </row>
    <row r="302" spans="1:19">
      <c r="A302" s="389" t="s">
        <v>399</v>
      </c>
      <c r="B302" s="98">
        <v>0</v>
      </c>
      <c r="C302" s="98">
        <v>0</v>
      </c>
      <c r="D302" s="76"/>
      <c r="E302" s="76"/>
      <c r="F302" s="76"/>
      <c r="G302" s="76"/>
      <c r="H302" s="76"/>
      <c r="I302" s="76"/>
      <c r="J302" s="76"/>
      <c r="K302" s="76"/>
      <c r="L302" s="76"/>
      <c r="M302" s="76"/>
      <c r="N302" s="76"/>
      <c r="O302" s="76"/>
      <c r="P302" s="76"/>
      <c r="Q302" s="76"/>
      <c r="R302" s="76"/>
      <c r="S302" s="76"/>
    </row>
    <row r="303" spans="1:19">
      <c r="A303" s="389" t="s">
        <v>400</v>
      </c>
      <c r="B303" s="98">
        <v>0</v>
      </c>
      <c r="C303" s="98">
        <v>0</v>
      </c>
      <c r="D303" s="76"/>
      <c r="E303" s="76"/>
      <c r="F303" s="76"/>
      <c r="G303" s="76"/>
      <c r="H303" s="76"/>
      <c r="I303" s="76"/>
      <c r="J303" s="76"/>
      <c r="K303" s="76"/>
      <c r="L303" s="76"/>
      <c r="M303" s="76"/>
      <c r="N303" s="76"/>
      <c r="O303" s="76"/>
      <c r="P303" s="76"/>
      <c r="Q303" s="76"/>
      <c r="R303" s="76"/>
      <c r="S303" s="76"/>
    </row>
    <row r="304" spans="1:19">
      <c r="A304" s="389" t="s">
        <v>401</v>
      </c>
      <c r="B304" s="98">
        <v>0</v>
      </c>
      <c r="C304" s="98">
        <v>0</v>
      </c>
      <c r="D304" s="76"/>
      <c r="E304" s="76"/>
      <c r="F304" s="76"/>
      <c r="G304" s="76"/>
      <c r="H304" s="76"/>
      <c r="I304" s="76"/>
      <c r="J304" s="76"/>
      <c r="K304" s="76"/>
      <c r="L304" s="76"/>
      <c r="M304" s="76"/>
      <c r="N304" s="76"/>
      <c r="O304" s="76"/>
      <c r="P304" s="76"/>
      <c r="Q304" s="76"/>
      <c r="R304" s="76"/>
      <c r="S304" s="76"/>
    </row>
    <row r="305" spans="1:19">
      <c r="A305" s="389" t="s">
        <v>402</v>
      </c>
      <c r="B305" s="98">
        <v>0</v>
      </c>
      <c r="C305" s="98">
        <v>0</v>
      </c>
      <c r="D305" s="76"/>
      <c r="E305" s="76"/>
      <c r="F305" s="76"/>
      <c r="G305" s="76"/>
      <c r="H305" s="76"/>
      <c r="I305" s="76"/>
      <c r="J305" s="76"/>
      <c r="K305" s="76"/>
      <c r="L305" s="76"/>
      <c r="M305" s="76"/>
      <c r="N305" s="76"/>
      <c r="O305" s="76"/>
      <c r="P305" s="76"/>
      <c r="Q305" s="76"/>
      <c r="R305" s="76"/>
      <c r="S305" s="76"/>
    </row>
    <row r="306" spans="1:19">
      <c r="A306" s="389" t="s">
        <v>403</v>
      </c>
      <c r="B306" s="98">
        <v>0</v>
      </c>
      <c r="C306" s="98">
        <v>0</v>
      </c>
      <c r="D306" s="76"/>
      <c r="E306" s="76"/>
      <c r="F306" s="76"/>
      <c r="G306" s="76"/>
      <c r="H306" s="76"/>
      <c r="I306" s="76"/>
      <c r="J306" s="76"/>
      <c r="K306" s="76"/>
      <c r="L306" s="76"/>
      <c r="M306" s="76"/>
      <c r="N306" s="76"/>
      <c r="O306" s="76"/>
      <c r="P306" s="76"/>
      <c r="Q306" s="76"/>
      <c r="R306" s="76"/>
      <c r="S306" s="76"/>
    </row>
    <row r="307" spans="1:19">
      <c r="A307" s="389" t="s">
        <v>404</v>
      </c>
      <c r="B307" s="98">
        <v>0</v>
      </c>
      <c r="C307" s="98">
        <v>0</v>
      </c>
      <c r="D307" s="76"/>
      <c r="E307" s="76"/>
      <c r="F307" s="76"/>
      <c r="G307" s="76"/>
      <c r="H307" s="76"/>
      <c r="I307" s="76"/>
      <c r="J307" s="76"/>
      <c r="K307" s="76"/>
      <c r="L307" s="76"/>
      <c r="M307" s="76"/>
      <c r="N307" s="76"/>
      <c r="O307" s="76"/>
      <c r="P307" s="76"/>
      <c r="Q307" s="76"/>
      <c r="R307" s="76"/>
      <c r="S307" s="76"/>
    </row>
    <row r="308" spans="1:19">
      <c r="A308" s="76"/>
      <c r="B308" s="76"/>
      <c r="C308" s="76"/>
      <c r="D308" s="76"/>
      <c r="E308" s="76"/>
      <c r="F308" s="76"/>
      <c r="G308" s="76"/>
      <c r="H308" s="76"/>
      <c r="I308" s="76"/>
      <c r="J308" s="76"/>
      <c r="K308" s="76"/>
      <c r="L308" s="76"/>
      <c r="M308" s="76"/>
      <c r="N308" s="76"/>
      <c r="O308" s="76"/>
      <c r="P308" s="76"/>
      <c r="Q308" s="76"/>
      <c r="R308" s="76"/>
      <c r="S308" s="76"/>
    </row>
    <row r="309" spans="1:19">
      <c r="A309" s="76"/>
      <c r="B309" s="76"/>
      <c r="C309" s="76"/>
      <c r="D309" s="76"/>
      <c r="E309" s="76"/>
      <c r="F309" s="76"/>
      <c r="G309" s="76"/>
      <c r="H309" s="76"/>
      <c r="I309" s="76"/>
      <c r="J309" s="76"/>
      <c r="K309" s="76"/>
      <c r="L309" s="76"/>
      <c r="M309" s="76"/>
      <c r="N309" s="76"/>
      <c r="O309" s="76"/>
      <c r="P309" s="76"/>
      <c r="Q309" s="76"/>
      <c r="R309" s="76"/>
      <c r="S309" s="76"/>
    </row>
    <row r="310" spans="1:19">
      <c r="A310" s="76"/>
      <c r="B310" s="76"/>
      <c r="C310" s="76"/>
      <c r="D310" s="76"/>
      <c r="E310" s="76"/>
      <c r="F310" s="76"/>
      <c r="G310" s="76"/>
      <c r="H310" s="76"/>
      <c r="I310" s="76"/>
      <c r="J310" s="76"/>
      <c r="K310" s="76"/>
      <c r="L310" s="76"/>
      <c r="M310" s="76"/>
      <c r="N310" s="76"/>
      <c r="O310" s="76"/>
      <c r="P310" s="76"/>
      <c r="Q310" s="76"/>
      <c r="R310" s="76"/>
      <c r="S310" s="76"/>
    </row>
    <row r="311" spans="1:19">
      <c r="A311" s="76"/>
      <c r="B311" s="76"/>
      <c r="C311" s="76"/>
      <c r="D311" s="76"/>
      <c r="E311" s="76"/>
      <c r="F311" s="76"/>
      <c r="G311" s="76"/>
      <c r="H311" s="76"/>
      <c r="I311" s="76"/>
      <c r="J311" s="76"/>
      <c r="K311" s="76"/>
      <c r="L311" s="76"/>
      <c r="M311" s="76"/>
      <c r="N311" s="76"/>
      <c r="O311" s="76"/>
      <c r="P311" s="76"/>
      <c r="Q311" s="76"/>
      <c r="R311" s="76"/>
      <c r="S311" s="76"/>
    </row>
    <row r="312" spans="1:19">
      <c r="A312" s="76"/>
      <c r="B312" s="76"/>
      <c r="C312" s="76"/>
      <c r="D312" s="76"/>
      <c r="E312" s="76"/>
      <c r="F312" s="76"/>
      <c r="G312" s="76"/>
      <c r="H312" s="76"/>
      <c r="I312" s="76"/>
      <c r="J312" s="76"/>
      <c r="K312" s="76"/>
      <c r="L312" s="76"/>
      <c r="M312" s="76"/>
      <c r="N312" s="76"/>
      <c r="O312" s="76"/>
      <c r="P312" s="76"/>
      <c r="Q312" s="76"/>
      <c r="R312" s="76"/>
      <c r="S312" s="76"/>
    </row>
    <row r="313" spans="1:19">
      <c r="A313" s="76"/>
      <c r="B313" s="76"/>
      <c r="C313" s="76"/>
      <c r="D313" s="76"/>
      <c r="E313" s="76"/>
      <c r="F313" s="76"/>
      <c r="G313" s="76"/>
      <c r="H313" s="76"/>
      <c r="I313" s="76"/>
      <c r="J313" s="76"/>
      <c r="K313" s="76"/>
      <c r="L313" s="76"/>
      <c r="M313" s="76"/>
      <c r="N313" s="76"/>
      <c r="O313" s="76"/>
      <c r="P313" s="76"/>
      <c r="Q313" s="76"/>
      <c r="R313" s="76"/>
      <c r="S313" s="76"/>
    </row>
  </sheetData>
  <sheetProtection password="DFD3" sheet="1" objects="1" scenarios="1"/>
  <phoneticPr fontId="0" type="noConversion"/>
  <pageMargins left="0.75" right="0.75" top="1" bottom="1" header="0.5" footer="0.5"/>
  <pageSetup orientation="portrait" horizontalDpi="36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CW99"/>
  <sheetViews>
    <sheetView topLeftCell="AE1" zoomScaleNormal="100" workbookViewId="0">
      <selection activeCell="AN11" sqref="AN11"/>
    </sheetView>
  </sheetViews>
  <sheetFormatPr defaultColWidth="8.88671875" defaultRowHeight="13.2"/>
  <cols>
    <col min="1" max="1" width="206.44140625" style="178" customWidth="1"/>
    <col min="2" max="2" width="31" style="178" customWidth="1"/>
    <col min="3" max="3" width="54.44140625" customWidth="1"/>
    <col min="4" max="4" width="16.44140625" customWidth="1"/>
    <col min="5" max="6" width="14.109375" bestFit="1" customWidth="1"/>
    <col min="7" max="7" width="12.33203125" customWidth="1"/>
    <col min="8" max="8" width="13" customWidth="1"/>
    <col min="9" max="9" width="12" customWidth="1"/>
    <col min="10" max="10" width="12.6640625" customWidth="1"/>
    <col min="11" max="11" width="12.88671875" customWidth="1"/>
    <col min="13" max="13" width="12.88671875" customWidth="1"/>
    <col min="14" max="14" width="20.6640625" customWidth="1"/>
    <col min="15" max="15" width="14" bestFit="1" customWidth="1"/>
    <col min="16" max="16" width="15" bestFit="1" customWidth="1"/>
    <col min="17" max="17" width="15" customWidth="1"/>
    <col min="18" max="19" width="15" bestFit="1" customWidth="1"/>
    <col min="20" max="20" width="13.44140625" customWidth="1"/>
    <col min="24" max="24" width="9.33203125" bestFit="1" customWidth="1"/>
    <col min="26" max="26" width="23.109375" customWidth="1"/>
    <col min="27" max="27" width="16.88671875" customWidth="1"/>
    <col min="28" max="28" width="13.88671875" customWidth="1"/>
    <col min="29" max="29" width="12.44140625" customWidth="1"/>
    <col min="30" max="30" width="19.88671875" customWidth="1"/>
    <col min="31" max="31" width="12.33203125" customWidth="1"/>
    <col min="32" max="32" width="13.6640625" customWidth="1"/>
    <col min="35" max="35" width="12.6640625" customWidth="1"/>
    <col min="36" max="36" width="8.33203125" customWidth="1"/>
    <col min="37" max="41" width="11.44140625" bestFit="1" customWidth="1"/>
    <col min="42" max="42" width="12.44140625" bestFit="1" customWidth="1"/>
    <col min="44" max="44" width="13.88671875" customWidth="1"/>
    <col min="57" max="57" width="13.44140625" customWidth="1"/>
    <col min="59" max="59" width="9.88671875" customWidth="1"/>
    <col min="60" max="60" width="10.33203125" customWidth="1"/>
    <col min="67" max="67" width="9.6640625" customWidth="1"/>
    <col min="76" max="76" width="11.6640625" customWidth="1"/>
    <col min="80" max="80" width="9.88671875" customWidth="1"/>
    <col min="85" max="85" width="10.44140625" customWidth="1"/>
    <col min="87" max="87" width="9.6640625" customWidth="1"/>
    <col min="89" max="89" width="10.44140625" customWidth="1"/>
    <col min="91" max="91" width="10.44140625" bestFit="1" customWidth="1"/>
  </cols>
  <sheetData>
    <row r="1" spans="1:89">
      <c r="A1" s="174"/>
      <c r="B1" s="174"/>
      <c r="D1" s="7" t="s">
        <v>419</v>
      </c>
      <c r="F1" s="7"/>
      <c r="G1" s="7"/>
      <c r="H1" s="44"/>
      <c r="AB1" s="25"/>
      <c r="AC1" s="25"/>
      <c r="AD1" s="25"/>
      <c r="AE1" s="25"/>
      <c r="AF1" s="25"/>
    </row>
    <row r="2" spans="1:89">
      <c r="A2" s="174"/>
      <c r="B2" s="174"/>
      <c r="D2" s="7" t="str">
        <f>ProjectData!B15</f>
        <v>Residential</v>
      </c>
      <c r="E2" s="7"/>
      <c r="F2" s="7">
        <f>IF(D2="Residential New Construction",1,IF(D2="Residential Retrofit",1,2))</f>
        <v>2</v>
      </c>
      <c r="O2">
        <v>1</v>
      </c>
      <c r="P2">
        <v>2</v>
      </c>
      <c r="Q2">
        <v>3</v>
      </c>
      <c r="R2">
        <v>4</v>
      </c>
      <c r="S2">
        <v>5</v>
      </c>
      <c r="T2">
        <v>6</v>
      </c>
      <c r="AB2" s="25"/>
      <c r="AC2" s="25"/>
      <c r="AD2" s="25"/>
      <c r="AE2" s="25"/>
      <c r="AF2" s="25"/>
      <c r="CK2" t="s">
        <v>148</v>
      </c>
    </row>
    <row r="3" spans="1:89">
      <c r="A3" s="174"/>
      <c r="B3" s="174"/>
      <c r="O3">
        <v>1</v>
      </c>
      <c r="P3">
        <v>2</v>
      </c>
      <c r="Q3">
        <v>3</v>
      </c>
      <c r="R3">
        <v>4</v>
      </c>
      <c r="S3">
        <v>5</v>
      </c>
      <c r="T3">
        <v>6</v>
      </c>
      <c r="AB3" s="25"/>
      <c r="AC3" s="25"/>
      <c r="AD3" s="25"/>
      <c r="AE3" s="25"/>
      <c r="AF3" s="25"/>
      <c r="BF3" s="271"/>
      <c r="CK3" t="s">
        <v>420</v>
      </c>
    </row>
    <row r="4" spans="1:89">
      <c r="A4" s="174"/>
      <c r="B4" s="174"/>
      <c r="D4" t="s">
        <v>279</v>
      </c>
      <c r="E4" s="7" t="s">
        <v>421</v>
      </c>
      <c r="F4" t="s">
        <v>422</v>
      </c>
      <c r="AB4" s="25"/>
      <c r="AC4" s="25"/>
      <c r="AD4" s="25"/>
      <c r="AE4" s="25"/>
      <c r="AF4" s="25"/>
    </row>
    <row r="5" spans="1:89" ht="22.8">
      <c r="A5" s="175" t="s">
        <v>423</v>
      </c>
      <c r="B5" s="175"/>
      <c r="D5" s="7">
        <f>ProjectData!B19</f>
        <v>200</v>
      </c>
      <c r="E5" s="7">
        <f>ProjectData!B18</f>
        <v>5</v>
      </c>
      <c r="F5" s="7">
        <f>E5*D5</f>
        <v>1000</v>
      </c>
      <c r="AB5" s="25"/>
      <c r="AC5" s="25"/>
      <c r="AD5" s="25"/>
      <c r="AE5" s="25"/>
      <c r="AF5" s="25"/>
    </row>
    <row r="6" spans="1:89">
      <c r="A6" s="174"/>
      <c r="B6" s="174"/>
      <c r="AA6" s="25"/>
      <c r="AB6" s="25"/>
      <c r="AC6" s="25"/>
      <c r="AD6" s="25"/>
      <c r="AE6" s="25"/>
      <c r="AF6" s="25"/>
    </row>
    <row r="7" spans="1:89" ht="15.6">
      <c r="A7" s="176" t="s">
        <v>424</v>
      </c>
      <c r="B7" s="176"/>
      <c r="D7" s="7" t="s">
        <v>385</v>
      </c>
      <c r="F7" s="7" t="s">
        <v>425</v>
      </c>
      <c r="AA7" s="8"/>
      <c r="AB7" s="25"/>
      <c r="AC7" s="25"/>
      <c r="AD7" s="25"/>
      <c r="AE7" s="25"/>
      <c r="AF7" s="25"/>
      <c r="AI7" s="197"/>
      <c r="AK7" s="338" t="s">
        <v>149</v>
      </c>
      <c r="AQ7" s="338" t="s">
        <v>106</v>
      </c>
      <c r="AW7" s="271"/>
      <c r="BE7" s="290" t="s">
        <v>152</v>
      </c>
      <c r="BO7" s="271"/>
    </row>
    <row r="8" spans="1:89" ht="15">
      <c r="A8" s="177"/>
      <c r="B8" s="177"/>
      <c r="D8" s="7" t="s">
        <v>426</v>
      </c>
      <c r="E8" s="7" t="s">
        <v>427</v>
      </c>
      <c r="F8" s="15" t="s">
        <v>426</v>
      </c>
      <c r="AA8" s="7"/>
      <c r="AB8" s="25"/>
      <c r="AC8" s="25"/>
      <c r="AD8" s="25"/>
      <c r="AE8" s="25"/>
      <c r="AF8" s="25"/>
    </row>
    <row r="9" spans="1:89" ht="15.6">
      <c r="A9" s="176" t="s">
        <v>428</v>
      </c>
      <c r="B9" s="176"/>
      <c r="D9" s="57">
        <f>ProjectData!B22</f>
        <v>2619.4115907871801</v>
      </c>
      <c r="E9" s="57">
        <f>+D9*F5</f>
        <v>2619411.5907871802</v>
      </c>
      <c r="F9" s="73">
        <f>ProjectData!B23</f>
        <v>32.799999999999997</v>
      </c>
      <c r="AB9" s="25"/>
      <c r="AC9" s="25"/>
      <c r="AD9" s="25"/>
      <c r="AE9" s="25"/>
      <c r="AF9" s="25"/>
      <c r="AI9" t="str">
        <f>ProjectData!X759</f>
        <v>RRCSFM</v>
      </c>
      <c r="AK9" t="s">
        <v>429</v>
      </c>
      <c r="AL9" t="s">
        <v>430</v>
      </c>
      <c r="AM9" t="s">
        <v>431</v>
      </c>
      <c r="BE9" s="290" t="s">
        <v>432</v>
      </c>
      <c r="BF9" s="290" t="s">
        <v>433</v>
      </c>
      <c r="BG9" s="290" t="s">
        <v>432</v>
      </c>
    </row>
    <row r="10" spans="1:89" ht="15.6">
      <c r="A10" s="176"/>
      <c r="B10" s="176"/>
      <c r="E10" s="7"/>
      <c r="AA10" s="162"/>
      <c r="AB10" s="25"/>
      <c r="AC10" s="25"/>
      <c r="AD10" s="25"/>
      <c r="AE10" s="25"/>
      <c r="AF10" s="25"/>
      <c r="AI10" s="7"/>
      <c r="AJ10">
        <v>1</v>
      </c>
      <c r="AK10" s="290" t="s">
        <v>434</v>
      </c>
      <c r="AL10" s="290" t="s">
        <v>435</v>
      </c>
      <c r="AM10" s="290" t="s">
        <v>436</v>
      </c>
      <c r="AN10" t="s">
        <v>437</v>
      </c>
      <c r="AQ10" t="s">
        <v>438</v>
      </c>
      <c r="AR10" t="s">
        <v>439</v>
      </c>
      <c r="AS10" t="s">
        <v>440</v>
      </c>
      <c r="AT10" t="s">
        <v>441</v>
      </c>
      <c r="AU10" t="s">
        <v>442</v>
      </c>
      <c r="AV10" t="s">
        <v>443</v>
      </c>
      <c r="AW10" t="s">
        <v>444</v>
      </c>
      <c r="AX10" t="s">
        <v>445</v>
      </c>
      <c r="AY10" t="s">
        <v>446</v>
      </c>
      <c r="AZ10" t="s">
        <v>447</v>
      </c>
      <c r="BA10" t="s">
        <v>448</v>
      </c>
      <c r="BB10" t="s">
        <v>449</v>
      </c>
      <c r="BE10" t="s">
        <v>450</v>
      </c>
      <c r="BF10" t="s">
        <v>451</v>
      </c>
      <c r="BG10" t="s">
        <v>452</v>
      </c>
      <c r="BH10" t="s">
        <v>453</v>
      </c>
    </row>
    <row r="11" spans="1:89" ht="15.6">
      <c r="A11" s="176" t="s">
        <v>454</v>
      </c>
      <c r="B11" s="176"/>
      <c r="C11" s="59" t="s">
        <v>455</v>
      </c>
      <c r="D11" s="13" t="s">
        <v>456</v>
      </c>
      <c r="E11" s="1"/>
      <c r="AB11" s="70"/>
      <c r="AH11" s="8" t="s">
        <v>126</v>
      </c>
      <c r="AI11" s="18"/>
      <c r="AJ11">
        <f t="shared" ref="AJ11:AJ17" si="0">AJ10+1</f>
        <v>2</v>
      </c>
      <c r="AK11" s="271"/>
      <c r="AR11" s="271"/>
      <c r="AU11" s="271"/>
      <c r="AY11" s="271"/>
      <c r="BK11" s="271"/>
      <c r="BO11" s="271"/>
    </row>
    <row r="12" spans="1:89">
      <c r="A12" s="174"/>
      <c r="B12" s="174"/>
      <c r="F12" s="1"/>
      <c r="H12" s="8" t="s">
        <v>457</v>
      </c>
      <c r="I12" s="8" t="s">
        <v>458</v>
      </c>
      <c r="J12" s="8" t="s">
        <v>459</v>
      </c>
      <c r="K12" s="8" t="s">
        <v>460</v>
      </c>
      <c r="AA12" s="52"/>
      <c r="AB12" s="52"/>
      <c r="AC12" s="52"/>
      <c r="AD12" s="52"/>
      <c r="AI12" s="18"/>
      <c r="AJ12">
        <f t="shared" si="0"/>
        <v>3</v>
      </c>
    </row>
    <row r="13" spans="1:89">
      <c r="A13" s="174"/>
      <c r="B13" s="174"/>
      <c r="D13" s="5"/>
      <c r="F13" s="8"/>
      <c r="H13" s="125">
        <v>30000</v>
      </c>
      <c r="I13" s="125">
        <v>100000</v>
      </c>
      <c r="J13" s="125">
        <v>300000</v>
      </c>
      <c r="K13" s="154">
        <v>400000</v>
      </c>
      <c r="M13" s="8">
        <f>ProjectData!B13</f>
        <v>0</v>
      </c>
      <c r="Y13" s="8"/>
      <c r="AA13" s="25"/>
      <c r="AB13" s="1"/>
      <c r="AC13" s="25"/>
      <c r="AD13" s="1"/>
      <c r="AE13" s="8"/>
      <c r="AF13" s="8"/>
      <c r="AI13" s="18"/>
      <c r="AJ13">
        <f t="shared" si="0"/>
        <v>4</v>
      </c>
    </row>
    <row r="14" spans="1:89" ht="13.8">
      <c r="A14" s="174"/>
      <c r="B14" s="174"/>
      <c r="C14" s="2" t="s">
        <v>336</v>
      </c>
      <c r="D14" s="8" t="s">
        <v>122</v>
      </c>
      <c r="E14" s="8" t="s">
        <v>123</v>
      </c>
      <c r="F14" s="8" t="s">
        <v>461</v>
      </c>
      <c r="G14" s="8" t="s">
        <v>462</v>
      </c>
      <c r="H14" s="8" t="s">
        <v>463</v>
      </c>
      <c r="I14" s="8" t="s">
        <v>463</v>
      </c>
      <c r="J14" s="8" t="s">
        <v>463</v>
      </c>
      <c r="K14" s="8" t="s">
        <v>463</v>
      </c>
      <c r="O14">
        <v>30000</v>
      </c>
      <c r="AA14" s="1"/>
      <c r="AB14" s="1"/>
      <c r="AC14" s="347"/>
      <c r="AD14" s="1"/>
      <c r="AE14" s="8"/>
      <c r="AF14" s="8"/>
      <c r="AH14" s="8" t="s">
        <v>464</v>
      </c>
      <c r="AI14" s="18" t="str">
        <f t="shared" ref="AI14:AI22" si="1">HLOOKUP(AI$9,AK$10:BP$43,AJ14)</f>
        <v>Typically less than 10 kW</v>
      </c>
      <c r="AJ14">
        <f t="shared" si="0"/>
        <v>5</v>
      </c>
      <c r="AK14" s="290" t="s">
        <v>465</v>
      </c>
      <c r="AL14" s="290" t="s">
        <v>465</v>
      </c>
      <c r="AM14" s="290" t="s">
        <v>465</v>
      </c>
      <c r="AN14" s="290" t="s">
        <v>465</v>
      </c>
      <c r="AO14" s="290" t="s">
        <v>465</v>
      </c>
      <c r="AP14" s="290" t="s">
        <v>465</v>
      </c>
      <c r="AQ14" s="290" t="s">
        <v>466</v>
      </c>
      <c r="AR14" s="290" t="s">
        <v>466</v>
      </c>
      <c r="AS14" s="290" t="s">
        <v>466</v>
      </c>
      <c r="AT14" s="290" t="s">
        <v>466</v>
      </c>
      <c r="AU14" s="290" t="s">
        <v>466</v>
      </c>
      <c r="AV14" s="290" t="s">
        <v>466</v>
      </c>
      <c r="AW14" s="290" t="s">
        <v>466</v>
      </c>
      <c r="AX14" s="290" t="s">
        <v>466</v>
      </c>
      <c r="AY14" s="290" t="s">
        <v>467</v>
      </c>
      <c r="AZ14" s="290" t="s">
        <v>467</v>
      </c>
      <c r="BA14" s="290" t="s">
        <v>467</v>
      </c>
      <c r="BB14" s="290" t="s">
        <v>467</v>
      </c>
      <c r="BC14" s="290" t="s">
        <v>467</v>
      </c>
      <c r="BD14" s="290" t="s">
        <v>467</v>
      </c>
      <c r="BE14" s="290" t="s">
        <v>468</v>
      </c>
      <c r="BF14" s="290" t="s">
        <v>468</v>
      </c>
      <c r="BG14" s="290" t="s">
        <v>468</v>
      </c>
      <c r="BH14" t="s">
        <v>469</v>
      </c>
    </row>
    <row r="15" spans="1:89">
      <c r="A15" s="174"/>
      <c r="B15" s="174"/>
      <c r="C15" s="290" t="s">
        <v>470</v>
      </c>
      <c r="E15" s="8" t="s">
        <v>471</v>
      </c>
      <c r="F15" s="8" t="s">
        <v>472</v>
      </c>
      <c r="G15" s="25" t="s">
        <v>136</v>
      </c>
      <c r="H15" s="25" t="s">
        <v>136</v>
      </c>
      <c r="I15" s="25" t="s">
        <v>136</v>
      </c>
      <c r="J15" s="25" t="s">
        <v>136</v>
      </c>
      <c r="K15" s="25" t="s">
        <v>136</v>
      </c>
      <c r="O15">
        <v>100000</v>
      </c>
      <c r="R15">
        <v>300000</v>
      </c>
      <c r="U15">
        <v>400000</v>
      </c>
      <c r="X15" s="7"/>
      <c r="AA15" s="235"/>
      <c r="AB15" s="236"/>
      <c r="AC15" s="235"/>
      <c r="AD15" s="236"/>
      <c r="AE15" s="225"/>
      <c r="AF15" s="70"/>
      <c r="AI15" s="18">
        <f t="shared" si="1"/>
        <v>5</v>
      </c>
      <c r="AJ15">
        <f t="shared" si="0"/>
        <v>6</v>
      </c>
      <c r="AK15">
        <v>150</v>
      </c>
      <c r="AL15">
        <v>150</v>
      </c>
      <c r="AM15">
        <v>150</v>
      </c>
      <c r="AN15">
        <v>150</v>
      </c>
      <c r="AQ15" s="18">
        <v>3.5</v>
      </c>
      <c r="AR15" s="18">
        <v>3.5</v>
      </c>
      <c r="AS15" s="18">
        <v>3.5</v>
      </c>
      <c r="AT15" s="18">
        <v>3.5</v>
      </c>
      <c r="AU15">
        <v>5</v>
      </c>
      <c r="AV15">
        <v>5</v>
      </c>
      <c r="AW15">
        <v>5</v>
      </c>
      <c r="AX15">
        <v>5</v>
      </c>
      <c r="AY15">
        <v>20</v>
      </c>
      <c r="AZ15">
        <v>20</v>
      </c>
      <c r="BA15">
        <v>20</v>
      </c>
      <c r="BB15">
        <v>20</v>
      </c>
      <c r="BE15">
        <v>1000</v>
      </c>
      <c r="BF15">
        <v>1000</v>
      </c>
      <c r="BG15">
        <v>1000</v>
      </c>
      <c r="BH15">
        <v>1000</v>
      </c>
    </row>
    <row r="16" spans="1:89" ht="14.25" customHeight="1">
      <c r="A16" s="174"/>
      <c r="B16" s="174"/>
      <c r="C16" s="290" t="s">
        <v>339</v>
      </c>
      <c r="D16" s="5">
        <f>E$9*F16</f>
        <v>95726.004978933503</v>
      </c>
      <c r="E16" s="57">
        <f>D16/F$5</f>
        <v>95.726004978933503</v>
      </c>
      <c r="F16" s="147">
        <f>AI17</f>
        <v>3.6544850498338874E-2</v>
      </c>
      <c r="G16" s="4">
        <v>1</v>
      </c>
      <c r="H16" s="69">
        <v>0</v>
      </c>
      <c r="I16" s="69">
        <v>1</v>
      </c>
      <c r="J16" s="69">
        <v>1</v>
      </c>
      <c r="K16" s="69">
        <f>G16</f>
        <v>1</v>
      </c>
      <c r="M16" s="29">
        <f>(M$13-H$13)/(I$13-H$13)</f>
        <v>-0.42857142857142855</v>
      </c>
      <c r="N16" s="69">
        <f>+I16-H16</f>
        <v>1</v>
      </c>
      <c r="O16" s="69">
        <f>H16+(N16*M16)</f>
        <v>-0.42857142857142855</v>
      </c>
      <c r="P16" s="155">
        <f>(M$13-I$13)/(J$13-I$13)</f>
        <v>-0.5</v>
      </c>
      <c r="Q16" s="69">
        <f>J16-I16</f>
        <v>0</v>
      </c>
      <c r="R16" s="69">
        <f>I16+(P16*Q16)</f>
        <v>1</v>
      </c>
      <c r="S16" s="155">
        <f>IF((M$13-J$13)/(K$13-J$13)&gt;1,1,(M$13-J$13)/(K$13-J$13))</f>
        <v>-3</v>
      </c>
      <c r="T16" s="69">
        <f>K16-J16</f>
        <v>0</v>
      </c>
      <c r="U16" s="69">
        <f>J16+(S16*T16)</f>
        <v>1</v>
      </c>
      <c r="X16" s="147"/>
      <c r="Y16" s="147"/>
      <c r="AA16" s="226"/>
      <c r="AB16" s="226"/>
      <c r="AC16" s="343"/>
      <c r="AD16" s="226"/>
      <c r="AE16" s="225"/>
      <c r="AF16" s="70"/>
      <c r="AI16" s="18"/>
      <c r="AJ16">
        <f t="shared" si="0"/>
        <v>7</v>
      </c>
      <c r="BY16" t="s">
        <v>352</v>
      </c>
    </row>
    <row r="17" spans="1:77" ht="15" customHeight="1">
      <c r="A17" s="174"/>
      <c r="B17" s="174"/>
      <c r="C17" s="290" t="s">
        <v>340</v>
      </c>
      <c r="D17" s="5">
        <f>E$9*F17</f>
        <v>304582.74311478843</v>
      </c>
      <c r="E17" s="57">
        <f>D17/F$5</f>
        <v>304.58274311478846</v>
      </c>
      <c r="F17" s="147">
        <f>AI18</f>
        <v>0.11627906976744187</v>
      </c>
      <c r="G17" s="4">
        <v>1</v>
      </c>
      <c r="H17" s="69">
        <v>0</v>
      </c>
      <c r="I17" s="69">
        <v>1</v>
      </c>
      <c r="J17" s="69">
        <v>1</v>
      </c>
      <c r="K17" s="69">
        <f>G17</f>
        <v>1</v>
      </c>
      <c r="M17" s="29">
        <f>(M$13-H$13)/(I$13-H$13)</f>
        <v>-0.42857142857142855</v>
      </c>
      <c r="N17" s="69">
        <f>+I17-H17</f>
        <v>1</v>
      </c>
      <c r="O17" s="69">
        <f>H17+(N17*M17)</f>
        <v>-0.42857142857142855</v>
      </c>
      <c r="P17" s="155">
        <f>(M$13-I$13)/(J$13-I$13)</f>
        <v>-0.5</v>
      </c>
      <c r="Q17" s="69">
        <f>J17-I17</f>
        <v>0</v>
      </c>
      <c r="R17" s="69">
        <f>I17+(P17*Q17)</f>
        <v>1</v>
      </c>
      <c r="S17" s="155">
        <f>IF((M$13-J$13)/(K$13-J$13)&gt;1,1,(M$13-J$13)/(K$13-J$13))</f>
        <v>-3</v>
      </c>
      <c r="T17" s="69">
        <f>K17-J17</f>
        <v>0</v>
      </c>
      <c r="U17" s="69">
        <f>J17+(S17*T17)</f>
        <v>1</v>
      </c>
      <c r="X17" s="147"/>
      <c r="Y17" s="147"/>
      <c r="AA17" s="226"/>
      <c r="AB17" s="226"/>
      <c r="AC17" s="343"/>
      <c r="AD17" s="226"/>
      <c r="AE17" s="345"/>
      <c r="AF17" s="290" t="s">
        <v>339</v>
      </c>
      <c r="AH17" s="7" t="s">
        <v>117</v>
      </c>
      <c r="AI17" s="18">
        <f t="shared" si="1"/>
        <v>3.6544850498338874E-2</v>
      </c>
      <c r="AJ17">
        <f t="shared" si="0"/>
        <v>8</v>
      </c>
      <c r="AK17" s="273">
        <v>8.1081081081081058E-2</v>
      </c>
      <c r="AL17" s="273">
        <f>AK17</f>
        <v>8.1081081081081058E-2</v>
      </c>
      <c r="AM17" s="273">
        <f>AK17</f>
        <v>8.1081081081081058E-2</v>
      </c>
      <c r="AN17" s="273"/>
      <c r="AO17" s="274"/>
      <c r="AP17" s="274"/>
      <c r="AQ17" s="225">
        <v>3.6544850498338874E-2</v>
      </c>
      <c r="AR17" s="273">
        <f>AQ17</f>
        <v>3.6544850498338874E-2</v>
      </c>
      <c r="AS17" s="273">
        <f>AQ17</f>
        <v>3.6544850498338874E-2</v>
      </c>
      <c r="AT17" s="273"/>
      <c r="AU17" s="273">
        <f>AQ17</f>
        <v>3.6544850498338874E-2</v>
      </c>
      <c r="AV17" s="273">
        <f>AQ17</f>
        <v>3.6544850498338874E-2</v>
      </c>
      <c r="AW17" s="273">
        <f>AQ17</f>
        <v>3.6544850498338874E-2</v>
      </c>
      <c r="AX17" s="273"/>
      <c r="AY17" s="273">
        <f>AK17</f>
        <v>8.1081081081081058E-2</v>
      </c>
      <c r="AZ17" s="273">
        <f>AK17</f>
        <v>8.1081081081081058E-2</v>
      </c>
      <c r="BA17" s="273">
        <f>AK17</f>
        <v>8.1081081081081058E-2</v>
      </c>
      <c r="BB17" s="273"/>
      <c r="BC17" s="273"/>
      <c r="BD17" s="273"/>
      <c r="BE17" s="273">
        <v>0.10526315789473682</v>
      </c>
      <c r="BF17" s="273">
        <v>0.15624999999999997</v>
      </c>
      <c r="BG17" s="273">
        <f>BE17</f>
        <v>0.10526315789473682</v>
      </c>
      <c r="BH17" s="273"/>
      <c r="BI17" s="273"/>
      <c r="BJ17" s="273"/>
      <c r="BO17" s="178"/>
      <c r="BP17" s="178"/>
      <c r="BY17" s="178" t="s">
        <v>339</v>
      </c>
    </row>
    <row r="18" spans="1:77" ht="14.25" customHeight="1">
      <c r="A18" s="176" t="s">
        <v>473</v>
      </c>
      <c r="B18" s="176"/>
      <c r="C18" s="290" t="s">
        <v>341</v>
      </c>
      <c r="D18" s="5">
        <f>E$9*F18</f>
        <v>208856.73813585489</v>
      </c>
      <c r="E18" s="57">
        <f>D18/F$5</f>
        <v>208.8567381358549</v>
      </c>
      <c r="F18" s="147">
        <f>AI19</f>
        <v>7.9734219269102985E-2</v>
      </c>
      <c r="G18" s="4">
        <v>1</v>
      </c>
      <c r="H18" s="69">
        <v>0</v>
      </c>
      <c r="I18" s="69">
        <v>1</v>
      </c>
      <c r="J18" s="69">
        <v>1</v>
      </c>
      <c r="K18" s="69">
        <v>1</v>
      </c>
      <c r="M18" s="29">
        <f>(M$13-H$13)/(I$13-H$13)</f>
        <v>-0.42857142857142855</v>
      </c>
      <c r="N18" s="69">
        <f>+I18-H18</f>
        <v>1</v>
      </c>
      <c r="O18" s="69">
        <f>H18+(N18*M18)</f>
        <v>-0.42857142857142855</v>
      </c>
      <c r="P18" s="155">
        <f>(M$13-I$13)/(J$13-I$13)</f>
        <v>-0.5</v>
      </c>
      <c r="Q18" s="69">
        <f>J18-I18</f>
        <v>0</v>
      </c>
      <c r="R18" s="69">
        <f>I18+(P18*Q18)</f>
        <v>1</v>
      </c>
      <c r="S18" s="155">
        <f>IF((M$13-J$13)/(K$13-J$13)&gt;1,1,(M$13-J$13)/(K$13-J$13))</f>
        <v>-3</v>
      </c>
      <c r="T18" s="69">
        <f>K18-J18</f>
        <v>0</v>
      </c>
      <c r="U18" s="69">
        <f>J18+(S18*T18)</f>
        <v>1</v>
      </c>
      <c r="X18" s="147"/>
      <c r="Y18" s="147"/>
      <c r="AA18" s="226"/>
      <c r="AB18" s="226"/>
      <c r="AC18" s="343"/>
      <c r="AD18" s="226"/>
      <c r="AE18" s="345"/>
      <c r="AF18" s="290" t="s">
        <v>340</v>
      </c>
      <c r="AH18" s="7" t="s">
        <v>117</v>
      </c>
      <c r="AI18" s="18">
        <f t="shared" si="1"/>
        <v>0.11627906976744187</v>
      </c>
      <c r="AJ18">
        <f t="shared" ref="AJ18:AJ43" si="2">AJ17+1</f>
        <v>9</v>
      </c>
      <c r="AK18" s="273">
        <v>0.18918918918918914</v>
      </c>
      <c r="AL18" s="273">
        <f t="shared" ref="AL18:AL31" si="3">AK18</f>
        <v>0.18918918918918914</v>
      </c>
      <c r="AM18" s="273">
        <f t="shared" ref="AM18:AM31" si="4">AK18</f>
        <v>0.18918918918918914</v>
      </c>
      <c r="AN18" s="273"/>
      <c r="AO18" s="274"/>
      <c r="AP18" s="274"/>
      <c r="AQ18" s="225">
        <v>0.11627906976744187</v>
      </c>
      <c r="AR18" s="273">
        <f t="shared" ref="AR18:AR31" si="5">AQ18</f>
        <v>0.11627906976744187</v>
      </c>
      <c r="AS18" s="273">
        <f t="shared" ref="AS18:AS31" si="6">AQ18</f>
        <v>0.11627906976744187</v>
      </c>
      <c r="AT18" s="273"/>
      <c r="AU18" s="273">
        <f t="shared" ref="AU18:AU31" si="7">AQ18</f>
        <v>0.11627906976744187</v>
      </c>
      <c r="AV18" s="273">
        <f t="shared" ref="AV18:AV31" si="8">AQ18</f>
        <v>0.11627906976744187</v>
      </c>
      <c r="AW18" s="273">
        <f t="shared" ref="AW18:AW31" si="9">AQ18</f>
        <v>0.11627906976744187</v>
      </c>
      <c r="AX18" s="273"/>
      <c r="AY18" s="273">
        <f t="shared" ref="AY18:AY31" si="10">AK18</f>
        <v>0.18918918918918914</v>
      </c>
      <c r="AZ18" s="273">
        <f t="shared" ref="AZ18:AZ31" si="11">AK18</f>
        <v>0.18918918918918914</v>
      </c>
      <c r="BA18" s="273">
        <f t="shared" ref="BA18:BA31" si="12">AK18</f>
        <v>0.18918918918918914</v>
      </c>
      <c r="BB18" s="273"/>
      <c r="BC18" s="273"/>
      <c r="BD18" s="273"/>
      <c r="BE18" s="273">
        <v>0.36842105263157887</v>
      </c>
      <c r="BF18" s="273">
        <v>0.36458333333333326</v>
      </c>
      <c r="BG18" s="273">
        <f t="shared" ref="BG18:BG30" si="13">BE18</f>
        <v>0.36842105263157887</v>
      </c>
      <c r="BH18" s="273"/>
      <c r="BI18" s="273"/>
      <c r="BJ18" s="273"/>
      <c r="BO18" s="178"/>
      <c r="BP18" s="178"/>
      <c r="BY18" s="178" t="s">
        <v>340</v>
      </c>
    </row>
    <row r="19" spans="1:77" ht="15" customHeight="1">
      <c r="A19" s="174"/>
      <c r="B19" s="174"/>
      <c r="C19" s="290" t="s">
        <v>342</v>
      </c>
      <c r="D19" s="5">
        <f>E$9*F19</f>
        <v>165344.91769088514</v>
      </c>
      <c r="E19" s="57">
        <f>D19/F$5</f>
        <v>165.34491769088513</v>
      </c>
      <c r="F19" s="147">
        <f>AI20</f>
        <v>6.3122923588039864E-2</v>
      </c>
      <c r="G19" s="4">
        <v>1</v>
      </c>
      <c r="H19" s="69">
        <v>0</v>
      </c>
      <c r="I19" s="69">
        <v>1</v>
      </c>
      <c r="J19" s="69">
        <v>1</v>
      </c>
      <c r="K19" s="69">
        <v>1</v>
      </c>
      <c r="M19" s="29">
        <f>(M$13-H$13)/(I$13-H$13)</f>
        <v>-0.42857142857142855</v>
      </c>
      <c r="N19" s="69">
        <f>+I19-H19</f>
        <v>1</v>
      </c>
      <c r="O19" s="69">
        <f>H19+(N19*M19)</f>
        <v>-0.42857142857142855</v>
      </c>
      <c r="P19" s="155">
        <f>(M$13-I$13)/(J$13-I$13)</f>
        <v>-0.5</v>
      </c>
      <c r="Q19" s="69">
        <f>J19-I19</f>
        <v>0</v>
      </c>
      <c r="R19" s="69">
        <f>I19+(P19*Q19)</f>
        <v>1</v>
      </c>
      <c r="S19" s="155">
        <f>IF((M$13-J$13)/(K$13-J$13)&gt;1,1,(M$13-J$13)/(K$13-J$13))</f>
        <v>-3</v>
      </c>
      <c r="T19" s="69">
        <f>K19-J19</f>
        <v>0</v>
      </c>
      <c r="U19" s="69">
        <f>J19+(S19*T19)</f>
        <v>1</v>
      </c>
      <c r="X19" s="147"/>
      <c r="Y19" s="147"/>
      <c r="AA19" s="226"/>
      <c r="AB19" s="226"/>
      <c r="AC19" s="343"/>
      <c r="AD19" s="226"/>
      <c r="AE19" s="345"/>
      <c r="AF19" s="290" t="s">
        <v>341</v>
      </c>
      <c r="AH19" s="7" t="s">
        <v>117</v>
      </c>
      <c r="AI19" s="18">
        <f t="shared" si="1"/>
        <v>7.9734219269102985E-2</v>
      </c>
      <c r="AJ19">
        <f t="shared" si="2"/>
        <v>10</v>
      </c>
      <c r="AK19" s="273">
        <v>7.5675675675675666E-2</v>
      </c>
      <c r="AL19" s="273">
        <f t="shared" si="3"/>
        <v>7.5675675675675666E-2</v>
      </c>
      <c r="AM19" s="273">
        <f t="shared" si="4"/>
        <v>7.5675675675675666E-2</v>
      </c>
      <c r="AN19" s="273"/>
      <c r="AO19" s="274"/>
      <c r="AP19" s="274"/>
      <c r="AQ19" s="225">
        <v>7.9734219269102985E-2</v>
      </c>
      <c r="AR19" s="273">
        <f t="shared" si="5"/>
        <v>7.9734219269102985E-2</v>
      </c>
      <c r="AS19" s="273">
        <f t="shared" si="6"/>
        <v>7.9734219269102985E-2</v>
      </c>
      <c r="AT19" s="273"/>
      <c r="AU19" s="273">
        <f t="shared" si="7"/>
        <v>7.9734219269102985E-2</v>
      </c>
      <c r="AV19" s="273">
        <f t="shared" si="8"/>
        <v>7.9734219269102985E-2</v>
      </c>
      <c r="AW19" s="273">
        <f t="shared" si="9"/>
        <v>7.9734219269102985E-2</v>
      </c>
      <c r="AX19" s="273"/>
      <c r="AY19" s="273">
        <f t="shared" si="10"/>
        <v>7.5675675675675666E-2</v>
      </c>
      <c r="AZ19" s="273">
        <f t="shared" si="11"/>
        <v>7.5675675675675666E-2</v>
      </c>
      <c r="BA19" s="273">
        <f t="shared" si="12"/>
        <v>7.5675675675675666E-2</v>
      </c>
      <c r="BB19" s="273"/>
      <c r="BC19" s="273"/>
      <c r="BD19" s="273"/>
      <c r="BE19" s="273">
        <v>0.10526315789473682</v>
      </c>
      <c r="BF19" s="273">
        <v>0.10416666666666666</v>
      </c>
      <c r="BG19" s="273">
        <f t="shared" si="13"/>
        <v>0.10526315789473682</v>
      </c>
      <c r="BH19" s="273"/>
      <c r="BI19" s="273"/>
      <c r="BJ19" s="273"/>
      <c r="BO19" s="178"/>
      <c r="BP19" s="178"/>
      <c r="BY19" s="178" t="s">
        <v>341</v>
      </c>
    </row>
    <row r="20" spans="1:77" ht="26.4">
      <c r="A20" s="174"/>
      <c r="B20" s="174"/>
      <c r="C20" s="290" t="s">
        <v>343</v>
      </c>
      <c r="D20" s="5">
        <f>SUM(D16:D19)</f>
        <v>774510.40392046201</v>
      </c>
      <c r="E20" s="57">
        <f>SUM(E16:E19)</f>
        <v>774.51040392046207</v>
      </c>
      <c r="F20" s="147">
        <f>SUM(F16:F19)</f>
        <v>0.29568106312292358</v>
      </c>
      <c r="G20" s="4"/>
      <c r="M20" s="29"/>
      <c r="N20" s="69"/>
      <c r="O20" s="69"/>
      <c r="Q20" s="69"/>
      <c r="R20" s="69"/>
      <c r="S20" s="155"/>
      <c r="T20" s="69"/>
      <c r="U20" s="69"/>
      <c r="X20" s="147"/>
      <c r="Y20" s="147"/>
      <c r="AA20" s="226"/>
      <c r="AB20" s="339"/>
      <c r="AC20" s="343"/>
      <c r="AD20" s="226"/>
      <c r="AE20" s="345"/>
      <c r="AF20" s="290" t="s">
        <v>342</v>
      </c>
      <c r="AH20" s="7" t="s">
        <v>117</v>
      </c>
      <c r="AI20" s="18">
        <f t="shared" si="1"/>
        <v>6.3122923588039864E-2</v>
      </c>
      <c r="AJ20">
        <f t="shared" si="2"/>
        <v>11</v>
      </c>
      <c r="AK20" s="273">
        <v>5.405405405405405E-2</v>
      </c>
      <c r="AL20" s="273">
        <f t="shared" si="3"/>
        <v>5.405405405405405E-2</v>
      </c>
      <c r="AM20" s="273">
        <f t="shared" si="4"/>
        <v>5.405405405405405E-2</v>
      </c>
      <c r="AN20" s="273"/>
      <c r="AO20" s="274"/>
      <c r="AP20" s="274"/>
      <c r="AQ20" s="225">
        <v>6.3122923588039864E-2</v>
      </c>
      <c r="AR20" s="273">
        <f t="shared" si="5"/>
        <v>6.3122923588039864E-2</v>
      </c>
      <c r="AS20" s="273">
        <f t="shared" si="6"/>
        <v>6.3122923588039864E-2</v>
      </c>
      <c r="AT20" s="273"/>
      <c r="AU20" s="273">
        <f t="shared" si="7"/>
        <v>6.3122923588039864E-2</v>
      </c>
      <c r="AV20" s="273">
        <f t="shared" si="8"/>
        <v>6.3122923588039864E-2</v>
      </c>
      <c r="AW20" s="273">
        <f t="shared" si="9"/>
        <v>6.3122923588039864E-2</v>
      </c>
      <c r="AX20" s="273"/>
      <c r="AY20" s="273">
        <f t="shared" si="10"/>
        <v>5.405405405405405E-2</v>
      </c>
      <c r="AZ20" s="273">
        <f t="shared" si="11"/>
        <v>5.405405405405405E-2</v>
      </c>
      <c r="BA20" s="273">
        <f t="shared" si="12"/>
        <v>5.405405405405405E-2</v>
      </c>
      <c r="BB20" s="273"/>
      <c r="BC20" s="273"/>
      <c r="BD20" s="273"/>
      <c r="BE20" s="273">
        <v>6.3157894736842093E-2</v>
      </c>
      <c r="BF20" s="273">
        <v>6.2499999999999993E-2</v>
      </c>
      <c r="BG20" s="273">
        <f t="shared" si="13"/>
        <v>6.3157894736842093E-2</v>
      </c>
      <c r="BH20" s="273"/>
      <c r="BI20" s="273"/>
      <c r="BJ20" s="273"/>
      <c r="BO20" s="178"/>
      <c r="BP20" s="178"/>
      <c r="BY20" s="178" t="s">
        <v>342</v>
      </c>
    </row>
    <row r="21" spans="1:77" ht="15.75" customHeight="1">
      <c r="A21" s="174"/>
      <c r="B21" s="174"/>
      <c r="C21" s="290" t="s">
        <v>474</v>
      </c>
      <c r="D21" s="5"/>
      <c r="F21" s="147"/>
      <c r="G21" s="4"/>
      <c r="M21" s="29"/>
      <c r="N21" s="69"/>
      <c r="O21" s="69"/>
      <c r="P21" s="155"/>
      <c r="Q21" s="69"/>
      <c r="R21" s="69"/>
      <c r="S21" s="155"/>
      <c r="T21" s="69"/>
      <c r="U21" s="69"/>
      <c r="X21" s="147"/>
      <c r="Y21" s="147"/>
      <c r="AA21" s="226"/>
      <c r="AB21" s="339"/>
      <c r="AC21" s="343"/>
      <c r="AD21" s="226"/>
      <c r="AE21" s="345"/>
      <c r="AF21" s="70"/>
      <c r="AI21" s="18">
        <f t="shared" si="1"/>
        <v>0.29568106312292358</v>
      </c>
      <c r="AJ21">
        <f t="shared" si="2"/>
        <v>12</v>
      </c>
      <c r="AK21" s="273">
        <f>SUM(AK17:AK20)</f>
        <v>0.39999999999999991</v>
      </c>
      <c r="AL21" s="273">
        <f t="shared" si="3"/>
        <v>0.39999999999999991</v>
      </c>
      <c r="AM21" s="273">
        <f t="shared" si="4"/>
        <v>0.39999999999999991</v>
      </c>
      <c r="AN21" s="273"/>
      <c r="AO21" s="274"/>
      <c r="AP21" s="274"/>
      <c r="AQ21" s="273">
        <f>SUM(AQ17:AQ20)</f>
        <v>0.29568106312292358</v>
      </c>
      <c r="AR21" s="273">
        <f t="shared" si="5"/>
        <v>0.29568106312292358</v>
      </c>
      <c r="AS21" s="273">
        <f t="shared" si="6"/>
        <v>0.29568106312292358</v>
      </c>
      <c r="AT21" s="273"/>
      <c r="AU21" s="273">
        <f t="shared" si="7"/>
        <v>0.29568106312292358</v>
      </c>
      <c r="AV21" s="273">
        <f t="shared" si="8"/>
        <v>0.29568106312292358</v>
      </c>
      <c r="AW21" s="273">
        <f t="shared" si="9"/>
        <v>0.29568106312292358</v>
      </c>
      <c r="AX21" s="273"/>
      <c r="AY21" s="273">
        <f t="shared" si="10"/>
        <v>0.39999999999999991</v>
      </c>
      <c r="AZ21" s="273">
        <f t="shared" si="11"/>
        <v>0.39999999999999991</v>
      </c>
      <c r="BA21" s="273">
        <f t="shared" si="12"/>
        <v>0.39999999999999991</v>
      </c>
      <c r="BB21" s="273"/>
      <c r="BC21" s="273"/>
      <c r="BD21" s="273"/>
      <c r="BE21" s="273">
        <f>SUM(BE17:BE20)</f>
        <v>0.64210526315789462</v>
      </c>
      <c r="BF21" s="273">
        <f>SUM(BF17:BF20)</f>
        <v>0.68749999999999989</v>
      </c>
      <c r="BG21" s="273">
        <f t="shared" si="13"/>
        <v>0.64210526315789462</v>
      </c>
      <c r="BH21" s="273"/>
      <c r="BI21" s="273"/>
      <c r="BJ21" s="273"/>
      <c r="BO21" s="178"/>
      <c r="BP21" s="178"/>
      <c r="BY21" s="178" t="s">
        <v>343</v>
      </c>
    </row>
    <row r="22" spans="1:77">
      <c r="A22" s="174"/>
      <c r="B22" s="174"/>
      <c r="C22" s="290" t="s">
        <v>345</v>
      </c>
      <c r="D22" s="5">
        <f>E$9*F22</f>
        <v>261070.92266981865</v>
      </c>
      <c r="E22" s="57">
        <f>D22/F$5</f>
        <v>261.07092266981863</v>
      </c>
      <c r="F22" s="147">
        <f>AI23</f>
        <v>9.9667774086378752E-2</v>
      </c>
      <c r="G22" s="4">
        <v>1</v>
      </c>
      <c r="H22" s="314">
        <v>0.1</v>
      </c>
      <c r="I22" s="314">
        <v>0.1</v>
      </c>
      <c r="J22" s="314">
        <v>0.5</v>
      </c>
      <c r="K22" s="314">
        <v>0.5</v>
      </c>
      <c r="M22" s="29">
        <f>(M$13-H$13)/(I$13-H$13)</f>
        <v>-0.42857142857142855</v>
      </c>
      <c r="N22" s="69">
        <f>+I22-H22</f>
        <v>0</v>
      </c>
      <c r="O22" s="69">
        <f>H22+(N22*M22)</f>
        <v>0.1</v>
      </c>
      <c r="P22" s="155">
        <f>(M$13-I$13)/(J$13-I$13)</f>
        <v>-0.5</v>
      </c>
      <c r="Q22" s="69">
        <f>J22-I22</f>
        <v>0.4</v>
      </c>
      <c r="R22" s="69">
        <f>I22+(P22*Q22)</f>
        <v>-0.1</v>
      </c>
      <c r="S22" s="155">
        <f>IF((M$13-J$13)/(K$13-J$13)&gt;1,1,(M$13-J$13)/(K$13-J$13))</f>
        <v>-3</v>
      </c>
      <c r="T22" s="69">
        <f>K22-J22</f>
        <v>0</v>
      </c>
      <c r="U22" s="69">
        <f>J22+(S22*T22)</f>
        <v>0.5</v>
      </c>
      <c r="X22" s="147"/>
      <c r="Y22" s="147"/>
      <c r="AA22" s="226"/>
      <c r="AB22" s="340"/>
      <c r="AC22" s="343"/>
      <c r="AD22" s="226"/>
      <c r="AE22" s="345"/>
      <c r="AF22" s="70"/>
      <c r="AI22" s="197">
        <f t="shared" si="1"/>
        <v>0</v>
      </c>
      <c r="AJ22">
        <f t="shared" si="2"/>
        <v>13</v>
      </c>
      <c r="AK22" s="274"/>
      <c r="AL22" s="273"/>
      <c r="AM22" s="273"/>
      <c r="AN22" s="274"/>
      <c r="AO22" s="274"/>
      <c r="AP22" s="274"/>
      <c r="AQ22" s="274"/>
      <c r="AR22" s="273"/>
      <c r="AS22" s="273"/>
      <c r="AT22" s="273"/>
      <c r="AU22" s="273"/>
      <c r="AV22" s="273"/>
      <c r="AW22" s="273"/>
      <c r="AX22" s="274"/>
      <c r="AY22" s="273"/>
      <c r="AZ22" s="273"/>
      <c r="BA22" s="273"/>
      <c r="BB22" s="274"/>
      <c r="BC22" s="274"/>
      <c r="BD22" s="274"/>
      <c r="BE22" s="274"/>
      <c r="BF22" s="274"/>
      <c r="BG22" s="273"/>
      <c r="BH22" s="274"/>
      <c r="BI22" s="274"/>
      <c r="BJ22" s="274"/>
      <c r="BO22" s="178"/>
      <c r="BP22" s="178"/>
      <c r="BY22" s="178" t="s">
        <v>474</v>
      </c>
    </row>
    <row r="23" spans="1:77" ht="13.5" customHeight="1">
      <c r="A23" s="174"/>
      <c r="B23" s="174"/>
      <c r="C23" s="290" t="s">
        <v>343</v>
      </c>
      <c r="D23" s="5">
        <f>SUM(D22:D22)</f>
        <v>261070.92266981865</v>
      </c>
      <c r="E23" s="57">
        <f>SUM(E22:E22)</f>
        <v>261.07092266981863</v>
      </c>
      <c r="F23" s="147">
        <f>F22</f>
        <v>9.9667774086378752E-2</v>
      </c>
      <c r="G23" s="4"/>
      <c r="M23" s="29"/>
      <c r="N23" s="69"/>
      <c r="O23" s="69"/>
      <c r="P23" s="155"/>
      <c r="Q23" s="69"/>
      <c r="R23" s="69"/>
      <c r="S23" s="155"/>
      <c r="T23" s="69"/>
      <c r="U23" s="69"/>
      <c r="X23" s="147"/>
      <c r="Y23" s="147"/>
      <c r="AA23" s="226"/>
      <c r="AB23" s="339"/>
      <c r="AC23" s="344"/>
      <c r="AD23" s="226"/>
      <c r="AE23" s="345"/>
      <c r="AF23" s="290" t="s">
        <v>475</v>
      </c>
      <c r="AI23" s="18">
        <f>HLOOKUP(AI$9,AK$10:BP$43,AJ23)</f>
        <v>9.9667774086378752E-2</v>
      </c>
      <c r="AJ23">
        <f t="shared" si="2"/>
        <v>14</v>
      </c>
      <c r="AK23" s="273">
        <v>7.027027027027026E-2</v>
      </c>
      <c r="AL23" s="273">
        <f t="shared" si="3"/>
        <v>7.027027027027026E-2</v>
      </c>
      <c r="AM23" s="273">
        <f t="shared" si="4"/>
        <v>7.027027027027026E-2</v>
      </c>
      <c r="AN23" s="273"/>
      <c r="AO23" s="274"/>
      <c r="AP23" s="274"/>
      <c r="AQ23" s="341">
        <v>9.9667774086378752E-2</v>
      </c>
      <c r="AR23" s="273">
        <f t="shared" si="5"/>
        <v>9.9667774086378752E-2</v>
      </c>
      <c r="AS23" s="273">
        <f t="shared" si="6"/>
        <v>9.9667774086378752E-2</v>
      </c>
      <c r="AT23" s="273"/>
      <c r="AU23" s="273">
        <f t="shared" si="7"/>
        <v>9.9667774086378752E-2</v>
      </c>
      <c r="AV23" s="273">
        <f t="shared" si="8"/>
        <v>9.9667774086378752E-2</v>
      </c>
      <c r="AW23" s="273">
        <f t="shared" si="9"/>
        <v>9.9667774086378752E-2</v>
      </c>
      <c r="AX23" s="273"/>
      <c r="AY23" s="273">
        <f t="shared" si="10"/>
        <v>7.027027027027026E-2</v>
      </c>
      <c r="AZ23" s="273">
        <f t="shared" si="11"/>
        <v>7.027027027027026E-2</v>
      </c>
      <c r="BA23" s="273">
        <f t="shared" si="12"/>
        <v>7.027027027027026E-2</v>
      </c>
      <c r="BB23" s="273"/>
      <c r="BC23" s="273"/>
      <c r="BD23" s="273"/>
      <c r="BE23" s="273">
        <v>0.13684210526315788</v>
      </c>
      <c r="BF23" s="273">
        <v>0.14583333333333334</v>
      </c>
      <c r="BG23" s="273">
        <f t="shared" si="13"/>
        <v>0.13684210526315788</v>
      </c>
      <c r="BH23" s="273"/>
      <c r="BI23" s="273"/>
      <c r="BJ23" s="273"/>
      <c r="BO23" s="178"/>
      <c r="BP23" s="178"/>
      <c r="BY23" s="178" t="s">
        <v>345</v>
      </c>
    </row>
    <row r="24" spans="1:77" ht="15" customHeight="1">
      <c r="A24" s="174"/>
      <c r="B24" s="174"/>
      <c r="C24" s="290" t="s">
        <v>476</v>
      </c>
      <c r="D24" s="5">
        <f>+D23+D20</f>
        <v>1035581.3265902806</v>
      </c>
      <c r="E24" s="57">
        <f>+E23+E20</f>
        <v>1035.5813265902807</v>
      </c>
      <c r="F24" s="147">
        <f>+F23+F20</f>
        <v>0.39534883720930236</v>
      </c>
      <c r="G24" s="4"/>
      <c r="M24" s="29"/>
      <c r="N24" s="69"/>
      <c r="O24" s="69"/>
      <c r="P24" s="155"/>
      <c r="Q24" s="69"/>
      <c r="R24" s="69"/>
      <c r="S24" s="155"/>
      <c r="T24" s="69"/>
      <c r="U24" s="69"/>
      <c r="X24" s="71"/>
      <c r="Y24" s="71"/>
      <c r="AA24" s="226"/>
      <c r="AB24" s="290"/>
      <c r="AC24" s="344"/>
      <c r="AD24" s="226"/>
      <c r="AE24" s="346"/>
      <c r="AI24" s="18">
        <f>HLOOKUP(AI$9,AK$10:BP$43,AJ24)</f>
        <v>9.9667774086378752E-2</v>
      </c>
      <c r="AJ24">
        <f t="shared" si="2"/>
        <v>15</v>
      </c>
      <c r="AK24" s="273">
        <f>AK23</f>
        <v>7.027027027027026E-2</v>
      </c>
      <c r="AL24" s="273">
        <f t="shared" si="3"/>
        <v>7.027027027027026E-2</v>
      </c>
      <c r="AM24" s="273">
        <f t="shared" si="4"/>
        <v>7.027027027027026E-2</v>
      </c>
      <c r="AN24" s="273"/>
      <c r="AO24" s="273"/>
      <c r="AP24" s="273"/>
      <c r="AQ24" s="273">
        <f>AQ23</f>
        <v>9.9667774086378752E-2</v>
      </c>
      <c r="AR24" s="273">
        <f t="shared" si="5"/>
        <v>9.9667774086378752E-2</v>
      </c>
      <c r="AS24" s="273">
        <f t="shared" si="6"/>
        <v>9.9667774086378752E-2</v>
      </c>
      <c r="AT24" s="273"/>
      <c r="AU24" s="273">
        <f t="shared" si="7"/>
        <v>9.9667774086378752E-2</v>
      </c>
      <c r="AV24" s="273">
        <f t="shared" si="8"/>
        <v>9.9667774086378752E-2</v>
      </c>
      <c r="AW24" s="273">
        <f t="shared" si="9"/>
        <v>9.9667774086378752E-2</v>
      </c>
      <c r="AX24" s="273"/>
      <c r="AY24" s="273">
        <f t="shared" si="10"/>
        <v>7.027027027027026E-2</v>
      </c>
      <c r="AZ24" s="273">
        <f t="shared" si="11"/>
        <v>7.027027027027026E-2</v>
      </c>
      <c r="BA24" s="273">
        <f t="shared" si="12"/>
        <v>7.027027027027026E-2</v>
      </c>
      <c r="BB24" s="273"/>
      <c r="BC24" s="273"/>
      <c r="BD24" s="273"/>
      <c r="BE24" s="273">
        <f>BE23</f>
        <v>0.13684210526315788</v>
      </c>
      <c r="BF24" s="273">
        <f>BF23</f>
        <v>0.14583333333333334</v>
      </c>
      <c r="BG24" s="273">
        <f t="shared" si="13"/>
        <v>0.13684210526315788</v>
      </c>
      <c r="BH24" s="275"/>
      <c r="BI24" s="275"/>
      <c r="BJ24" s="275"/>
      <c r="BO24" s="178"/>
      <c r="BP24" s="178"/>
      <c r="BY24" s="178" t="s">
        <v>343</v>
      </c>
    </row>
    <row r="25" spans="1:77" ht="13.8">
      <c r="A25" s="174"/>
      <c r="B25" s="174"/>
      <c r="C25" s="2" t="s">
        <v>346</v>
      </c>
      <c r="D25" s="5"/>
      <c r="F25" s="70"/>
      <c r="G25" s="4"/>
      <c r="M25" s="29"/>
      <c r="N25" s="69"/>
      <c r="O25" s="69"/>
      <c r="Q25" s="69"/>
      <c r="R25" s="69"/>
      <c r="S25" s="155"/>
      <c r="T25" s="69"/>
      <c r="U25" s="69"/>
      <c r="AA25" s="226"/>
      <c r="AB25" s="290"/>
      <c r="AC25" s="344"/>
      <c r="AD25" s="226"/>
      <c r="AE25" s="346"/>
      <c r="AI25" s="18">
        <f>HLOOKUP(AI$9,AK$10:BP$43,AJ25)</f>
        <v>0.39534883720930236</v>
      </c>
      <c r="AJ25">
        <f t="shared" si="2"/>
        <v>16</v>
      </c>
      <c r="AK25" s="273">
        <f>AK24+AK21</f>
        <v>0.47027027027027019</v>
      </c>
      <c r="AL25" s="273">
        <f t="shared" si="3"/>
        <v>0.47027027027027019</v>
      </c>
      <c r="AM25" s="273">
        <f t="shared" si="4"/>
        <v>0.47027027027027019</v>
      </c>
      <c r="AN25" s="273"/>
      <c r="AO25" s="274"/>
      <c r="AP25" s="273"/>
      <c r="AQ25" s="273">
        <f>AQ24+AQ21</f>
        <v>0.39534883720930236</v>
      </c>
      <c r="AR25" s="273">
        <f t="shared" si="5"/>
        <v>0.39534883720930236</v>
      </c>
      <c r="AS25" s="273">
        <f t="shared" si="6"/>
        <v>0.39534883720930236</v>
      </c>
      <c r="AT25" s="273"/>
      <c r="AU25" s="273">
        <f t="shared" si="7"/>
        <v>0.39534883720930236</v>
      </c>
      <c r="AV25" s="273">
        <f t="shared" si="8"/>
        <v>0.39534883720930236</v>
      </c>
      <c r="AW25" s="273">
        <f t="shared" si="9"/>
        <v>0.39534883720930236</v>
      </c>
      <c r="AX25" s="273"/>
      <c r="AY25" s="273">
        <f t="shared" si="10"/>
        <v>0.47027027027027019</v>
      </c>
      <c r="AZ25" s="273">
        <f t="shared" si="11"/>
        <v>0.47027027027027019</v>
      </c>
      <c r="BA25" s="273">
        <f t="shared" si="12"/>
        <v>0.47027027027027019</v>
      </c>
      <c r="BB25" s="273"/>
      <c r="BC25" s="273"/>
      <c r="BD25" s="273"/>
      <c r="BE25" s="273">
        <f>BE24+BE21</f>
        <v>0.7789473684210525</v>
      </c>
      <c r="BF25" s="273">
        <f>BF24+BF21</f>
        <v>0.83333333333333326</v>
      </c>
      <c r="BG25" s="273">
        <f t="shared" si="13"/>
        <v>0.7789473684210525</v>
      </c>
      <c r="BH25" s="273"/>
      <c r="BI25" s="273"/>
      <c r="BJ25" s="273"/>
      <c r="BO25" s="178"/>
      <c r="BP25" s="178"/>
      <c r="BY25" s="178" t="s">
        <v>476</v>
      </c>
    </row>
    <row r="26" spans="1:77" ht="13.5" customHeight="1">
      <c r="A26" s="174"/>
      <c r="B26" s="174"/>
      <c r="C26" s="290" t="s">
        <v>477</v>
      </c>
      <c r="D26" s="5">
        <f>E$9*F26</f>
        <v>348094.56355975819</v>
      </c>
      <c r="E26" s="57">
        <f>D26/F$5</f>
        <v>348.09456355975817</v>
      </c>
      <c r="F26" s="147">
        <f>AI27</f>
        <v>0.13289036544850499</v>
      </c>
      <c r="G26" s="4">
        <v>1</v>
      </c>
      <c r="H26" s="69">
        <v>1</v>
      </c>
      <c r="I26" s="69">
        <v>1</v>
      </c>
      <c r="J26" s="69">
        <v>1</v>
      </c>
      <c r="K26" s="69">
        <v>1</v>
      </c>
      <c r="M26" s="29">
        <f>(M$13-H$13)/(I$13-H$13)</f>
        <v>-0.42857142857142855</v>
      </c>
      <c r="N26" s="69">
        <f>+I26-H26</f>
        <v>0</v>
      </c>
      <c r="O26" s="69">
        <f>H26+(N26*M26)</f>
        <v>1</v>
      </c>
      <c r="P26" s="155">
        <f>(M$13-I$13)/(J$13-I$13)</f>
        <v>-0.5</v>
      </c>
      <c r="Q26" s="69">
        <f>J26-I26</f>
        <v>0</v>
      </c>
      <c r="R26" s="69">
        <f>I26+(P26*Q26)</f>
        <v>1</v>
      </c>
      <c r="S26" s="155">
        <f>IF((M$13-J$13)/(K$13-J$13)&gt;1,1,(M$13-J$13)/(K$13-J$13))</f>
        <v>-3</v>
      </c>
      <c r="T26" s="69">
        <f>K26-J26</f>
        <v>0</v>
      </c>
      <c r="U26" s="69">
        <f>J26+(S26*T26)</f>
        <v>1</v>
      </c>
      <c r="AB26" s="290"/>
      <c r="AC26" s="344"/>
      <c r="AD26" s="226"/>
      <c r="AE26" s="346"/>
      <c r="AF26" s="290"/>
      <c r="AI26" s="197"/>
      <c r="AJ26">
        <f t="shared" si="2"/>
        <v>17</v>
      </c>
      <c r="AK26" s="274"/>
      <c r="AL26" s="273"/>
      <c r="AM26" s="273"/>
      <c r="AN26" s="274"/>
      <c r="AO26" s="274"/>
      <c r="AP26" s="274"/>
      <c r="AQ26" s="274"/>
      <c r="AR26" s="273"/>
      <c r="AS26" s="273"/>
      <c r="AT26" s="273"/>
      <c r="AU26" s="273"/>
      <c r="AV26" s="273"/>
      <c r="AW26" s="273"/>
      <c r="AX26" s="274"/>
      <c r="AY26" s="273"/>
      <c r="AZ26" s="273"/>
      <c r="BA26" s="273"/>
      <c r="BB26" s="274"/>
      <c r="BC26" s="274"/>
      <c r="BD26" s="274"/>
      <c r="BE26" s="274"/>
      <c r="BF26" s="274"/>
      <c r="BG26" s="273"/>
      <c r="BH26" s="274"/>
      <c r="BI26" s="274"/>
      <c r="BJ26" s="274"/>
      <c r="BO26" s="196"/>
      <c r="BP26" s="196"/>
      <c r="BY26" s="196" t="s">
        <v>346</v>
      </c>
    </row>
    <row r="27" spans="1:77" ht="15" customHeight="1">
      <c r="A27" s="174"/>
      <c r="B27" s="174"/>
      <c r="C27" s="178" t="s">
        <v>478</v>
      </c>
      <c r="D27" s="5">
        <f>E$9*F27</f>
        <v>661379.67076354055</v>
      </c>
      <c r="E27" s="57">
        <f>D27/F$5</f>
        <v>661.3796707635405</v>
      </c>
      <c r="F27" s="147">
        <f>AI28</f>
        <v>0.25249169435215946</v>
      </c>
      <c r="G27" s="4">
        <v>1</v>
      </c>
      <c r="H27" s="69">
        <v>0</v>
      </c>
      <c r="I27" s="69">
        <v>1</v>
      </c>
      <c r="J27" s="69">
        <v>1</v>
      </c>
      <c r="K27" s="69">
        <v>1</v>
      </c>
      <c r="M27" s="29">
        <f>(M$13-H$13)/(I$13-H$13)</f>
        <v>-0.42857142857142855</v>
      </c>
      <c r="N27" s="69">
        <f>+I27-H27</f>
        <v>1</v>
      </c>
      <c r="O27" s="69">
        <f>H27+(N27*M27)</f>
        <v>-0.42857142857142855</v>
      </c>
      <c r="P27" s="155">
        <f>(M$13-I$13)/(J$13-I$13)</f>
        <v>-0.5</v>
      </c>
      <c r="Q27" s="69">
        <f>J27-I27</f>
        <v>0</v>
      </c>
      <c r="R27" s="69">
        <f>I27+(P27*Q27)</f>
        <v>1</v>
      </c>
      <c r="S27" s="155">
        <f>IF((M$13-J$13)/(K$13-J$13)&gt;1,1,(M$13-J$13)/(K$13-J$13))</f>
        <v>-3</v>
      </c>
      <c r="T27" s="69">
        <f>K27-J27</f>
        <v>0</v>
      </c>
      <c r="U27" s="69">
        <f>J27+(S27*T27)</f>
        <v>1</v>
      </c>
      <c r="X27" s="161"/>
      <c r="Y27" s="161"/>
      <c r="AA27" s="226"/>
      <c r="AB27" s="238"/>
      <c r="AC27" s="344"/>
      <c r="AD27" s="226"/>
      <c r="AE27" s="346"/>
      <c r="AF27" s="290" t="s">
        <v>479</v>
      </c>
      <c r="AI27" s="18">
        <f t="shared" ref="AI27:AI33" si="14">HLOOKUP(AI$9,AK$10:BP$43,AJ27)</f>
        <v>0.13289036544850499</v>
      </c>
      <c r="AJ27">
        <f t="shared" si="2"/>
        <v>18</v>
      </c>
      <c r="AK27" s="273">
        <v>8.1081081081081072E-2</v>
      </c>
      <c r="AL27" s="273">
        <f t="shared" si="3"/>
        <v>8.1081081081081072E-2</v>
      </c>
      <c r="AM27" s="273">
        <f t="shared" si="4"/>
        <v>8.1081081081081072E-2</v>
      </c>
      <c r="AN27" s="273"/>
      <c r="AO27" s="274"/>
      <c r="AP27" s="274"/>
      <c r="AQ27" s="273">
        <v>0.13289036544850499</v>
      </c>
      <c r="AR27" s="273">
        <f t="shared" si="5"/>
        <v>0.13289036544850499</v>
      </c>
      <c r="AS27" s="273">
        <f t="shared" si="6"/>
        <v>0.13289036544850499</v>
      </c>
      <c r="AT27" s="273"/>
      <c r="AU27" s="273">
        <f t="shared" si="7"/>
        <v>0.13289036544850499</v>
      </c>
      <c r="AV27" s="273">
        <f t="shared" si="8"/>
        <v>0.13289036544850499</v>
      </c>
      <c r="AW27" s="273">
        <f t="shared" si="9"/>
        <v>0.13289036544850499</v>
      </c>
      <c r="AX27" s="273"/>
      <c r="AY27" s="273">
        <f t="shared" si="10"/>
        <v>8.1081081081081072E-2</v>
      </c>
      <c r="AZ27" s="273">
        <f t="shared" si="11"/>
        <v>8.1081081081081072E-2</v>
      </c>
      <c r="BA27" s="273">
        <f t="shared" si="12"/>
        <v>8.1081081081081072E-2</v>
      </c>
      <c r="BB27" s="273"/>
      <c r="BC27" s="273"/>
      <c r="BD27" s="273"/>
      <c r="BE27" s="273">
        <v>6.3157894736842093E-2</v>
      </c>
      <c r="BF27" s="273">
        <v>5.2083333333333329E-2</v>
      </c>
      <c r="BG27" s="273">
        <f t="shared" si="13"/>
        <v>6.3157894736842093E-2</v>
      </c>
      <c r="BH27" s="273"/>
      <c r="BI27" s="273"/>
      <c r="BJ27" s="273"/>
      <c r="BO27" s="178"/>
      <c r="BP27" s="178"/>
      <c r="BY27" s="178" t="s">
        <v>479</v>
      </c>
    </row>
    <row r="28" spans="1:77" ht="15.75" customHeight="1">
      <c r="A28" s="174"/>
      <c r="B28" s="174"/>
      <c r="C28" s="178" t="s">
        <v>480</v>
      </c>
      <c r="D28" s="5">
        <f>E$9*F28</f>
        <v>574356.02987360104</v>
      </c>
      <c r="E28" s="57">
        <f>D28/F$5</f>
        <v>574.35602987360107</v>
      </c>
      <c r="F28" s="147">
        <f>AI29</f>
        <v>0.21926910299003324</v>
      </c>
      <c r="G28" s="4">
        <v>1</v>
      </c>
      <c r="H28" s="69">
        <v>0</v>
      </c>
      <c r="I28" s="69">
        <v>1</v>
      </c>
      <c r="J28" s="69">
        <v>1</v>
      </c>
      <c r="K28" s="69">
        <v>1</v>
      </c>
      <c r="M28" s="29">
        <f>(M$13-H$13)/(I$13-H$13)</f>
        <v>-0.42857142857142855</v>
      </c>
      <c r="N28" s="69">
        <f>+I28-H28</f>
        <v>1</v>
      </c>
      <c r="O28" s="69">
        <f>H28+(N28*M28)</f>
        <v>-0.42857142857142855</v>
      </c>
      <c r="P28" s="155">
        <f>(M$13-I$13)/(J$13-I$13)</f>
        <v>-0.5</v>
      </c>
      <c r="Q28" s="69">
        <f>J28-I28</f>
        <v>0</v>
      </c>
      <c r="R28" s="69">
        <f>I28+(P28*Q28)</f>
        <v>1</v>
      </c>
      <c r="S28" s="155">
        <f>IF((M$13-J$13)/(K$13-J$13)&gt;1,1,(M$13-J$13)/(K$13-J$13))</f>
        <v>-3</v>
      </c>
      <c r="T28" s="69">
        <f>K28-J28</f>
        <v>0</v>
      </c>
      <c r="U28" s="69">
        <f>J28+(S28*T28)</f>
        <v>1</v>
      </c>
      <c r="X28" s="161"/>
      <c r="Y28" s="161"/>
      <c r="AA28" s="226"/>
      <c r="AB28" s="238"/>
      <c r="AC28" s="344"/>
      <c r="AD28" s="342"/>
      <c r="AE28" s="348"/>
      <c r="AF28" s="178" t="s">
        <v>478</v>
      </c>
      <c r="AH28" s="7"/>
      <c r="AI28" s="18">
        <f t="shared" si="14"/>
        <v>0.25249169435215946</v>
      </c>
      <c r="AJ28">
        <f t="shared" si="2"/>
        <v>19</v>
      </c>
      <c r="AK28" s="273">
        <v>8.1081081081081058E-2</v>
      </c>
      <c r="AL28" s="273">
        <f t="shared" si="3"/>
        <v>8.1081081081081058E-2</v>
      </c>
      <c r="AM28" s="273">
        <f t="shared" si="4"/>
        <v>8.1081081081081058E-2</v>
      </c>
      <c r="AN28" s="273"/>
      <c r="AO28" s="274"/>
      <c r="AP28" s="274"/>
      <c r="AQ28" s="273">
        <v>0.25249169435215946</v>
      </c>
      <c r="AR28" s="273">
        <f t="shared" si="5"/>
        <v>0.25249169435215946</v>
      </c>
      <c r="AS28" s="273">
        <f t="shared" si="6"/>
        <v>0.25249169435215946</v>
      </c>
      <c r="AT28" s="273"/>
      <c r="AU28" s="273">
        <f t="shared" si="7"/>
        <v>0.25249169435215946</v>
      </c>
      <c r="AV28" s="273">
        <f t="shared" si="8"/>
        <v>0.25249169435215946</v>
      </c>
      <c r="AW28" s="273">
        <f t="shared" si="9"/>
        <v>0.25249169435215946</v>
      </c>
      <c r="AX28" s="273"/>
      <c r="AY28" s="273">
        <f t="shared" si="10"/>
        <v>8.1081081081081058E-2</v>
      </c>
      <c r="AZ28" s="273">
        <f t="shared" si="11"/>
        <v>8.1081081081081058E-2</v>
      </c>
      <c r="BA28" s="273">
        <f t="shared" si="12"/>
        <v>8.1081081081081058E-2</v>
      </c>
      <c r="BB28" s="273"/>
      <c r="BC28" s="273"/>
      <c r="BD28" s="273"/>
      <c r="BE28" s="273">
        <v>4.2105263157894729E-2</v>
      </c>
      <c r="BF28" s="273">
        <v>3.1249999999999997E-2</v>
      </c>
      <c r="BG28" s="273">
        <f t="shared" si="13"/>
        <v>4.2105263157894729E-2</v>
      </c>
      <c r="BH28" s="273"/>
      <c r="BI28" s="273"/>
      <c r="BJ28" s="273"/>
      <c r="BO28" s="178"/>
      <c r="BP28" s="178"/>
      <c r="BY28" s="178" t="s">
        <v>478</v>
      </c>
    </row>
    <row r="29" spans="1:77" ht="15" customHeight="1">
      <c r="A29" s="174"/>
      <c r="B29" s="174"/>
      <c r="C29" s="290" t="s">
        <v>481</v>
      </c>
      <c r="D29" s="5">
        <f>SUM(D26:D28)</f>
        <v>1583830.2641968997</v>
      </c>
      <c r="E29" s="57">
        <f>SUM(E26:E28)</f>
        <v>1583.8302641968999</v>
      </c>
      <c r="F29" s="147">
        <f>SUM(F26:F28)</f>
        <v>0.60465116279069764</v>
      </c>
      <c r="G29" s="4"/>
      <c r="H29" s="69"/>
      <c r="I29" s="69"/>
      <c r="J29" s="69"/>
      <c r="K29" s="69"/>
      <c r="M29" s="29"/>
      <c r="N29" s="69"/>
      <c r="O29" s="69"/>
      <c r="P29" s="155"/>
      <c r="Q29" s="69"/>
      <c r="R29" s="69"/>
      <c r="S29" s="155"/>
      <c r="T29" s="69"/>
      <c r="U29" s="69"/>
      <c r="AC29" s="237"/>
      <c r="AE29" s="346"/>
      <c r="AF29" s="178" t="s">
        <v>480</v>
      </c>
      <c r="AH29" s="7"/>
      <c r="AI29" s="18">
        <f t="shared" si="14"/>
        <v>0.21926910299003324</v>
      </c>
      <c r="AJ29">
        <f t="shared" si="2"/>
        <v>20</v>
      </c>
      <c r="AK29" s="273">
        <v>0.36756756756756753</v>
      </c>
      <c r="AL29" s="273">
        <f t="shared" si="3"/>
        <v>0.36756756756756753</v>
      </c>
      <c r="AM29" s="273">
        <f t="shared" si="4"/>
        <v>0.36756756756756753</v>
      </c>
      <c r="AN29" s="273"/>
      <c r="AO29" s="274"/>
      <c r="AP29" s="274"/>
      <c r="AQ29" s="10">
        <v>0.21926910299003324</v>
      </c>
      <c r="AR29" s="273">
        <f t="shared" si="5"/>
        <v>0.21926910299003324</v>
      </c>
      <c r="AS29" s="273">
        <f t="shared" si="6"/>
        <v>0.21926910299003324</v>
      </c>
      <c r="AT29" s="273"/>
      <c r="AU29" s="273">
        <f t="shared" si="7"/>
        <v>0.21926910299003324</v>
      </c>
      <c r="AV29" s="273">
        <f t="shared" si="8"/>
        <v>0.21926910299003324</v>
      </c>
      <c r="AW29" s="273">
        <f t="shared" si="9"/>
        <v>0.21926910299003324</v>
      </c>
      <c r="AX29" s="273"/>
      <c r="AY29" s="273">
        <f t="shared" si="10"/>
        <v>0.36756756756756753</v>
      </c>
      <c r="AZ29" s="273">
        <f t="shared" si="11"/>
        <v>0.36756756756756753</v>
      </c>
      <c r="BA29" s="273">
        <f t="shared" si="12"/>
        <v>0.36756756756756753</v>
      </c>
      <c r="BB29" s="273"/>
      <c r="BC29" s="273"/>
      <c r="BD29" s="273"/>
      <c r="BE29" s="273">
        <v>0.1157894736842105</v>
      </c>
      <c r="BF29" s="273">
        <v>8.3333333333333329E-2</v>
      </c>
      <c r="BG29" s="273">
        <f t="shared" si="13"/>
        <v>0.1157894736842105</v>
      </c>
      <c r="BH29" s="273"/>
      <c r="BI29" s="273"/>
      <c r="BJ29" s="273"/>
      <c r="BO29" s="178"/>
      <c r="BP29" s="178"/>
      <c r="BY29" s="178" t="s">
        <v>480</v>
      </c>
    </row>
    <row r="30" spans="1:77" ht="13.8">
      <c r="A30" s="174"/>
      <c r="B30" s="174"/>
      <c r="C30" s="2" t="s">
        <v>131</v>
      </c>
      <c r="D30" s="5">
        <f>D29+D24</f>
        <v>2619411.5907871802</v>
      </c>
      <c r="E30" s="57">
        <f>E29+E24</f>
        <v>2619.4115907871806</v>
      </c>
      <c r="F30" s="71">
        <f>F29+F24</f>
        <v>1</v>
      </c>
      <c r="G30" s="4"/>
      <c r="H30" s="8" t="s">
        <v>457</v>
      </c>
      <c r="I30" s="8" t="s">
        <v>458</v>
      </c>
      <c r="J30" s="8" t="s">
        <v>459</v>
      </c>
      <c r="K30" s="8" t="s">
        <v>460</v>
      </c>
      <c r="M30" s="29"/>
      <c r="N30" s="69"/>
      <c r="O30" s="69"/>
      <c r="P30" s="155"/>
      <c r="Q30" s="69"/>
      <c r="R30" s="69"/>
      <c r="S30" s="155"/>
      <c r="T30" s="69"/>
      <c r="U30" s="69"/>
      <c r="AA30" s="226"/>
      <c r="AB30" s="226"/>
      <c r="AC30" s="226"/>
      <c r="AD30" s="226"/>
      <c r="AI30" s="18">
        <f t="shared" si="14"/>
        <v>0.60465116279069764</v>
      </c>
      <c r="AJ30">
        <f t="shared" si="2"/>
        <v>21</v>
      </c>
      <c r="AK30" s="273">
        <f>SUM(AK27:AK29)</f>
        <v>0.52972972972972965</v>
      </c>
      <c r="AL30" s="273">
        <f t="shared" si="3"/>
        <v>0.52972972972972965</v>
      </c>
      <c r="AM30" s="273">
        <f t="shared" si="4"/>
        <v>0.52972972972972965</v>
      </c>
      <c r="AN30" s="273"/>
      <c r="AO30" s="274"/>
      <c r="AP30" s="273"/>
      <c r="AQ30" s="273">
        <f>SUM(AQ27:AQ29)</f>
        <v>0.60465116279069764</v>
      </c>
      <c r="AR30" s="273">
        <f t="shared" si="5"/>
        <v>0.60465116279069764</v>
      </c>
      <c r="AS30" s="273">
        <f t="shared" si="6"/>
        <v>0.60465116279069764</v>
      </c>
      <c r="AT30" s="273"/>
      <c r="AU30" s="273">
        <f t="shared" si="7"/>
        <v>0.60465116279069764</v>
      </c>
      <c r="AV30" s="273">
        <f t="shared" si="8"/>
        <v>0.60465116279069764</v>
      </c>
      <c r="AW30" s="273">
        <f t="shared" si="9"/>
        <v>0.60465116279069764</v>
      </c>
      <c r="AX30" s="273"/>
      <c r="AY30" s="273">
        <f t="shared" si="10"/>
        <v>0.52972972972972965</v>
      </c>
      <c r="AZ30" s="273">
        <f t="shared" si="11"/>
        <v>0.52972972972972965</v>
      </c>
      <c r="BA30" s="273">
        <f t="shared" si="12"/>
        <v>0.52972972972972965</v>
      </c>
      <c r="BB30" s="273"/>
      <c r="BC30" s="273"/>
      <c r="BD30" s="273"/>
      <c r="BE30" s="273">
        <f>SUM(BE27:BE29)</f>
        <v>0.22105263157894733</v>
      </c>
      <c r="BF30" s="273">
        <f>SUM(BF27:BF29)</f>
        <v>0.16666666666666666</v>
      </c>
      <c r="BG30" s="273">
        <f t="shared" si="13"/>
        <v>0.22105263157894733</v>
      </c>
      <c r="BH30" s="273"/>
      <c r="BI30" s="273"/>
      <c r="BJ30" s="273"/>
      <c r="BO30" s="178"/>
      <c r="BP30" s="178"/>
      <c r="BY30" s="178" t="s">
        <v>481</v>
      </c>
    </row>
    <row r="31" spans="1:77" ht="13.8">
      <c r="A31" s="174"/>
      <c r="B31" s="174"/>
      <c r="C31" s="181" t="s">
        <v>482</v>
      </c>
      <c r="D31" s="5">
        <v>0</v>
      </c>
      <c r="E31" s="57">
        <f>D31/F$5</f>
        <v>0</v>
      </c>
      <c r="F31" s="69"/>
      <c r="G31" s="4"/>
      <c r="H31" s="125">
        <v>30000</v>
      </c>
      <c r="I31" s="125">
        <v>100000</v>
      </c>
      <c r="J31" s="125">
        <v>300000</v>
      </c>
      <c r="K31" s="154">
        <v>400000</v>
      </c>
      <c r="M31" s="29"/>
      <c r="N31" s="69"/>
      <c r="O31" s="69"/>
      <c r="P31" s="155"/>
      <c r="Q31" s="69"/>
      <c r="R31" s="69"/>
      <c r="S31" s="155"/>
      <c r="T31" s="69"/>
      <c r="U31" s="69"/>
      <c r="AB31" s="239"/>
      <c r="AE31" s="29"/>
      <c r="AI31" s="18">
        <f t="shared" si="14"/>
        <v>1</v>
      </c>
      <c r="AJ31">
        <f t="shared" si="2"/>
        <v>22</v>
      </c>
      <c r="AK31" s="273">
        <f>AK30+AK25</f>
        <v>0.99999999999999978</v>
      </c>
      <c r="AL31" s="273">
        <f t="shared" si="3"/>
        <v>0.99999999999999978</v>
      </c>
      <c r="AM31" s="273">
        <f t="shared" si="4"/>
        <v>0.99999999999999978</v>
      </c>
      <c r="AN31" s="273"/>
      <c r="AO31" s="274"/>
      <c r="AP31" s="274"/>
      <c r="AQ31" s="273">
        <f>AQ30+AQ25</f>
        <v>1</v>
      </c>
      <c r="AR31" s="273">
        <f t="shared" si="5"/>
        <v>1</v>
      </c>
      <c r="AS31" s="273">
        <f t="shared" si="6"/>
        <v>1</v>
      </c>
      <c r="AT31" s="273"/>
      <c r="AU31" s="273">
        <f t="shared" si="7"/>
        <v>1</v>
      </c>
      <c r="AV31" s="273">
        <f t="shared" si="8"/>
        <v>1</v>
      </c>
      <c r="AW31" s="273">
        <f t="shared" si="9"/>
        <v>1</v>
      </c>
      <c r="AX31" s="273"/>
      <c r="AY31" s="273">
        <f t="shared" si="10"/>
        <v>0.99999999999999978</v>
      </c>
      <c r="AZ31" s="273">
        <f t="shared" si="11"/>
        <v>0.99999999999999978</v>
      </c>
      <c r="BA31" s="273">
        <f t="shared" si="12"/>
        <v>0.99999999999999978</v>
      </c>
      <c r="BB31" s="273"/>
      <c r="BC31" s="273"/>
      <c r="BD31" s="273"/>
      <c r="BE31" s="273">
        <f>BE30+BE25</f>
        <v>0.99999999999999978</v>
      </c>
      <c r="BF31" s="273">
        <f>BF30+BF25</f>
        <v>0.99999999999999989</v>
      </c>
      <c r="BG31" s="273">
        <v>1</v>
      </c>
      <c r="BH31" s="273"/>
      <c r="BI31" s="273"/>
      <c r="BJ31" s="273"/>
      <c r="BO31" s="198"/>
      <c r="BP31" s="198"/>
      <c r="BY31" s="196" t="s">
        <v>133</v>
      </c>
    </row>
    <row r="32" spans="1:77" ht="16.5" customHeight="1">
      <c r="A32" s="174"/>
      <c r="B32" s="174"/>
      <c r="C32" s="2" t="s">
        <v>133</v>
      </c>
      <c r="D32" s="5">
        <f>D31+D30</f>
        <v>2619411.5907871802</v>
      </c>
      <c r="E32" s="57">
        <f>E31+E30</f>
        <v>2619.4115907871806</v>
      </c>
      <c r="F32" s="5"/>
      <c r="G32" s="4"/>
      <c r="H32" s="8" t="s">
        <v>463</v>
      </c>
      <c r="I32" s="8" t="s">
        <v>463</v>
      </c>
      <c r="J32" s="8" t="s">
        <v>463</v>
      </c>
      <c r="K32" s="8" t="s">
        <v>463</v>
      </c>
      <c r="M32" s="29"/>
      <c r="N32" s="69"/>
      <c r="O32" s="69"/>
      <c r="P32" s="155"/>
      <c r="Q32" s="69"/>
      <c r="R32" s="69"/>
      <c r="S32" s="155"/>
      <c r="T32" s="69"/>
      <c r="U32" s="69"/>
      <c r="AI32" s="303">
        <f t="shared" si="14"/>
        <v>2.8</v>
      </c>
      <c r="AJ32">
        <f t="shared" si="2"/>
        <v>23</v>
      </c>
      <c r="AK32" s="301">
        <v>1.85</v>
      </c>
      <c r="AL32" s="301">
        <v>1.85</v>
      </c>
      <c r="AM32" s="301">
        <v>1.85</v>
      </c>
      <c r="AN32" s="301"/>
      <c r="AO32" s="301"/>
      <c r="AP32" s="301"/>
      <c r="AQ32" s="302">
        <v>2.8</v>
      </c>
      <c r="AR32" s="302">
        <v>2.8</v>
      </c>
      <c r="AS32" s="302">
        <v>2.8</v>
      </c>
      <c r="AT32" s="301"/>
      <c r="AU32" s="302">
        <v>2.8</v>
      </c>
      <c r="AV32" s="302">
        <v>2.8</v>
      </c>
      <c r="AW32" s="302">
        <v>2.8</v>
      </c>
      <c r="AX32" s="301"/>
      <c r="AY32" s="301">
        <v>1.85</v>
      </c>
      <c r="AZ32" s="301">
        <v>1.85</v>
      </c>
      <c r="BA32" s="301">
        <v>1.85</v>
      </c>
      <c r="BB32" s="301"/>
      <c r="BC32" s="301"/>
      <c r="BD32" s="301"/>
      <c r="BE32" s="301">
        <v>1.03</v>
      </c>
      <c r="BF32" s="301">
        <v>1.1100000000000001</v>
      </c>
      <c r="BG32" s="301">
        <v>1.03</v>
      </c>
      <c r="BH32" s="275"/>
      <c r="BI32" s="275"/>
      <c r="BJ32" s="275"/>
      <c r="BO32" s="219"/>
      <c r="BP32" s="219"/>
      <c r="BY32" s="178" t="s">
        <v>483</v>
      </c>
    </row>
    <row r="33" spans="1:77" ht="15" customHeight="1">
      <c r="A33" s="174"/>
      <c r="B33" s="174"/>
      <c r="C33" s="59" t="s">
        <v>350</v>
      </c>
      <c r="D33" s="8" t="s">
        <v>122</v>
      </c>
      <c r="E33" s="8" t="s">
        <v>123</v>
      </c>
      <c r="F33" s="8" t="s">
        <v>461</v>
      </c>
      <c r="G33" s="25" t="s">
        <v>136</v>
      </c>
      <c r="H33" s="25" t="s">
        <v>136</v>
      </c>
      <c r="I33" s="25" t="s">
        <v>136</v>
      </c>
      <c r="J33" s="25" t="s">
        <v>136</v>
      </c>
      <c r="K33" s="25" t="s">
        <v>136</v>
      </c>
      <c r="M33" s="29"/>
      <c r="N33" s="69"/>
      <c r="O33" s="69"/>
      <c r="Q33" s="69"/>
      <c r="R33" s="69"/>
      <c r="S33" s="155"/>
      <c r="T33" s="69"/>
      <c r="U33" s="69"/>
      <c r="AI33" s="18">
        <f t="shared" si="14"/>
        <v>0</v>
      </c>
      <c r="AJ33">
        <f t="shared" si="2"/>
        <v>24</v>
      </c>
      <c r="AW33" s="29"/>
      <c r="BY33" s="205" t="s">
        <v>484</v>
      </c>
    </row>
    <row r="34" spans="1:77" ht="13.8">
      <c r="A34" s="174"/>
      <c r="B34" s="174"/>
      <c r="C34" s="153" t="s">
        <v>344</v>
      </c>
      <c r="E34" s="8" t="s">
        <v>471</v>
      </c>
      <c r="F34" s="8" t="s">
        <v>472</v>
      </c>
      <c r="M34" s="29"/>
      <c r="N34" s="69"/>
      <c r="O34" s="69"/>
      <c r="Q34" s="69"/>
      <c r="R34" s="69"/>
      <c r="S34" s="155"/>
      <c r="T34" s="69"/>
      <c r="U34" s="69"/>
      <c r="AI34" s="197"/>
      <c r="AJ34">
        <f t="shared" si="2"/>
        <v>25</v>
      </c>
      <c r="BY34" s="206" t="s">
        <v>344</v>
      </c>
    </row>
    <row r="35" spans="1:77">
      <c r="A35" s="174"/>
      <c r="B35" s="174"/>
      <c r="C35" s="358" t="s">
        <v>147</v>
      </c>
      <c r="D35" s="5">
        <f>+E35*(ProjectData!B$20)</f>
        <v>17930.666666666664</v>
      </c>
      <c r="E35" s="88">
        <f>F35*F$9</f>
        <v>17.930666666666664</v>
      </c>
      <c r="F35" s="70">
        <f>AI35</f>
        <v>0.54666666666666663</v>
      </c>
      <c r="G35" s="4">
        <v>1</v>
      </c>
      <c r="H35" s="69">
        <v>1</v>
      </c>
      <c r="I35" s="69">
        <v>1</v>
      </c>
      <c r="J35" s="69">
        <v>1</v>
      </c>
      <c r="K35" s="69">
        <v>1</v>
      </c>
      <c r="M35" s="29"/>
      <c r="N35" s="69"/>
      <c r="O35" s="69"/>
      <c r="P35" s="155"/>
      <c r="Q35" s="69"/>
      <c r="R35" s="69"/>
      <c r="S35" s="155"/>
      <c r="T35" s="69"/>
      <c r="U35" s="69"/>
      <c r="AI35" s="18">
        <f>HLOOKUP(AI$9,AK$10:BP$43,AJ35)</f>
        <v>0.54666666666666663</v>
      </c>
      <c r="AJ35">
        <f t="shared" si="2"/>
        <v>26</v>
      </c>
      <c r="AK35" s="199">
        <v>0.6</v>
      </c>
      <c r="AL35" s="199">
        <v>0.6</v>
      </c>
      <c r="AM35" s="199">
        <v>0.6</v>
      </c>
      <c r="AN35" s="199"/>
      <c r="AO35" s="199"/>
      <c r="AP35" s="199"/>
      <c r="AQ35" s="200">
        <v>0.54666666666666663</v>
      </c>
      <c r="AR35" s="200">
        <v>0.54666666666666663</v>
      </c>
      <c r="AS35" s="200">
        <v>0.54666666666666663</v>
      </c>
      <c r="AT35" s="200"/>
      <c r="AU35" s="200">
        <v>0.54666666666666663</v>
      </c>
      <c r="AV35" s="200">
        <v>0.54666666666666663</v>
      </c>
      <c r="AW35" s="200">
        <v>0.54666666666666663</v>
      </c>
      <c r="AX35" s="200"/>
      <c r="AY35" s="200">
        <v>0.54666666666666663</v>
      </c>
      <c r="AZ35" s="200">
        <v>0.54666666666666663</v>
      </c>
      <c r="BA35" s="200">
        <v>0.54666666666666663</v>
      </c>
      <c r="BB35" s="200"/>
      <c r="BC35" s="200"/>
      <c r="BD35" s="200"/>
      <c r="BE35" s="199">
        <v>0.6</v>
      </c>
      <c r="BF35" s="199">
        <v>0.6</v>
      </c>
      <c r="BG35" s="199">
        <v>0.6</v>
      </c>
      <c r="BH35" s="199"/>
      <c r="BI35" s="199"/>
      <c r="BJ35" s="199"/>
      <c r="BK35" s="199"/>
      <c r="BL35" s="199"/>
      <c r="BM35" s="199"/>
      <c r="BN35" s="199"/>
      <c r="BO35" s="199"/>
      <c r="BP35" s="199"/>
      <c r="BQ35" s="199"/>
      <c r="BY35" s="207" t="s">
        <v>147</v>
      </c>
    </row>
    <row r="36" spans="1:77">
      <c r="A36" s="174"/>
      <c r="B36" s="174"/>
      <c r="C36" s="290" t="s">
        <v>481</v>
      </c>
      <c r="D36" s="5">
        <f>SUM(D35:D35)</f>
        <v>17930.666666666664</v>
      </c>
      <c r="E36" s="88">
        <f>SUM(E35:E35)</f>
        <v>17.930666666666664</v>
      </c>
      <c r="F36" s="69">
        <f>SUM(F35:F35)</f>
        <v>0.54666666666666663</v>
      </c>
      <c r="G36" s="4"/>
      <c r="M36" s="29"/>
      <c r="N36" s="69"/>
      <c r="O36" s="69"/>
      <c r="P36" s="155"/>
      <c r="Q36" s="69"/>
      <c r="R36" s="69"/>
      <c r="S36" s="155"/>
      <c r="T36" s="69"/>
      <c r="U36" s="69"/>
      <c r="AH36" s="1" t="str">
        <f>AH11</f>
        <v>Manufactured</v>
      </c>
      <c r="AI36" s="18">
        <f>HLOOKUP(AI$9,AK$10:BP$43,AJ36)</f>
        <v>0.54666666666666663</v>
      </c>
      <c r="AJ36">
        <f t="shared" si="2"/>
        <v>27</v>
      </c>
      <c r="AK36" s="200">
        <v>0.6</v>
      </c>
      <c r="AL36" s="200">
        <v>0.6</v>
      </c>
      <c r="AM36" s="200">
        <v>0.6</v>
      </c>
      <c r="AN36" s="200"/>
      <c r="AO36" s="200"/>
      <c r="AP36" s="200"/>
      <c r="AQ36" s="200">
        <v>0.54666666666666663</v>
      </c>
      <c r="AR36" s="200">
        <v>0.54666666666666663</v>
      </c>
      <c r="AS36" s="200">
        <v>0.54666666666666663</v>
      </c>
      <c r="AT36" s="200"/>
      <c r="AU36" s="200">
        <v>0.54666666666666663</v>
      </c>
      <c r="AV36" s="200">
        <v>0.54666666666666663</v>
      </c>
      <c r="AW36" s="200">
        <v>0.54666666666666663</v>
      </c>
      <c r="AX36" s="200"/>
      <c r="AY36" s="200">
        <v>0.54666666666666663</v>
      </c>
      <c r="AZ36" s="200">
        <v>0.54666666666666663</v>
      </c>
      <c r="BA36" s="200">
        <v>0.54666666666666663</v>
      </c>
      <c r="BB36" s="200"/>
      <c r="BC36" s="200"/>
      <c r="BD36" s="200"/>
      <c r="BE36" s="200">
        <v>0.6</v>
      </c>
      <c r="BF36" s="200">
        <v>0.6</v>
      </c>
      <c r="BG36" s="200">
        <v>0.6</v>
      </c>
      <c r="BH36" s="200"/>
      <c r="BI36" s="200"/>
      <c r="BJ36" s="200"/>
      <c r="BK36" s="200"/>
      <c r="BL36" s="200"/>
      <c r="BM36" s="200"/>
      <c r="BN36" s="200"/>
      <c r="BO36" s="200"/>
      <c r="BP36" s="200"/>
      <c r="BQ36" s="200"/>
      <c r="BY36" s="178" t="s">
        <v>481</v>
      </c>
    </row>
    <row r="37" spans="1:77" ht="14.25" customHeight="1">
      <c r="A37" s="174"/>
      <c r="B37" s="174"/>
      <c r="C37" s="2" t="s">
        <v>352</v>
      </c>
      <c r="D37" s="5"/>
      <c r="E37" s="16"/>
      <c r="F37" s="70"/>
      <c r="G37" s="4"/>
      <c r="M37" s="29"/>
      <c r="N37" s="69"/>
      <c r="O37" s="69"/>
      <c r="P37" s="155"/>
      <c r="Q37" s="69"/>
      <c r="R37" s="69"/>
      <c r="S37" s="155"/>
      <c r="T37" s="69"/>
      <c r="U37" s="69"/>
      <c r="AH37" s="1" t="str">
        <f>AH14</f>
        <v>Locally</v>
      </c>
      <c r="AI37" s="197"/>
      <c r="AJ37">
        <f t="shared" si="2"/>
        <v>28</v>
      </c>
      <c r="AK37" s="200"/>
      <c r="AL37" s="200"/>
      <c r="AM37" s="200"/>
      <c r="AN37" s="200"/>
      <c r="AO37" s="200"/>
      <c r="AP37" s="200"/>
      <c r="AQ37" s="200"/>
      <c r="AR37" s="200"/>
      <c r="AS37" s="200"/>
      <c r="AT37" s="200"/>
      <c r="AU37" s="200"/>
      <c r="AV37" s="200"/>
      <c r="AW37" s="200"/>
      <c r="AX37" s="200"/>
      <c r="AY37" s="200"/>
      <c r="AZ37" s="200"/>
      <c r="BA37" s="200"/>
      <c r="BB37" s="200"/>
      <c r="BC37" s="200"/>
      <c r="BD37" s="200"/>
      <c r="BE37" s="200"/>
      <c r="BF37" s="200"/>
      <c r="BG37" s="200"/>
      <c r="BH37" s="200"/>
      <c r="BI37" s="200"/>
      <c r="BJ37" s="200"/>
      <c r="BK37" s="200"/>
      <c r="BL37" s="200"/>
      <c r="BM37" s="200"/>
      <c r="BN37" s="200"/>
      <c r="BO37" s="200"/>
      <c r="BP37" s="200"/>
      <c r="BQ37" s="200"/>
      <c r="BY37" s="196" t="s">
        <v>352</v>
      </c>
    </row>
    <row r="38" spans="1:77" ht="15.75" customHeight="1">
      <c r="A38" s="174"/>
      <c r="B38" s="174"/>
      <c r="C38" t="s">
        <v>470</v>
      </c>
      <c r="D38" s="5">
        <f>+E38*(ProjectData!B$20)</f>
        <v>14869.333333333334</v>
      </c>
      <c r="E38" s="88">
        <f>F38*F$9</f>
        <v>14.869333333333334</v>
      </c>
      <c r="F38" s="70">
        <f>AI38</f>
        <v>0.45333333333333337</v>
      </c>
      <c r="G38" s="4">
        <v>1</v>
      </c>
      <c r="H38" s="390">
        <v>0</v>
      </c>
      <c r="I38" s="390">
        <v>1</v>
      </c>
      <c r="J38" s="390">
        <v>1</v>
      </c>
      <c r="K38" s="69">
        <v>1</v>
      </c>
      <c r="M38" s="29"/>
      <c r="N38" s="69"/>
      <c r="O38" s="69"/>
      <c r="P38" s="155"/>
      <c r="Q38" s="69"/>
      <c r="R38" s="69"/>
      <c r="S38" s="155"/>
      <c r="T38" s="69"/>
      <c r="U38" s="69"/>
      <c r="AH38" s="7" t="s">
        <v>117</v>
      </c>
      <c r="AI38" s="18">
        <f>HLOOKUP(AI$9,AK$10:BP$43,AJ38)</f>
        <v>0.45333333333333337</v>
      </c>
      <c r="AJ38">
        <f t="shared" si="2"/>
        <v>29</v>
      </c>
      <c r="AK38" s="200">
        <v>0.4</v>
      </c>
      <c r="AL38" s="200">
        <v>0.4</v>
      </c>
      <c r="AM38" s="200">
        <v>0.4</v>
      </c>
      <c r="AN38" s="200"/>
      <c r="AO38" s="200"/>
      <c r="AP38" s="200"/>
      <c r="AQ38" s="200">
        <v>0.45333333333333337</v>
      </c>
      <c r="AR38" s="200">
        <v>0.45333333333333337</v>
      </c>
      <c r="AS38" s="200">
        <v>0.45333333333333337</v>
      </c>
      <c r="AT38" s="200"/>
      <c r="AU38" s="200">
        <v>0.45333333333333337</v>
      </c>
      <c r="AV38" s="200">
        <v>0.45333333333333337</v>
      </c>
      <c r="AW38" s="200">
        <v>0.45333333333333337</v>
      </c>
      <c r="AX38" s="200"/>
      <c r="AY38" s="200">
        <v>0.45333333333333337</v>
      </c>
      <c r="AZ38" s="200">
        <v>0.45333333333333337</v>
      </c>
      <c r="BA38" s="200">
        <v>0.45333333333333337</v>
      </c>
      <c r="BB38" s="200"/>
      <c r="BC38" s="200"/>
      <c r="BD38" s="200"/>
      <c r="BE38" s="200">
        <v>0.4</v>
      </c>
      <c r="BF38" s="200">
        <v>0.4</v>
      </c>
      <c r="BG38" s="200">
        <v>0.4</v>
      </c>
      <c r="BH38" s="200"/>
      <c r="BI38" s="200"/>
      <c r="BJ38" s="200"/>
      <c r="BK38" s="200"/>
      <c r="BL38" s="200"/>
      <c r="BM38" s="200"/>
      <c r="BN38" s="200"/>
      <c r="BO38" s="200"/>
      <c r="BP38" s="200"/>
      <c r="BQ38" s="200"/>
      <c r="BY38" s="178" t="s">
        <v>470</v>
      </c>
    </row>
    <row r="39" spans="1:77" ht="26.4">
      <c r="A39" s="174"/>
      <c r="B39" s="174"/>
      <c r="C39" t="s">
        <v>485</v>
      </c>
      <c r="D39" s="5">
        <f>+E39*(ProjectData!B$20)</f>
        <v>0</v>
      </c>
      <c r="E39" s="88">
        <f>F39*F$9</f>
        <v>0</v>
      </c>
      <c r="F39" s="70">
        <f>AI39</f>
        <v>0</v>
      </c>
      <c r="G39" s="4">
        <v>1</v>
      </c>
      <c r="H39" s="390">
        <v>0</v>
      </c>
      <c r="I39" s="390">
        <v>1</v>
      </c>
      <c r="J39" s="390">
        <v>1</v>
      </c>
      <c r="K39" s="69">
        <v>1</v>
      </c>
      <c r="M39" s="29"/>
      <c r="N39" s="69"/>
      <c r="O39" s="69"/>
      <c r="P39" s="155"/>
      <c r="Q39" s="69"/>
      <c r="R39" s="69"/>
      <c r="S39" s="155"/>
      <c r="T39" s="69"/>
      <c r="U39" s="69"/>
      <c r="AI39" s="197"/>
      <c r="AJ39">
        <f t="shared" si="2"/>
        <v>30</v>
      </c>
      <c r="AK39" s="200">
        <v>0</v>
      </c>
      <c r="AL39" s="200">
        <v>0</v>
      </c>
      <c r="AM39" s="200">
        <v>0</v>
      </c>
      <c r="AN39" s="200"/>
      <c r="AO39" s="200"/>
      <c r="AP39" s="200"/>
      <c r="AQ39" s="200">
        <v>0</v>
      </c>
      <c r="AR39" s="200">
        <v>0</v>
      </c>
      <c r="AS39" s="200">
        <v>0</v>
      </c>
      <c r="AT39" s="200"/>
      <c r="AU39" s="200">
        <v>0</v>
      </c>
      <c r="AV39" s="200">
        <v>0</v>
      </c>
      <c r="AW39" s="200">
        <v>0</v>
      </c>
      <c r="AX39" s="200"/>
      <c r="AY39" s="200">
        <v>0</v>
      </c>
      <c r="AZ39" s="200">
        <v>0</v>
      </c>
      <c r="BA39" s="200">
        <v>0</v>
      </c>
      <c r="BB39" s="200"/>
      <c r="BC39" s="200"/>
      <c r="BD39" s="200"/>
      <c r="BE39" s="200">
        <v>0</v>
      </c>
      <c r="BF39" s="200">
        <v>0</v>
      </c>
      <c r="BG39" s="200">
        <v>0</v>
      </c>
      <c r="BH39" s="200"/>
      <c r="BI39" s="200"/>
      <c r="BJ39" s="200"/>
      <c r="BK39" s="200"/>
      <c r="BL39" s="200"/>
      <c r="BM39" s="200"/>
      <c r="BN39" s="200"/>
      <c r="BO39" s="200"/>
      <c r="BP39" s="200"/>
      <c r="BQ39" s="200"/>
      <c r="BY39" s="178" t="s">
        <v>485</v>
      </c>
    </row>
    <row r="40" spans="1:77">
      <c r="A40" s="174"/>
      <c r="B40" s="174"/>
      <c r="C40" t="s">
        <v>481</v>
      </c>
      <c r="D40" s="5">
        <f>SUM(D38:D39)</f>
        <v>14869.333333333334</v>
      </c>
      <c r="E40" s="88">
        <f>SUM(E38:E39)</f>
        <v>14.869333333333334</v>
      </c>
      <c r="F40" s="70">
        <f>SUM(F38:F39)</f>
        <v>0.45333333333333337</v>
      </c>
      <c r="G40" s="4"/>
      <c r="H40" s="4"/>
      <c r="I40" s="4"/>
      <c r="J40" s="4"/>
      <c r="K40" s="4"/>
      <c r="AI40" s="18">
        <f>HLOOKUP(AI$9,AK$10:BP$43,AJ40)</f>
        <v>0.45333333333333337</v>
      </c>
      <c r="AJ40">
        <f t="shared" si="2"/>
        <v>31</v>
      </c>
      <c r="AK40" s="200">
        <v>0.4</v>
      </c>
      <c r="AL40" s="200">
        <v>0.4</v>
      </c>
      <c r="AM40" s="200">
        <v>0.4</v>
      </c>
      <c r="AN40" s="200"/>
      <c r="AO40" s="200"/>
      <c r="AP40" s="200"/>
      <c r="AQ40" s="200">
        <v>0.45333333333333337</v>
      </c>
      <c r="AR40" s="200">
        <v>0.45333333333333337</v>
      </c>
      <c r="AS40" s="200">
        <v>0.45333333333333337</v>
      </c>
      <c r="AT40" s="200"/>
      <c r="AU40" s="200">
        <v>0.45333333333333337</v>
      </c>
      <c r="AV40" s="200">
        <v>0.45333333333333337</v>
      </c>
      <c r="AW40" s="200">
        <v>0.45333333333333337</v>
      </c>
      <c r="AX40" s="200"/>
      <c r="AY40" s="200">
        <v>0.45333333333333337</v>
      </c>
      <c r="AZ40" s="200">
        <v>0.45333333333333337</v>
      </c>
      <c r="BA40" s="200">
        <v>0.45333333333333337</v>
      </c>
      <c r="BB40" s="200"/>
      <c r="BC40" s="200"/>
      <c r="BD40" s="200"/>
      <c r="BE40" s="200">
        <v>0.4</v>
      </c>
      <c r="BF40" s="200">
        <v>0.4</v>
      </c>
      <c r="BG40" s="200">
        <v>0.4</v>
      </c>
      <c r="BH40" s="200"/>
      <c r="BI40" s="200"/>
      <c r="BJ40" s="200"/>
      <c r="BK40" s="200"/>
      <c r="BL40" s="200"/>
      <c r="BM40" s="200"/>
      <c r="BN40" s="200"/>
      <c r="BO40" s="200"/>
      <c r="BP40" s="200"/>
      <c r="BQ40" s="200"/>
      <c r="BY40" s="178" t="s">
        <v>481</v>
      </c>
    </row>
    <row r="41" spans="1:77">
      <c r="A41" s="174"/>
      <c r="B41" s="174"/>
      <c r="C41" s="181" t="s">
        <v>132</v>
      </c>
      <c r="D41" s="5">
        <f>D38*(D$58*(1-D$59))</f>
        <v>929.33333333333337</v>
      </c>
      <c r="E41" s="88">
        <f>F41*F$9</f>
        <v>0</v>
      </c>
      <c r="F41" s="70"/>
      <c r="G41" s="4"/>
      <c r="H41" s="4"/>
      <c r="I41" s="4"/>
      <c r="J41" s="4"/>
      <c r="K41" s="4"/>
      <c r="AI41" s="18"/>
      <c r="AJ41">
        <f t="shared" si="2"/>
        <v>32</v>
      </c>
      <c r="AK41" s="200"/>
      <c r="AL41" s="200"/>
      <c r="AM41" s="200"/>
      <c r="AN41" s="200"/>
      <c r="AO41" s="200"/>
      <c r="AP41" s="200"/>
      <c r="AQ41" s="200"/>
      <c r="AR41" s="200"/>
      <c r="AS41" s="200"/>
      <c r="AT41" s="200"/>
      <c r="AU41" s="200"/>
      <c r="AV41" s="200"/>
      <c r="AW41" s="200"/>
      <c r="AX41" s="200"/>
      <c r="AY41" s="200"/>
      <c r="AZ41" s="200"/>
      <c r="BA41" s="200"/>
      <c r="BB41" s="200"/>
      <c r="BC41" s="200"/>
      <c r="BD41" s="200"/>
      <c r="BE41" s="200"/>
      <c r="BF41" s="200"/>
      <c r="BG41" s="200"/>
      <c r="BH41" s="200"/>
      <c r="BI41" s="200"/>
      <c r="BJ41" s="200"/>
      <c r="BK41" s="200"/>
      <c r="BL41" s="200"/>
      <c r="BM41" s="200"/>
      <c r="BN41" s="200"/>
      <c r="BO41" s="200"/>
      <c r="BP41" s="200"/>
      <c r="BQ41" s="200"/>
      <c r="BY41" s="178"/>
    </row>
    <row r="42" spans="1:77">
      <c r="A42" s="174"/>
      <c r="B42" s="174"/>
      <c r="C42" s="19" t="s">
        <v>133</v>
      </c>
      <c r="D42" s="5">
        <f>D40+D41+D36</f>
        <v>33729.333333333328</v>
      </c>
      <c r="E42" s="88">
        <f>E40+E41+E36</f>
        <v>32.799999999999997</v>
      </c>
      <c r="F42" s="70">
        <f>F40+F36</f>
        <v>1</v>
      </c>
      <c r="I42" s="5"/>
      <c r="AI42" s="18">
        <f>HLOOKUP(AI$9,AK$10:BP$43,AJ42)</f>
        <v>1</v>
      </c>
      <c r="AJ42">
        <f t="shared" si="2"/>
        <v>33</v>
      </c>
      <c r="AK42" s="200">
        <v>1</v>
      </c>
      <c r="AL42" s="200">
        <v>1</v>
      </c>
      <c r="AM42" s="200">
        <v>1</v>
      </c>
      <c r="AN42" s="200"/>
      <c r="AO42" s="200"/>
      <c r="AP42" s="200"/>
      <c r="AQ42" s="200">
        <v>1</v>
      </c>
      <c r="AR42" s="200">
        <v>1</v>
      </c>
      <c r="AS42" s="200">
        <v>1</v>
      </c>
      <c r="AT42" s="200"/>
      <c r="AU42" s="200">
        <v>1</v>
      </c>
      <c r="AV42" s="200">
        <v>1</v>
      </c>
      <c r="AW42" s="200">
        <v>1</v>
      </c>
      <c r="AX42" s="200"/>
      <c r="AY42" s="200">
        <v>1</v>
      </c>
      <c r="AZ42" s="200">
        <v>1</v>
      </c>
      <c r="BA42" s="200">
        <v>1</v>
      </c>
      <c r="BB42" s="200"/>
      <c r="BC42" s="200"/>
      <c r="BD42" s="200"/>
      <c r="BE42" s="200">
        <v>1</v>
      </c>
      <c r="BF42" s="200">
        <v>1</v>
      </c>
      <c r="BG42" s="200">
        <v>1</v>
      </c>
      <c r="BH42" s="200"/>
      <c r="BI42" s="200"/>
      <c r="BJ42" s="200"/>
      <c r="BK42" s="200"/>
      <c r="BL42" s="200"/>
      <c r="BM42" s="200"/>
      <c r="BN42" s="200"/>
      <c r="BO42" s="200"/>
      <c r="BP42" s="200"/>
      <c r="BQ42" s="200"/>
      <c r="BY42" s="207" t="s">
        <v>133</v>
      </c>
    </row>
    <row r="43" spans="1:77" ht="15" customHeight="1">
      <c r="A43" s="174"/>
      <c r="B43" s="174"/>
      <c r="AI43" s="18">
        <f>HLOOKUP(AI$9,AK$10:BP$43,AJ43)</f>
        <v>32.799999999999997</v>
      </c>
      <c r="AJ43">
        <f t="shared" si="2"/>
        <v>34</v>
      </c>
      <c r="AK43" s="291">
        <v>19.93</v>
      </c>
      <c r="AL43" s="291">
        <v>19.93</v>
      </c>
      <c r="AM43" s="291">
        <v>19.93</v>
      </c>
      <c r="AN43" s="291"/>
      <c r="AO43" s="291"/>
      <c r="AP43" s="291"/>
      <c r="AQ43" s="291">
        <v>32.799999999999997</v>
      </c>
      <c r="AR43" s="291">
        <v>32.799999999999997</v>
      </c>
      <c r="AS43" s="291">
        <v>32.799999999999997</v>
      </c>
      <c r="AT43" s="291"/>
      <c r="AU43" s="291">
        <v>32.799999999999997</v>
      </c>
      <c r="AV43" s="291">
        <v>32.799999999999997</v>
      </c>
      <c r="AW43" s="291">
        <v>32.799999999999997</v>
      </c>
      <c r="AX43" s="291"/>
      <c r="AY43" s="291">
        <v>23.5</v>
      </c>
      <c r="AZ43" s="291">
        <v>23.5</v>
      </c>
      <c r="BA43" s="291">
        <v>23.5</v>
      </c>
      <c r="BB43" s="291"/>
      <c r="BC43" s="291"/>
      <c r="BD43" s="291"/>
      <c r="BE43" s="291">
        <v>19.93</v>
      </c>
      <c r="BF43" s="291">
        <v>19.93</v>
      </c>
      <c r="BG43" s="291">
        <v>19.93</v>
      </c>
      <c r="BH43" s="208"/>
      <c r="BI43" s="208"/>
      <c r="BJ43" s="208"/>
      <c r="BK43" s="208"/>
      <c r="BL43" s="208"/>
      <c r="BM43" s="208"/>
      <c r="BN43" s="208"/>
      <c r="BO43" s="208"/>
      <c r="BP43" s="208"/>
      <c r="BY43" s="178" t="s">
        <v>486</v>
      </c>
    </row>
    <row r="44" spans="1:77" ht="15.6">
      <c r="A44" s="174"/>
      <c r="B44" s="174"/>
      <c r="C44" s="60" t="s">
        <v>357</v>
      </c>
    </row>
    <row r="45" spans="1:77" ht="13.8">
      <c r="A45" s="174"/>
      <c r="B45" s="174"/>
      <c r="C45" s="2" t="s">
        <v>358</v>
      </c>
      <c r="F45" s="25" t="s">
        <v>136</v>
      </c>
      <c r="H45">
        <v>23951776.022727642</v>
      </c>
      <c r="I45" s="52">
        <f>H45/H46</f>
        <v>4.9260638896880427E-2</v>
      </c>
    </row>
    <row r="46" spans="1:77">
      <c r="A46" s="174"/>
      <c r="B46" s="174"/>
      <c r="C46" s="1" t="s">
        <v>359</v>
      </c>
      <c r="F46" s="25"/>
      <c r="H46">
        <v>486225444.06837684</v>
      </c>
      <c r="I46" s="83"/>
    </row>
    <row r="47" spans="1:77">
      <c r="A47" s="174"/>
      <c r="B47" s="174"/>
      <c r="C47" s="290" t="s">
        <v>360</v>
      </c>
      <c r="D47" s="11">
        <v>0.8</v>
      </c>
      <c r="E47" s="11"/>
      <c r="F47" s="66">
        <v>0</v>
      </c>
    </row>
    <row r="48" spans="1:77">
      <c r="A48" s="174"/>
      <c r="B48" s="174"/>
      <c r="C48" s="290" t="s">
        <v>361</v>
      </c>
      <c r="D48" s="7">
        <v>10</v>
      </c>
      <c r="E48" s="7"/>
      <c r="F48" s="7"/>
      <c r="H48" s="69"/>
    </row>
    <row r="49" spans="3:101">
      <c r="C49" s="290" t="s">
        <v>362</v>
      </c>
      <c r="D49" s="11">
        <v>0.1</v>
      </c>
      <c r="E49" s="11"/>
      <c r="F49" s="7"/>
      <c r="P49" s="68"/>
      <c r="Q49" s="68"/>
      <c r="R49" s="68"/>
      <c r="S49" s="68"/>
      <c r="CN49" s="204" t="s">
        <v>487</v>
      </c>
    </row>
    <row r="50" spans="3:101" ht="26.25" customHeight="1">
      <c r="C50" s="358" t="s">
        <v>488</v>
      </c>
      <c r="D50" s="94">
        <f>Calculations!F211</f>
        <v>303851.74453131296</v>
      </c>
      <c r="E50" s="11"/>
      <c r="F50" s="7"/>
      <c r="H50" s="67"/>
      <c r="P50" s="68"/>
      <c r="Q50" s="68"/>
      <c r="R50" s="68"/>
      <c r="S50" s="68"/>
      <c r="AI50" s="178"/>
      <c r="AJ50" s="178" t="s">
        <v>219</v>
      </c>
      <c r="AK50" s="178" t="s">
        <v>222</v>
      </c>
      <c r="AL50" s="178" t="s">
        <v>231</v>
      </c>
      <c r="AM50" s="178" t="s">
        <v>221</v>
      </c>
      <c r="AN50" s="178" t="s">
        <v>223</v>
      </c>
      <c r="AO50" s="178" t="s">
        <v>240</v>
      </c>
      <c r="AP50" s="178" t="s">
        <v>216</v>
      </c>
      <c r="AQ50" s="178" t="s">
        <v>217</v>
      </c>
      <c r="AR50" s="178" t="s">
        <v>218</v>
      </c>
      <c r="AS50" s="178" t="s">
        <v>228</v>
      </c>
      <c r="AT50" s="178" t="s">
        <v>237</v>
      </c>
      <c r="AU50" s="178" t="s">
        <v>232</v>
      </c>
      <c r="AV50" s="178" t="s">
        <v>248</v>
      </c>
      <c r="AW50" s="178" t="s">
        <v>220</v>
      </c>
      <c r="AX50" s="178" t="s">
        <v>229</v>
      </c>
      <c r="AY50" s="178" t="s">
        <v>238</v>
      </c>
      <c r="AZ50" s="178" t="s">
        <v>254</v>
      </c>
      <c r="BA50" s="178" t="s">
        <v>245</v>
      </c>
      <c r="BB50" s="178" t="s">
        <v>230</v>
      </c>
      <c r="BC50" s="178" t="s">
        <v>225</v>
      </c>
      <c r="BD50" s="178" t="s">
        <v>227</v>
      </c>
      <c r="BE50" s="178" t="s">
        <v>234</v>
      </c>
      <c r="BF50" s="178" t="s">
        <v>246</v>
      </c>
      <c r="BG50" s="178" t="s">
        <v>252</v>
      </c>
      <c r="BH50" s="178" t="s">
        <v>251</v>
      </c>
      <c r="BI50" s="178" t="s">
        <v>239</v>
      </c>
      <c r="BJ50" s="178" t="s">
        <v>260</v>
      </c>
      <c r="BK50" s="179" t="s">
        <v>381</v>
      </c>
      <c r="BL50" s="179" t="s">
        <v>382</v>
      </c>
      <c r="BM50" s="178" t="s">
        <v>264</v>
      </c>
      <c r="BN50" s="178" t="s">
        <v>266</v>
      </c>
      <c r="BO50" s="178" t="s">
        <v>242</v>
      </c>
      <c r="BP50" s="178" t="s">
        <v>489</v>
      </c>
      <c r="BQ50" s="178" t="s">
        <v>247</v>
      </c>
      <c r="BR50" s="178" t="s">
        <v>250</v>
      </c>
      <c r="BS50" s="178" t="s">
        <v>236</v>
      </c>
      <c r="BT50" s="178" t="s">
        <v>268</v>
      </c>
      <c r="BU50" s="178" t="s">
        <v>258</v>
      </c>
      <c r="BV50" s="178" t="s">
        <v>253</v>
      </c>
      <c r="BW50" s="178" t="s">
        <v>270</v>
      </c>
      <c r="BX50" s="178" t="s">
        <v>235</v>
      </c>
      <c r="BY50" s="281" t="s">
        <v>207</v>
      </c>
      <c r="BZ50" s="281" t="s">
        <v>208</v>
      </c>
      <c r="CA50" s="281" t="s">
        <v>209</v>
      </c>
      <c r="CB50" s="281" t="s">
        <v>210</v>
      </c>
      <c r="CC50" s="281" t="s">
        <v>211</v>
      </c>
      <c r="CD50" s="281" t="s">
        <v>212</v>
      </c>
      <c r="CE50" s="281" t="s">
        <v>213</v>
      </c>
      <c r="CF50" s="281" t="s">
        <v>214</v>
      </c>
      <c r="CG50" s="178" t="s">
        <v>256</v>
      </c>
      <c r="CH50" s="178" t="s">
        <v>490</v>
      </c>
      <c r="CI50" s="178" t="s">
        <v>272</v>
      </c>
      <c r="CJ50" s="178" t="s">
        <v>491</v>
      </c>
      <c r="CK50" s="178" t="s">
        <v>492</v>
      </c>
      <c r="CL50" s="178" t="s">
        <v>274</v>
      </c>
      <c r="CM50" s="178" t="s">
        <v>262</v>
      </c>
      <c r="CN50" s="178" t="s">
        <v>244</v>
      </c>
      <c r="CO50" s="178" t="s">
        <v>275</v>
      </c>
      <c r="CP50" s="178" t="s">
        <v>243</v>
      </c>
      <c r="CQ50" s="178" t="s">
        <v>263</v>
      </c>
      <c r="CR50" s="178" t="s">
        <v>493</v>
      </c>
      <c r="CS50" s="178"/>
      <c r="CV50" s="5"/>
      <c r="CW50" s="204"/>
    </row>
    <row r="51" spans="3:101" ht="13.8">
      <c r="C51" s="2" t="s">
        <v>363</v>
      </c>
      <c r="D51" s="11"/>
      <c r="E51" s="11"/>
      <c r="F51" s="7"/>
      <c r="P51" s="68"/>
      <c r="Q51" s="68"/>
      <c r="R51" s="68"/>
      <c r="S51" s="68"/>
      <c r="AF51">
        <v>0</v>
      </c>
      <c r="AH51" s="7">
        <v>2</v>
      </c>
      <c r="AI51" s="178" t="s">
        <v>494</v>
      </c>
      <c r="AJ51" s="179">
        <v>0</v>
      </c>
      <c r="AK51" s="179">
        <v>0</v>
      </c>
      <c r="AL51" s="179">
        <v>0.96073062242614227</v>
      </c>
      <c r="AM51" s="179">
        <v>0</v>
      </c>
      <c r="AN51" s="179">
        <v>0.99991844223247794</v>
      </c>
      <c r="AO51" s="179">
        <v>0</v>
      </c>
      <c r="AP51" s="179">
        <v>1.0808451243015815</v>
      </c>
      <c r="AQ51" s="179">
        <v>0</v>
      </c>
      <c r="AR51" s="179">
        <v>0.94579096148635466</v>
      </c>
      <c r="AS51" s="179">
        <v>1.0782124201382177</v>
      </c>
      <c r="AT51" s="179">
        <v>0</v>
      </c>
      <c r="AU51" s="179">
        <v>0</v>
      </c>
      <c r="AV51" s="179">
        <v>0</v>
      </c>
      <c r="AW51" s="179">
        <v>1.0152635735097773</v>
      </c>
      <c r="AX51" s="179">
        <v>0</v>
      </c>
      <c r="AY51" s="179">
        <v>0</v>
      </c>
      <c r="AZ51" s="179">
        <v>0</v>
      </c>
      <c r="BA51" s="179">
        <v>0</v>
      </c>
      <c r="BB51" s="179">
        <v>0</v>
      </c>
      <c r="BC51" s="179">
        <v>0</v>
      </c>
      <c r="BD51" s="179">
        <v>0.93234258734199305</v>
      </c>
      <c r="BE51" s="179">
        <v>1.0016147567130804</v>
      </c>
      <c r="BF51" s="179">
        <v>0</v>
      </c>
      <c r="BG51" s="179">
        <v>1.107563650603399</v>
      </c>
      <c r="BH51" s="179">
        <v>0</v>
      </c>
      <c r="BI51" s="179">
        <v>0</v>
      </c>
      <c r="BJ51" s="179">
        <v>0</v>
      </c>
      <c r="BK51" s="179">
        <v>0</v>
      </c>
      <c r="BL51" s="179">
        <v>0</v>
      </c>
      <c r="BM51" s="179">
        <v>0</v>
      </c>
      <c r="BN51" s="179">
        <v>0.91630317368714187</v>
      </c>
      <c r="BO51" s="179">
        <v>0.84061432945455494</v>
      </c>
      <c r="BP51" s="179">
        <v>1.0512270427628128</v>
      </c>
      <c r="BQ51" s="179">
        <v>0</v>
      </c>
      <c r="BR51" s="179">
        <v>1.0734791032869866</v>
      </c>
      <c r="BS51" s="179">
        <v>0</v>
      </c>
      <c r="BT51" s="179">
        <v>0</v>
      </c>
      <c r="BU51" s="179">
        <v>0</v>
      </c>
      <c r="BV51" s="179">
        <v>0</v>
      </c>
      <c r="BW51" s="179">
        <v>0</v>
      </c>
      <c r="BX51" s="179">
        <v>0.99307426974228274</v>
      </c>
      <c r="BY51" s="179">
        <v>0</v>
      </c>
      <c r="BZ51" s="179">
        <v>0</v>
      </c>
      <c r="CA51" s="179">
        <v>0</v>
      </c>
      <c r="CB51" s="179">
        <v>0</v>
      </c>
      <c r="CC51" s="179">
        <v>0</v>
      </c>
      <c r="CD51" s="179">
        <v>0</v>
      </c>
      <c r="CE51" s="179">
        <v>0</v>
      </c>
      <c r="CF51" s="179">
        <v>0</v>
      </c>
      <c r="CG51" s="179">
        <v>0</v>
      </c>
      <c r="CH51" s="179">
        <v>0</v>
      </c>
      <c r="CI51" s="179">
        <v>0</v>
      </c>
      <c r="CJ51" s="179">
        <v>0</v>
      </c>
      <c r="CK51" s="179">
        <v>0.93550413956685008</v>
      </c>
      <c r="CL51" s="179">
        <v>0</v>
      </c>
      <c r="CM51" s="179">
        <v>0.9405966612165414</v>
      </c>
      <c r="CN51" s="179">
        <v>0</v>
      </c>
      <c r="CO51" s="179">
        <v>0</v>
      </c>
      <c r="CP51" s="179">
        <v>0</v>
      </c>
      <c r="CQ51" s="179">
        <v>1.1346235353312184</v>
      </c>
      <c r="CR51" s="179">
        <v>0</v>
      </c>
      <c r="CS51" s="6"/>
      <c r="CV51" s="6"/>
      <c r="CW51" s="204"/>
    </row>
    <row r="52" spans="3:101">
      <c r="C52" s="19" t="s">
        <v>364</v>
      </c>
      <c r="D52" s="61">
        <v>0</v>
      </c>
      <c r="P52" s="68"/>
      <c r="Q52" s="68"/>
      <c r="R52" s="68"/>
      <c r="S52" s="68"/>
      <c r="AF52">
        <v>10</v>
      </c>
      <c r="AH52" s="7">
        <f>AH51+1</f>
        <v>3</v>
      </c>
      <c r="AI52" s="178" t="s">
        <v>495</v>
      </c>
      <c r="AJ52" s="179">
        <v>0</v>
      </c>
      <c r="AK52" s="179">
        <v>0</v>
      </c>
      <c r="AL52" s="179">
        <v>1.0082723810902054</v>
      </c>
      <c r="AM52" s="292">
        <v>0</v>
      </c>
      <c r="AN52" s="179">
        <v>0.98397278064128291</v>
      </c>
      <c r="AO52" s="179">
        <v>0</v>
      </c>
      <c r="AP52" s="179">
        <v>1.0651267070263475</v>
      </c>
      <c r="AQ52" s="179">
        <v>0</v>
      </c>
      <c r="AR52" s="179">
        <v>0</v>
      </c>
      <c r="AS52" s="179">
        <v>0.71133563919992548</v>
      </c>
      <c r="AT52" s="179">
        <v>0</v>
      </c>
      <c r="AU52" s="179">
        <v>0</v>
      </c>
      <c r="AV52" s="179">
        <v>0</v>
      </c>
      <c r="AW52" s="179">
        <v>0</v>
      </c>
      <c r="AX52" s="179">
        <v>0</v>
      </c>
      <c r="AY52" s="179">
        <v>0</v>
      </c>
      <c r="AZ52" s="179">
        <v>0</v>
      </c>
      <c r="BA52" s="179">
        <v>0</v>
      </c>
      <c r="BB52" s="179">
        <v>0</v>
      </c>
      <c r="BC52" s="179">
        <v>0</v>
      </c>
      <c r="BD52" s="179">
        <v>0.84715173498794971</v>
      </c>
      <c r="BE52" s="179">
        <v>1.0971858884916919</v>
      </c>
      <c r="BF52" s="179">
        <v>0</v>
      </c>
      <c r="BG52" s="179">
        <v>0</v>
      </c>
      <c r="BH52" s="179">
        <v>0</v>
      </c>
      <c r="BI52" s="179">
        <v>0</v>
      </c>
      <c r="BJ52" s="179">
        <v>0</v>
      </c>
      <c r="BK52" s="179">
        <v>0</v>
      </c>
      <c r="BL52" s="179">
        <v>0</v>
      </c>
      <c r="BM52" s="179">
        <v>0</v>
      </c>
      <c r="BN52" s="179">
        <v>0.8741673856276051</v>
      </c>
      <c r="BO52" s="179">
        <v>0</v>
      </c>
      <c r="BP52" s="179">
        <v>1.0283145512471747</v>
      </c>
      <c r="BQ52" s="179">
        <v>0</v>
      </c>
      <c r="BR52" s="179">
        <v>1.1458662434098228</v>
      </c>
      <c r="BS52" s="179">
        <v>0</v>
      </c>
      <c r="BT52" s="179">
        <v>0</v>
      </c>
      <c r="BU52" s="179">
        <v>1.0320399955786934</v>
      </c>
      <c r="BV52" s="179">
        <v>0</v>
      </c>
      <c r="BW52" s="179">
        <v>0</v>
      </c>
      <c r="BX52" s="179">
        <v>0.96245923414211865</v>
      </c>
      <c r="BY52" s="179">
        <v>0</v>
      </c>
      <c r="BZ52" s="179">
        <v>0</v>
      </c>
      <c r="CA52" s="179">
        <v>0</v>
      </c>
      <c r="CB52" s="179">
        <v>0</v>
      </c>
      <c r="CC52" s="179">
        <v>0</v>
      </c>
      <c r="CD52" s="179">
        <v>0</v>
      </c>
      <c r="CE52" s="179">
        <v>0</v>
      </c>
      <c r="CF52" s="179">
        <v>0</v>
      </c>
      <c r="CG52" s="179">
        <v>0</v>
      </c>
      <c r="CH52" s="179">
        <v>0</v>
      </c>
      <c r="CI52" s="179">
        <v>0</v>
      </c>
      <c r="CJ52" s="179">
        <v>0</v>
      </c>
      <c r="CK52" s="179">
        <v>0.90182119749456346</v>
      </c>
      <c r="CL52" s="179">
        <v>0</v>
      </c>
      <c r="CM52" s="179">
        <v>0</v>
      </c>
      <c r="CN52" s="179">
        <v>0</v>
      </c>
      <c r="CO52" s="179">
        <v>0</v>
      </c>
      <c r="CP52" s="179">
        <v>0</v>
      </c>
      <c r="CQ52" s="179">
        <v>1.1040130033961086</v>
      </c>
      <c r="CR52" s="179">
        <v>0</v>
      </c>
      <c r="CS52" s="6"/>
      <c r="CV52" s="6"/>
      <c r="CW52" s="204"/>
    </row>
    <row r="53" spans="3:101" ht="17.25" customHeight="1">
      <c r="C53" s="19" t="s">
        <v>365</v>
      </c>
      <c r="D53" s="11">
        <v>0</v>
      </c>
      <c r="H53" s="68"/>
      <c r="P53" s="68"/>
      <c r="Q53" s="68"/>
      <c r="R53" s="68"/>
      <c r="S53" s="68"/>
      <c r="AF53">
        <v>100</v>
      </c>
      <c r="AH53" s="7">
        <f t="shared" ref="AH53:AH76" si="15">AH52+1</f>
        <v>4</v>
      </c>
      <c r="AI53" s="178" t="s">
        <v>496</v>
      </c>
      <c r="AJ53" s="179">
        <v>0</v>
      </c>
      <c r="AK53" s="179">
        <v>0</v>
      </c>
      <c r="AL53" s="179">
        <v>0</v>
      </c>
      <c r="AM53" s="179">
        <v>0</v>
      </c>
      <c r="AN53" s="179">
        <v>1.0769938208453462</v>
      </c>
      <c r="AO53" s="179">
        <v>0</v>
      </c>
      <c r="AP53" s="179">
        <v>0</v>
      </c>
      <c r="AQ53" s="179">
        <v>0</v>
      </c>
      <c r="AR53" s="179">
        <v>0</v>
      </c>
      <c r="AS53" s="179">
        <v>0</v>
      </c>
      <c r="AT53" s="179">
        <v>0</v>
      </c>
      <c r="AU53" s="179">
        <v>0</v>
      </c>
      <c r="AV53" s="179">
        <v>0</v>
      </c>
      <c r="AW53" s="179">
        <v>0</v>
      </c>
      <c r="AX53" s="179">
        <v>0</v>
      </c>
      <c r="AY53" s="179">
        <v>0</v>
      </c>
      <c r="AZ53" s="179">
        <v>0</v>
      </c>
      <c r="BA53" s="179">
        <v>0</v>
      </c>
      <c r="BB53" s="179">
        <v>0</v>
      </c>
      <c r="BC53" s="179">
        <v>0</v>
      </c>
      <c r="BD53" s="179">
        <v>0</v>
      </c>
      <c r="BE53" s="179">
        <v>1.0105368147938893</v>
      </c>
      <c r="BF53" s="179">
        <v>0</v>
      </c>
      <c r="BG53" s="179">
        <v>0</v>
      </c>
      <c r="BH53" s="179">
        <v>0</v>
      </c>
      <c r="BI53" s="179">
        <v>0</v>
      </c>
      <c r="BJ53" s="179">
        <v>0</v>
      </c>
      <c r="BK53" s="179">
        <v>0</v>
      </c>
      <c r="BL53" s="179">
        <v>0</v>
      </c>
      <c r="BM53" s="179">
        <v>0</v>
      </c>
      <c r="BN53" s="179">
        <v>0</v>
      </c>
      <c r="BO53" s="179">
        <v>0</v>
      </c>
      <c r="BP53" s="179">
        <v>0.93967490381826901</v>
      </c>
      <c r="BQ53" s="179">
        <v>0</v>
      </c>
      <c r="BR53" s="179">
        <v>0</v>
      </c>
      <c r="BS53" s="179">
        <v>0</v>
      </c>
      <c r="BT53" s="179">
        <v>0</v>
      </c>
      <c r="BU53" s="179">
        <v>0</v>
      </c>
      <c r="BV53" s="179">
        <v>0</v>
      </c>
      <c r="BW53" s="179">
        <v>0</v>
      </c>
      <c r="BX53" s="179">
        <v>0.97067947705706281</v>
      </c>
      <c r="BY53" s="179">
        <v>0</v>
      </c>
      <c r="BZ53" s="179">
        <v>0</v>
      </c>
      <c r="CA53" s="179">
        <v>0</v>
      </c>
      <c r="CB53" s="179">
        <v>0</v>
      </c>
      <c r="CC53" s="179">
        <v>0</v>
      </c>
      <c r="CD53" s="179">
        <v>0</v>
      </c>
      <c r="CE53" s="179">
        <v>0</v>
      </c>
      <c r="CF53" s="179">
        <v>0</v>
      </c>
      <c r="CG53" s="179">
        <v>0</v>
      </c>
      <c r="CH53" s="179">
        <v>0</v>
      </c>
      <c r="CI53" s="179">
        <v>0</v>
      </c>
      <c r="CJ53" s="179">
        <v>0</v>
      </c>
      <c r="CK53" s="179">
        <v>0</v>
      </c>
      <c r="CL53" s="179">
        <v>0</v>
      </c>
      <c r="CM53" s="179">
        <v>0</v>
      </c>
      <c r="CN53" s="179">
        <v>0</v>
      </c>
      <c r="CO53" s="179">
        <v>0</v>
      </c>
      <c r="CP53" s="179">
        <v>0</v>
      </c>
      <c r="CQ53" s="179">
        <v>0</v>
      </c>
      <c r="CR53" s="179">
        <v>0</v>
      </c>
      <c r="CS53" s="6"/>
      <c r="CV53" s="6"/>
      <c r="CW53" s="204"/>
    </row>
    <row r="54" spans="3:101">
      <c r="C54" s="19" t="s">
        <v>366</v>
      </c>
      <c r="D54" s="71">
        <v>0</v>
      </c>
      <c r="H54" s="68"/>
      <c r="P54" s="68"/>
      <c r="Q54" s="68"/>
      <c r="R54" s="68"/>
      <c r="S54" s="68"/>
      <c r="AF54">
        <v>1000</v>
      </c>
      <c r="AH54" s="7">
        <f t="shared" si="15"/>
        <v>5</v>
      </c>
      <c r="AI54" s="178" t="s">
        <v>497</v>
      </c>
      <c r="AJ54" s="179">
        <v>0</v>
      </c>
      <c r="AK54" s="179">
        <v>0</v>
      </c>
      <c r="AL54" s="179">
        <v>0</v>
      </c>
      <c r="AM54" s="179">
        <v>0</v>
      </c>
      <c r="AN54" s="179">
        <v>0</v>
      </c>
      <c r="AO54" s="179">
        <v>0</v>
      </c>
      <c r="AP54" s="179">
        <v>0</v>
      </c>
      <c r="AQ54" s="179">
        <v>0</v>
      </c>
      <c r="AR54" s="179">
        <v>0</v>
      </c>
      <c r="AS54" s="179">
        <v>0</v>
      </c>
      <c r="AT54" s="179">
        <v>0</v>
      </c>
      <c r="AU54" s="179">
        <v>0</v>
      </c>
      <c r="AV54" s="179">
        <v>0</v>
      </c>
      <c r="AW54" s="179">
        <v>0</v>
      </c>
      <c r="AX54" s="179">
        <v>0</v>
      </c>
      <c r="AY54" s="179">
        <v>0</v>
      </c>
      <c r="AZ54" s="179">
        <v>0</v>
      </c>
      <c r="BA54" s="179">
        <v>0</v>
      </c>
      <c r="BB54" s="179">
        <v>0</v>
      </c>
      <c r="BC54" s="179">
        <v>0</v>
      </c>
      <c r="BD54" s="179">
        <v>0</v>
      </c>
      <c r="BE54" s="179">
        <v>0</v>
      </c>
      <c r="BF54" s="179">
        <v>0</v>
      </c>
      <c r="BG54" s="179">
        <v>0</v>
      </c>
      <c r="BH54" s="179">
        <v>0</v>
      </c>
      <c r="BI54" s="179">
        <v>0</v>
      </c>
      <c r="BJ54" s="179">
        <v>0</v>
      </c>
      <c r="BK54" s="179">
        <v>0</v>
      </c>
      <c r="BL54" s="179">
        <v>0</v>
      </c>
      <c r="BM54" s="179">
        <v>0</v>
      </c>
      <c r="BN54" s="179">
        <v>0</v>
      </c>
      <c r="BO54" s="179">
        <v>0</v>
      </c>
      <c r="BP54" s="179">
        <v>0</v>
      </c>
      <c r="BQ54" s="179">
        <v>0</v>
      </c>
      <c r="BR54" s="179">
        <v>0</v>
      </c>
      <c r="BS54" s="179">
        <v>0</v>
      </c>
      <c r="BT54" s="179">
        <v>0</v>
      </c>
      <c r="BU54" s="179">
        <v>0</v>
      </c>
      <c r="BV54" s="179">
        <v>0</v>
      </c>
      <c r="BW54" s="179">
        <v>0</v>
      </c>
      <c r="BX54" s="179">
        <v>0</v>
      </c>
      <c r="BY54" s="179">
        <v>0</v>
      </c>
      <c r="BZ54" s="179">
        <v>0</v>
      </c>
      <c r="CA54" s="179">
        <v>0</v>
      </c>
      <c r="CB54" s="179">
        <v>0</v>
      </c>
      <c r="CC54" s="179">
        <v>0</v>
      </c>
      <c r="CD54" s="179">
        <v>0</v>
      </c>
      <c r="CE54" s="179">
        <v>0</v>
      </c>
      <c r="CF54" s="179">
        <v>0</v>
      </c>
      <c r="CG54" s="179">
        <v>0</v>
      </c>
      <c r="CH54" s="179">
        <v>0</v>
      </c>
      <c r="CI54" s="179">
        <v>0</v>
      </c>
      <c r="CJ54" s="179">
        <v>0</v>
      </c>
      <c r="CK54" s="179">
        <v>0</v>
      </c>
      <c r="CL54" s="179">
        <v>0</v>
      </c>
      <c r="CM54" s="179">
        <v>0</v>
      </c>
      <c r="CN54" s="179">
        <v>0</v>
      </c>
      <c r="CO54" s="179">
        <v>0</v>
      </c>
      <c r="CP54" s="179">
        <v>0</v>
      </c>
      <c r="CQ54" s="179">
        <v>0</v>
      </c>
      <c r="CR54" s="179">
        <v>0</v>
      </c>
      <c r="CS54" s="6"/>
      <c r="CV54" s="6"/>
      <c r="CW54" s="204"/>
    </row>
    <row r="55" spans="3:101">
      <c r="C55" s="19" t="s">
        <v>367</v>
      </c>
      <c r="D55" s="57">
        <f>+D30*D53*D54</f>
        <v>0</v>
      </c>
      <c r="P55" s="68"/>
      <c r="Q55" s="68"/>
      <c r="R55" s="68"/>
      <c r="S55" s="68"/>
      <c r="AH55" s="7">
        <f t="shared" si="15"/>
        <v>6</v>
      </c>
      <c r="AI55" s="178"/>
      <c r="AJ55" s="18"/>
      <c r="AK55" s="18"/>
      <c r="AL55" s="18"/>
      <c r="AM55" s="18"/>
      <c r="AN55" s="18"/>
      <c r="AO55" s="18"/>
      <c r="AP55" s="18"/>
      <c r="AQ55" s="18"/>
      <c r="AR55" s="18"/>
      <c r="AS55" s="18"/>
      <c r="AT55" s="18"/>
      <c r="AU55" s="18"/>
      <c r="AV55" s="18"/>
      <c r="AW55" s="18"/>
      <c r="AX55" s="18"/>
      <c r="AY55" s="18"/>
      <c r="AZ55" s="18"/>
      <c r="BA55" s="18"/>
      <c r="BB55" s="18"/>
      <c r="BC55" s="18"/>
      <c r="BD55" s="18"/>
      <c r="BE55" s="18"/>
      <c r="BF55" s="18"/>
      <c r="BG55" s="18"/>
      <c r="BH55" s="18"/>
      <c r="BI55" s="18"/>
      <c r="BJ55" s="18"/>
      <c r="BK55" s="18"/>
      <c r="BL55" s="18"/>
      <c r="BM55" s="18"/>
      <c r="BN55" s="18"/>
      <c r="BO55" s="18"/>
      <c r="BP55" s="18"/>
      <c r="BQ55" s="18"/>
      <c r="BR55" s="18"/>
      <c r="BS55" s="18"/>
      <c r="BT55" s="18"/>
      <c r="BU55" s="18"/>
      <c r="BV55" s="18"/>
      <c r="BW55" s="18"/>
      <c r="BX55" s="18"/>
      <c r="CG55" s="18"/>
      <c r="CH55" s="18"/>
      <c r="CI55" s="18"/>
      <c r="CJ55" s="18"/>
      <c r="CK55" s="18"/>
      <c r="CL55" s="18"/>
      <c r="CM55" s="18"/>
      <c r="CN55" s="18"/>
      <c r="CO55" s="18"/>
      <c r="CP55" s="18"/>
      <c r="CQ55" s="18"/>
      <c r="CR55" s="18"/>
      <c r="CV55" s="6"/>
      <c r="CW55" s="204"/>
    </row>
    <row r="56" spans="3:101">
      <c r="C56" s="26" t="s">
        <v>137</v>
      </c>
      <c r="D56" s="71">
        <f>AJ69</f>
        <v>1</v>
      </c>
      <c r="P56" s="68"/>
      <c r="Q56" s="68"/>
      <c r="R56" s="68"/>
      <c r="S56" s="68"/>
      <c r="AH56" s="7">
        <f t="shared" si="15"/>
        <v>7</v>
      </c>
      <c r="AI56" s="178"/>
      <c r="AJ56" s="18"/>
      <c r="AK56" s="18"/>
      <c r="AL56" s="18"/>
      <c r="AM56" s="18"/>
      <c r="AN56" s="18"/>
      <c r="AO56" s="18"/>
      <c r="AP56" s="18"/>
      <c r="AQ56" s="18"/>
      <c r="AR56" s="18"/>
      <c r="AS56" s="18"/>
      <c r="AT56" s="18"/>
      <c r="AU56" s="18"/>
      <c r="AV56" s="18"/>
      <c r="AW56" s="18"/>
      <c r="AX56" s="18"/>
      <c r="AY56" s="18"/>
      <c r="AZ56" s="18"/>
      <c r="BA56" s="18"/>
      <c r="BB56" s="18"/>
      <c r="BC56" s="18"/>
      <c r="BD56" s="18"/>
      <c r="BE56" s="18"/>
      <c r="BF56" s="18"/>
      <c r="BG56" s="18"/>
      <c r="BH56" s="18"/>
      <c r="BI56" s="18"/>
      <c r="BJ56" s="18"/>
      <c r="BK56" s="18"/>
      <c r="BL56" s="18"/>
      <c r="BM56" s="18"/>
      <c r="BN56" s="18"/>
      <c r="BO56" s="18"/>
      <c r="BP56" s="18"/>
      <c r="BQ56" s="18"/>
      <c r="BR56" s="18"/>
      <c r="BS56" s="18"/>
      <c r="BT56" s="18"/>
      <c r="BU56" s="18"/>
      <c r="BV56" s="18"/>
      <c r="BW56" s="18"/>
      <c r="BX56" s="18"/>
      <c r="CG56" s="18"/>
      <c r="CH56" s="18"/>
      <c r="CI56" s="18"/>
      <c r="CJ56" s="18"/>
      <c r="CK56" s="18"/>
      <c r="CL56" s="18"/>
      <c r="CM56" s="178"/>
      <c r="CU56" s="263"/>
      <c r="CV56" s="6"/>
      <c r="CW56" s="204"/>
    </row>
    <row r="57" spans="3:101">
      <c r="C57" s="26" t="s">
        <v>138</v>
      </c>
      <c r="D57" s="57">
        <f>+D52*D55*(1-D56)</f>
        <v>0</v>
      </c>
      <c r="F57" s="4">
        <v>1</v>
      </c>
      <c r="P57" s="68"/>
      <c r="Q57" s="68"/>
      <c r="R57" s="68"/>
      <c r="S57" s="68"/>
      <c r="AH57" s="7">
        <f t="shared" si="15"/>
        <v>8</v>
      </c>
      <c r="AI57" s="178" t="s">
        <v>462</v>
      </c>
      <c r="AJ57" t="str">
        <f>ProjectData!B12</f>
        <v>UNITED STATES</v>
      </c>
      <c r="CV57" s="6"/>
      <c r="CW57" s="204"/>
    </row>
    <row r="58" spans="3:101" ht="14.25" customHeight="1">
      <c r="C58" s="204" t="s">
        <v>139</v>
      </c>
      <c r="D58" s="147">
        <f>AJ72</f>
        <v>6.25E-2</v>
      </c>
      <c r="F58" s="4">
        <v>1</v>
      </c>
      <c r="P58" s="68"/>
      <c r="Q58" s="68"/>
      <c r="R58" s="68"/>
      <c r="S58" s="68"/>
      <c r="AH58" s="7">
        <f t="shared" si="15"/>
        <v>9</v>
      </c>
      <c r="AI58" s="178" t="s">
        <v>498</v>
      </c>
      <c r="AJ58" s="18">
        <f>ProjectData!B18</f>
        <v>5</v>
      </c>
      <c r="CV58" s="6"/>
      <c r="CW58" s="204"/>
    </row>
    <row r="59" spans="3:101">
      <c r="C59" s="26" t="s">
        <v>140</v>
      </c>
      <c r="D59" s="11">
        <f>AJ77</f>
        <v>0</v>
      </c>
      <c r="F59" s="4">
        <v>1</v>
      </c>
      <c r="H59" s="10"/>
      <c r="I59" s="10"/>
      <c r="P59" s="68"/>
      <c r="Q59" s="68"/>
      <c r="R59" s="68"/>
      <c r="S59" s="68"/>
      <c r="AH59" s="7">
        <f t="shared" si="15"/>
        <v>10</v>
      </c>
      <c r="AI59" s="178" t="s">
        <v>499</v>
      </c>
      <c r="AJ59">
        <f>IF($AJ58&lt;$AF52,AH51,IF($AJ58&lt;$AF53,AH52,IF($AJ58&lt;1000,$AH53,AH54)))</f>
        <v>2</v>
      </c>
      <c r="CV59" s="6"/>
      <c r="CW59" s="204"/>
    </row>
    <row r="60" spans="3:101">
      <c r="C60" s="1" t="s">
        <v>500</v>
      </c>
      <c r="P60" s="68"/>
      <c r="Q60" s="68"/>
      <c r="R60" s="68"/>
      <c r="S60" s="68"/>
      <c r="AH60" s="7">
        <f t="shared" si="15"/>
        <v>11</v>
      </c>
    </row>
    <row r="61" spans="3:101">
      <c r="D61" t="s">
        <v>383</v>
      </c>
      <c r="E61" t="s">
        <v>384</v>
      </c>
      <c r="F61" t="s">
        <v>385</v>
      </c>
      <c r="G61" t="s">
        <v>386</v>
      </c>
      <c r="H61" t="s">
        <v>387</v>
      </c>
      <c r="I61" t="s">
        <v>388</v>
      </c>
      <c r="J61" t="s">
        <v>389</v>
      </c>
      <c r="K61" t="s">
        <v>390</v>
      </c>
      <c r="L61" t="s">
        <v>391</v>
      </c>
      <c r="M61" t="s">
        <v>392</v>
      </c>
      <c r="N61" t="s">
        <v>393</v>
      </c>
      <c r="O61" t="s">
        <v>394</v>
      </c>
      <c r="P61" t="s">
        <v>395</v>
      </c>
      <c r="Q61" t="s">
        <v>396</v>
      </c>
      <c r="R61" t="s">
        <v>397</v>
      </c>
      <c r="S61" t="s">
        <v>398</v>
      </c>
      <c r="T61" t="s">
        <v>399</v>
      </c>
      <c r="U61" t="s">
        <v>400</v>
      </c>
      <c r="V61" t="s">
        <v>401</v>
      </c>
      <c r="W61" t="s">
        <v>402</v>
      </c>
      <c r="X61" t="s">
        <v>403</v>
      </c>
      <c r="Y61" t="s">
        <v>404</v>
      </c>
      <c r="AH61" s="7">
        <f t="shared" si="15"/>
        <v>12</v>
      </c>
      <c r="AI61" s="178" t="s">
        <v>501</v>
      </c>
      <c r="AJ61" s="10">
        <f>HLOOKUP(AJ57,AJ50:CR54,AJ59)</f>
        <v>0.93550413956685008</v>
      </c>
      <c r="AK61" s="5"/>
    </row>
    <row r="62" spans="3:101" ht="15.6">
      <c r="C62" s="391" t="s">
        <v>383</v>
      </c>
      <c r="D62" s="266">
        <v>0.84763999999999995</v>
      </c>
      <c r="E62" s="266">
        <v>0</v>
      </c>
      <c r="F62" s="266">
        <v>0</v>
      </c>
      <c r="G62" s="266">
        <v>0</v>
      </c>
      <c r="H62" s="266">
        <v>0</v>
      </c>
      <c r="I62" s="266">
        <v>0</v>
      </c>
      <c r="J62" s="266">
        <v>0</v>
      </c>
      <c r="K62" s="266">
        <v>0</v>
      </c>
      <c r="L62" s="266">
        <v>0</v>
      </c>
      <c r="M62" s="266">
        <v>0</v>
      </c>
      <c r="N62" s="266">
        <v>0</v>
      </c>
      <c r="O62" s="266">
        <v>8.6213999999999999E-2</v>
      </c>
      <c r="P62" s="266">
        <v>1.2130000000000001E-3</v>
      </c>
      <c r="Q62" s="266">
        <v>6.4933000000000005E-2</v>
      </c>
      <c r="R62" s="266">
        <v>0</v>
      </c>
      <c r="S62" s="266">
        <v>0</v>
      </c>
      <c r="T62" s="266">
        <v>0</v>
      </c>
      <c r="U62" s="266">
        <v>0</v>
      </c>
      <c r="V62" s="266">
        <v>0</v>
      </c>
      <c r="W62" s="266">
        <v>0</v>
      </c>
      <c r="X62" s="266">
        <v>0</v>
      </c>
      <c r="Y62" s="266">
        <v>0</v>
      </c>
      <c r="AH62" s="7">
        <f t="shared" si="15"/>
        <v>13</v>
      </c>
      <c r="AI62" s="178" t="s">
        <v>502</v>
      </c>
      <c r="AJ62" s="5">
        <f>IF(AJ61=0,AI32,AI32*AJ61)*1000</f>
        <v>2619.4115907871801</v>
      </c>
    </row>
    <row r="63" spans="3:101" ht="15.6">
      <c r="C63" s="391" t="s">
        <v>384</v>
      </c>
      <c r="D63" s="266">
        <v>0</v>
      </c>
      <c r="E63" s="266">
        <v>0.68281999999999998</v>
      </c>
      <c r="F63" s="266">
        <v>0</v>
      </c>
      <c r="G63" s="266">
        <v>0</v>
      </c>
      <c r="H63" s="266">
        <v>0</v>
      </c>
      <c r="I63" s="266">
        <v>0</v>
      </c>
      <c r="J63" s="266">
        <v>0</v>
      </c>
      <c r="K63" s="266">
        <v>0</v>
      </c>
      <c r="L63" s="266">
        <v>0</v>
      </c>
      <c r="M63" s="266">
        <v>0</v>
      </c>
      <c r="N63" s="266">
        <v>0</v>
      </c>
      <c r="O63" s="266">
        <v>1.289E-2</v>
      </c>
      <c r="P63" s="266">
        <v>8.7709999999999993E-3</v>
      </c>
      <c r="Q63" s="266">
        <v>0.295518</v>
      </c>
      <c r="R63" s="266">
        <v>0</v>
      </c>
      <c r="S63" s="266">
        <v>0</v>
      </c>
      <c r="T63" s="266">
        <v>0</v>
      </c>
      <c r="U63" s="266">
        <v>0</v>
      </c>
      <c r="V63" s="266">
        <v>0</v>
      </c>
      <c r="W63" s="266">
        <v>0</v>
      </c>
      <c r="X63" s="266">
        <v>0</v>
      </c>
      <c r="Y63" s="266">
        <v>0</v>
      </c>
      <c r="AH63" s="7">
        <f t="shared" si="15"/>
        <v>14</v>
      </c>
      <c r="AJ63" s="5"/>
    </row>
    <row r="64" spans="3:101" ht="15" customHeight="1">
      <c r="C64" s="391" t="s">
        <v>385</v>
      </c>
      <c r="D64" s="266">
        <v>0</v>
      </c>
      <c r="E64" s="266">
        <v>0</v>
      </c>
      <c r="F64" s="266">
        <v>1</v>
      </c>
      <c r="G64" s="266">
        <v>0</v>
      </c>
      <c r="H64" s="266">
        <v>0</v>
      </c>
      <c r="I64" s="266">
        <v>0</v>
      </c>
      <c r="J64" s="266">
        <v>0</v>
      </c>
      <c r="K64" s="266">
        <v>0</v>
      </c>
      <c r="L64" s="266">
        <v>0</v>
      </c>
      <c r="M64" s="266">
        <v>0</v>
      </c>
      <c r="N64" s="266">
        <v>0</v>
      </c>
      <c r="O64" s="266">
        <v>0</v>
      </c>
      <c r="P64" s="266">
        <v>0</v>
      </c>
      <c r="Q64" s="266">
        <v>0</v>
      </c>
      <c r="R64" s="266">
        <v>0</v>
      </c>
      <c r="S64" s="266">
        <v>0</v>
      </c>
      <c r="T64" s="266">
        <v>0</v>
      </c>
      <c r="U64" s="266">
        <v>0</v>
      </c>
      <c r="V64" s="266">
        <v>0</v>
      </c>
      <c r="W64" s="266">
        <v>0</v>
      </c>
      <c r="X64" s="266">
        <v>0</v>
      </c>
      <c r="Y64" s="266">
        <v>0</v>
      </c>
      <c r="AH64" s="7">
        <f t="shared" si="15"/>
        <v>15</v>
      </c>
      <c r="AI64" s="270" t="s">
        <v>503</v>
      </c>
      <c r="AJ64" s="182">
        <v>0.04</v>
      </c>
      <c r="AK64" s="182">
        <v>0</v>
      </c>
      <c r="AL64" s="182">
        <v>5.6000000000000001E-2</v>
      </c>
      <c r="AM64" s="182">
        <v>6.5000000000000002E-2</v>
      </c>
      <c r="AN64" s="182">
        <v>7.4999999999999997E-2</v>
      </c>
      <c r="AO64" s="182">
        <v>2.9000000000000001E-2</v>
      </c>
      <c r="AP64" s="182">
        <v>6.3500000000000001E-2</v>
      </c>
      <c r="AQ64" s="182">
        <v>0</v>
      </c>
      <c r="AR64" s="182">
        <v>5.7500000000000002E-2</v>
      </c>
      <c r="AS64" s="182">
        <v>0.06</v>
      </c>
      <c r="AT64" s="182">
        <v>0.04</v>
      </c>
      <c r="AU64" s="182">
        <v>0.04</v>
      </c>
      <c r="AV64" s="182">
        <v>0.06</v>
      </c>
      <c r="AW64" s="182">
        <v>6.25E-2</v>
      </c>
      <c r="AX64" s="182">
        <v>7.0000000000000007E-2</v>
      </c>
      <c r="AY64" s="182">
        <v>0.06</v>
      </c>
      <c r="AZ64" s="182">
        <v>6.5000000000000002E-2</v>
      </c>
      <c r="BA64" s="182">
        <v>0.06</v>
      </c>
      <c r="BB64" s="182">
        <v>0.05</v>
      </c>
      <c r="BC64" s="182">
        <v>5.5E-2</v>
      </c>
      <c r="BD64" s="182">
        <v>0.06</v>
      </c>
      <c r="BE64" s="182">
        <v>6.25E-2</v>
      </c>
      <c r="BF64" s="182">
        <v>0.06</v>
      </c>
      <c r="BG64" s="182">
        <v>6.8750000000000006E-2</v>
      </c>
      <c r="BH64" s="182">
        <v>7.0000000000000007E-2</v>
      </c>
      <c r="BI64" s="180">
        <v>4.2250000000000003E-2</v>
      </c>
      <c r="BJ64" s="180">
        <v>0</v>
      </c>
      <c r="BK64" s="279">
        <f>'User Add-in Location'!B5</f>
        <v>0</v>
      </c>
      <c r="BL64" s="279">
        <f>'User Add-in Location'!$B$5</f>
        <v>0</v>
      </c>
      <c r="BM64" s="180">
        <v>5.5E-2</v>
      </c>
      <c r="BN64" s="180">
        <v>6.8500000000000005E-2</v>
      </c>
      <c r="BO64" s="180">
        <v>0</v>
      </c>
      <c r="BP64" s="180">
        <v>7.0000000000000007E-2</v>
      </c>
      <c r="BQ64" s="180">
        <v>5.1249999999999997E-2</v>
      </c>
      <c r="BR64" s="180">
        <v>0.04</v>
      </c>
      <c r="BS64" s="180">
        <v>4.7500000000000001E-2</v>
      </c>
      <c r="BT64" s="180">
        <v>0.05</v>
      </c>
      <c r="BU64" s="180">
        <v>5.7500000000000002E-2</v>
      </c>
      <c r="BV64" s="180">
        <v>4.4999999999999998E-2</v>
      </c>
      <c r="BW64" s="180">
        <v>0</v>
      </c>
      <c r="BX64" s="180">
        <v>0.06</v>
      </c>
      <c r="CG64" s="180">
        <v>7.0000000000000007E-2</v>
      </c>
      <c r="CH64" s="180">
        <v>0.06</v>
      </c>
      <c r="CI64" s="180">
        <v>4.4999999999999998E-2</v>
      </c>
      <c r="CJ64" s="180">
        <v>7.0000000000000007E-2</v>
      </c>
      <c r="CK64" s="180">
        <v>6.25E-2</v>
      </c>
      <c r="CL64" s="180">
        <v>0.06</v>
      </c>
      <c r="CM64" s="180">
        <v>4.2999999999999997E-2</v>
      </c>
      <c r="CN64" s="180">
        <v>6.5000000000000002E-2</v>
      </c>
      <c r="CO64" s="180">
        <v>0.06</v>
      </c>
      <c r="CP64" s="180">
        <v>0.05</v>
      </c>
      <c r="CQ64" s="180">
        <v>0.04</v>
      </c>
      <c r="CR64" s="180">
        <v>5.1499999999999997E-2</v>
      </c>
    </row>
    <row r="65" spans="3:96" ht="15.6">
      <c r="C65" s="391" t="s">
        <v>386</v>
      </c>
      <c r="D65" s="266">
        <v>0</v>
      </c>
      <c r="E65" s="266">
        <v>0</v>
      </c>
      <c r="F65" s="266">
        <v>0</v>
      </c>
      <c r="G65" s="266">
        <v>1</v>
      </c>
      <c r="H65" s="266">
        <v>0</v>
      </c>
      <c r="I65" s="266">
        <v>0</v>
      </c>
      <c r="J65" s="266">
        <v>0</v>
      </c>
      <c r="K65" s="266">
        <v>0</v>
      </c>
      <c r="L65" s="266">
        <v>0</v>
      </c>
      <c r="M65" s="266">
        <v>0</v>
      </c>
      <c r="N65" s="266">
        <v>0</v>
      </c>
      <c r="O65" s="266">
        <v>0</v>
      </c>
      <c r="P65" s="266">
        <v>0</v>
      </c>
      <c r="Q65" s="266">
        <v>0</v>
      </c>
      <c r="R65" s="266">
        <v>0</v>
      </c>
      <c r="S65" s="266">
        <v>0</v>
      </c>
      <c r="T65" s="266">
        <v>0</v>
      </c>
      <c r="U65" s="266">
        <v>0</v>
      </c>
      <c r="V65" s="266">
        <v>0</v>
      </c>
      <c r="W65" s="266">
        <v>0</v>
      </c>
      <c r="X65" s="266">
        <v>0</v>
      </c>
      <c r="Y65" s="266">
        <v>0</v>
      </c>
      <c r="AH65" s="7">
        <f t="shared" si="15"/>
        <v>16</v>
      </c>
      <c r="AI65" s="178" t="s">
        <v>504</v>
      </c>
      <c r="AJ65" s="182">
        <v>0.04</v>
      </c>
      <c r="AK65" s="182">
        <v>0</v>
      </c>
      <c r="AL65" s="182">
        <v>5.6000000000000001E-2</v>
      </c>
      <c r="AM65" s="182">
        <v>6.5000000000000002E-2</v>
      </c>
      <c r="AN65" s="182">
        <v>7.4999999999999997E-2</v>
      </c>
      <c r="AO65" s="182">
        <v>2.9000000000000001E-2</v>
      </c>
      <c r="AP65" s="182">
        <v>6.3500000000000001E-2</v>
      </c>
      <c r="AQ65" s="182">
        <v>0</v>
      </c>
      <c r="AR65" s="182">
        <v>5.7500000000000002E-2</v>
      </c>
      <c r="AS65" s="182">
        <v>0.06</v>
      </c>
      <c r="AT65" s="182">
        <v>0.04</v>
      </c>
      <c r="AU65" s="182">
        <v>0.04</v>
      </c>
      <c r="AV65" s="182">
        <v>0.06</v>
      </c>
      <c r="AW65" s="182">
        <v>6.25E-2</v>
      </c>
      <c r="AX65" s="182">
        <v>7.0000000000000007E-2</v>
      </c>
      <c r="AY65" s="182">
        <v>0.06</v>
      </c>
      <c r="AZ65" s="182">
        <v>6.5000000000000002E-2</v>
      </c>
      <c r="BA65" s="182">
        <v>0.06</v>
      </c>
      <c r="BB65" s="182">
        <v>0.05</v>
      </c>
      <c r="BC65" s="182">
        <v>5.5E-2</v>
      </c>
      <c r="BD65" s="182">
        <v>0.06</v>
      </c>
      <c r="BE65" s="182">
        <v>6.25E-2</v>
      </c>
      <c r="BF65" s="182">
        <v>0.06</v>
      </c>
      <c r="BG65" s="182">
        <v>6.8750000000000006E-2</v>
      </c>
      <c r="BH65" s="182">
        <v>7.0000000000000007E-2</v>
      </c>
      <c r="BI65" s="180">
        <v>4.2250000000000003E-2</v>
      </c>
      <c r="BJ65" s="180">
        <v>0</v>
      </c>
      <c r="BK65" s="279">
        <f>'User Add-in Location'!$B$5</f>
        <v>0</v>
      </c>
      <c r="BL65" s="279">
        <f>'User Add-in Location'!$B$5</f>
        <v>0</v>
      </c>
      <c r="BM65" s="180">
        <v>5.5E-2</v>
      </c>
      <c r="BN65" s="180">
        <v>6.8500000000000005E-2</v>
      </c>
      <c r="BO65" s="180">
        <v>0</v>
      </c>
      <c r="BP65" s="180">
        <v>7.0000000000000007E-2</v>
      </c>
      <c r="BQ65" s="180">
        <v>5.1249999999999997E-2</v>
      </c>
      <c r="BR65" s="180">
        <v>0.04</v>
      </c>
      <c r="BS65" s="180">
        <v>4.7500000000000001E-2</v>
      </c>
      <c r="BT65" s="180">
        <v>0.05</v>
      </c>
      <c r="BU65" s="180">
        <v>5.7500000000000002E-2</v>
      </c>
      <c r="BV65" s="180">
        <v>4.4999999999999998E-2</v>
      </c>
      <c r="BW65" s="180">
        <v>0</v>
      </c>
      <c r="BX65" s="180">
        <v>0.06</v>
      </c>
      <c r="CG65" s="180">
        <v>7.0000000000000007E-2</v>
      </c>
      <c r="CH65" s="180">
        <v>0.06</v>
      </c>
      <c r="CI65" s="180">
        <v>4.4999999999999998E-2</v>
      </c>
      <c r="CJ65" s="180">
        <v>7.0000000000000007E-2</v>
      </c>
      <c r="CK65" s="180">
        <v>6.25E-2</v>
      </c>
      <c r="CL65" s="180">
        <v>0.06</v>
      </c>
      <c r="CM65" s="180">
        <v>4.2999999999999997E-2</v>
      </c>
      <c r="CN65" s="180">
        <v>6.5000000000000002E-2</v>
      </c>
      <c r="CO65" s="180">
        <v>0.06</v>
      </c>
      <c r="CP65" s="180">
        <v>0.05</v>
      </c>
      <c r="CQ65" s="180">
        <v>0.04</v>
      </c>
      <c r="CR65" s="180">
        <v>5.1499999999999997E-2</v>
      </c>
    </row>
    <row r="66" spans="3:96" ht="15" customHeight="1">
      <c r="C66" s="391" t="s">
        <v>387</v>
      </c>
      <c r="D66" s="266">
        <v>0</v>
      </c>
      <c r="E66" s="266">
        <v>0</v>
      </c>
      <c r="F66" s="266">
        <v>0</v>
      </c>
      <c r="G66" s="266">
        <v>0</v>
      </c>
      <c r="H66" s="266">
        <v>1</v>
      </c>
      <c r="I66" s="266">
        <v>0</v>
      </c>
      <c r="J66" s="266">
        <v>0</v>
      </c>
      <c r="K66" s="266">
        <v>0</v>
      </c>
      <c r="L66" s="266">
        <v>0</v>
      </c>
      <c r="M66" s="266">
        <v>0</v>
      </c>
      <c r="N66" s="266">
        <v>0</v>
      </c>
      <c r="O66" s="266">
        <v>0</v>
      </c>
      <c r="P66" s="266">
        <v>0</v>
      </c>
      <c r="Q66" s="266">
        <v>0</v>
      </c>
      <c r="R66" s="266">
        <v>0</v>
      </c>
      <c r="S66" s="266">
        <v>0</v>
      </c>
      <c r="T66" s="266">
        <v>0</v>
      </c>
      <c r="U66" s="266">
        <v>0</v>
      </c>
      <c r="V66" s="266">
        <v>0</v>
      </c>
      <c r="W66" s="266">
        <v>0</v>
      </c>
      <c r="X66" s="266">
        <v>0</v>
      </c>
      <c r="Y66" s="266">
        <v>0</v>
      </c>
      <c r="AH66" s="7">
        <f t="shared" si="15"/>
        <v>17</v>
      </c>
      <c r="AI66" s="204" t="s">
        <v>505</v>
      </c>
      <c r="AJ66" s="69"/>
      <c r="AK66" s="69"/>
      <c r="AL66" s="69">
        <v>1</v>
      </c>
      <c r="AM66" s="69"/>
      <c r="AN66" s="69">
        <v>1</v>
      </c>
      <c r="AO66" s="69">
        <v>1</v>
      </c>
      <c r="AP66" s="69">
        <v>1</v>
      </c>
      <c r="AQ66" s="69"/>
      <c r="AR66" s="69"/>
      <c r="AS66" s="69"/>
      <c r="AT66" s="69"/>
      <c r="AU66" s="69"/>
      <c r="AV66" s="69"/>
      <c r="AW66" s="69"/>
      <c r="AX66" s="69">
        <v>1</v>
      </c>
      <c r="AY66" s="69">
        <v>1</v>
      </c>
      <c r="AZ66" s="69">
        <v>1</v>
      </c>
      <c r="BA66" s="69"/>
      <c r="BB66" s="69">
        <v>1</v>
      </c>
      <c r="BC66" s="69"/>
      <c r="BD66" s="69">
        <v>1</v>
      </c>
      <c r="BE66" s="69">
        <v>1</v>
      </c>
      <c r="BF66" s="69"/>
      <c r="BG66" s="69">
        <v>1</v>
      </c>
      <c r="BH66" s="69"/>
      <c r="BI66" s="69"/>
      <c r="BJ66" s="69">
        <v>1</v>
      </c>
      <c r="BK66" s="213">
        <f>'User Add-in Location'!$B$7</f>
        <v>0</v>
      </c>
      <c r="BL66" s="213">
        <f>'User Add-in Location'!$B$7</f>
        <v>0</v>
      </c>
      <c r="BM66" s="69"/>
      <c r="BN66" s="69">
        <v>1</v>
      </c>
      <c r="BO66" s="69"/>
      <c r="BP66" s="69">
        <v>1</v>
      </c>
      <c r="BQ66" s="69">
        <v>1</v>
      </c>
      <c r="BR66" s="69">
        <v>1</v>
      </c>
      <c r="BS66" s="69">
        <v>0.8</v>
      </c>
      <c r="BT66" s="69">
        <v>1</v>
      </c>
      <c r="BU66" s="69">
        <v>1</v>
      </c>
      <c r="BV66" s="69"/>
      <c r="BW66" s="69">
        <v>1</v>
      </c>
      <c r="BX66" s="69"/>
      <c r="CG66" s="69"/>
      <c r="CH66" s="69"/>
      <c r="CI66" s="69">
        <v>0.7</v>
      </c>
      <c r="CJ66" s="69"/>
      <c r="CK66" s="69">
        <v>1</v>
      </c>
      <c r="CL66" s="69"/>
      <c r="CM66" s="69"/>
      <c r="CN66" s="69"/>
      <c r="CO66" s="69"/>
      <c r="CP66" s="69"/>
      <c r="CQ66" s="69">
        <v>1</v>
      </c>
      <c r="CR66" s="69"/>
    </row>
    <row r="67" spans="3:96" ht="15.6">
      <c r="C67" s="391" t="s">
        <v>388</v>
      </c>
      <c r="D67" s="266">
        <v>0</v>
      </c>
      <c r="E67" s="266">
        <v>0</v>
      </c>
      <c r="F67" s="266">
        <v>0</v>
      </c>
      <c r="G67" s="266">
        <v>0</v>
      </c>
      <c r="H67" s="266">
        <v>0</v>
      </c>
      <c r="I67" s="266">
        <v>0.84199599999999997</v>
      </c>
      <c r="J67" s="266">
        <v>0</v>
      </c>
      <c r="K67" s="266">
        <v>0</v>
      </c>
      <c r="L67" s="266">
        <v>0</v>
      </c>
      <c r="M67" s="266">
        <v>0</v>
      </c>
      <c r="N67" s="266">
        <v>0</v>
      </c>
      <c r="O67" s="266">
        <v>0.107789</v>
      </c>
      <c r="P67" s="266">
        <v>1.8332999999999999E-2</v>
      </c>
      <c r="Q67" s="266">
        <v>3.1882000000000001E-2</v>
      </c>
      <c r="R67" s="266">
        <v>0</v>
      </c>
      <c r="S67" s="266">
        <v>0</v>
      </c>
      <c r="T67" s="266">
        <v>0</v>
      </c>
      <c r="U67" s="266">
        <v>0</v>
      </c>
      <c r="V67" s="266">
        <v>0</v>
      </c>
      <c r="W67" s="266">
        <v>0</v>
      </c>
      <c r="X67" s="266">
        <v>0</v>
      </c>
      <c r="Y67" s="266">
        <v>0</v>
      </c>
      <c r="AH67" s="7">
        <f t="shared" si="15"/>
        <v>18</v>
      </c>
      <c r="AI67" t="s">
        <v>504</v>
      </c>
      <c r="AJ67" s="69"/>
      <c r="AK67" s="69"/>
      <c r="AL67" s="69">
        <v>1</v>
      </c>
      <c r="AM67" s="69"/>
      <c r="AN67" s="69">
        <v>1</v>
      </c>
      <c r="AO67" s="69"/>
      <c r="AP67" s="69">
        <v>1</v>
      </c>
      <c r="AQ67" s="69"/>
      <c r="AR67" s="69"/>
      <c r="AS67" s="69"/>
      <c r="AT67" s="69"/>
      <c r="AU67" s="69"/>
      <c r="AV67" s="69">
        <v>1</v>
      </c>
      <c r="AW67" s="69"/>
      <c r="AX67" s="69">
        <v>1</v>
      </c>
      <c r="AY67" s="69">
        <v>1</v>
      </c>
      <c r="AZ67" s="69">
        <v>1</v>
      </c>
      <c r="BA67" s="69"/>
      <c r="BB67" s="69"/>
      <c r="BC67" s="69"/>
      <c r="BD67" s="69">
        <v>1</v>
      </c>
      <c r="BE67" s="69">
        <v>1</v>
      </c>
      <c r="BF67" s="69">
        <v>1</v>
      </c>
      <c r="BG67" s="69">
        <v>1</v>
      </c>
      <c r="BH67" s="69"/>
      <c r="BI67" s="69"/>
      <c r="BJ67" s="69">
        <v>1</v>
      </c>
      <c r="BK67" s="213">
        <f>'User Add-in Location'!$B$7</f>
        <v>0</v>
      </c>
      <c r="BL67" s="213">
        <f>'User Add-in Location'!$B$7</f>
        <v>0</v>
      </c>
      <c r="BM67" s="69"/>
      <c r="BN67" s="69">
        <v>1</v>
      </c>
      <c r="BO67" s="69"/>
      <c r="BP67" s="69">
        <v>1</v>
      </c>
      <c r="BQ67" s="69"/>
      <c r="BR67" s="69">
        <v>1</v>
      </c>
      <c r="BS67" s="69">
        <v>0.8</v>
      </c>
      <c r="BT67" s="69">
        <v>1</v>
      </c>
      <c r="BU67" s="69">
        <v>1</v>
      </c>
      <c r="BV67" s="69"/>
      <c r="BW67" s="69">
        <v>1</v>
      </c>
      <c r="BX67" s="69"/>
      <c r="CG67" s="69"/>
      <c r="CH67" s="69"/>
      <c r="CI67" s="69">
        <v>0.7</v>
      </c>
      <c r="CK67" s="4">
        <v>1</v>
      </c>
      <c r="CL67" s="69"/>
      <c r="CM67" s="69"/>
      <c r="CN67" s="69"/>
      <c r="CO67" s="69"/>
      <c r="CP67" s="69"/>
      <c r="CQ67" s="69">
        <v>1</v>
      </c>
      <c r="CR67" s="69"/>
    </row>
    <row r="68" spans="3:96" ht="15.6">
      <c r="C68" s="391" t="s">
        <v>389</v>
      </c>
      <c r="D68" s="266">
        <v>0</v>
      </c>
      <c r="E68" s="266">
        <v>0</v>
      </c>
      <c r="F68" s="266">
        <v>0</v>
      </c>
      <c r="G68" s="266">
        <v>0</v>
      </c>
      <c r="H68" s="266">
        <v>0</v>
      </c>
      <c r="I68" s="266">
        <v>0</v>
      </c>
      <c r="J68" s="266">
        <v>0.720028</v>
      </c>
      <c r="K68" s="266">
        <v>0</v>
      </c>
      <c r="L68" s="266">
        <v>0</v>
      </c>
      <c r="M68" s="266">
        <v>0</v>
      </c>
      <c r="N68" s="266">
        <v>0</v>
      </c>
      <c r="O68" s="266">
        <v>0.170125</v>
      </c>
      <c r="P68" s="266">
        <v>9.8636000000000001E-2</v>
      </c>
      <c r="Q68" s="266">
        <v>1.1211E-2</v>
      </c>
      <c r="R68" s="266">
        <v>0</v>
      </c>
      <c r="S68" s="266">
        <v>0</v>
      </c>
      <c r="T68" s="266">
        <v>0</v>
      </c>
      <c r="U68" s="266">
        <v>0</v>
      </c>
      <c r="V68" s="266">
        <v>0</v>
      </c>
      <c r="W68" s="266">
        <v>0</v>
      </c>
      <c r="X68" s="266">
        <v>0</v>
      </c>
      <c r="Y68" s="266">
        <v>0</v>
      </c>
      <c r="AH68" s="7">
        <f t="shared" si="15"/>
        <v>19</v>
      </c>
      <c r="AI68" t="s">
        <v>506</v>
      </c>
      <c r="AL68" s="4">
        <v>1</v>
      </c>
      <c r="AN68" s="4">
        <v>1</v>
      </c>
      <c r="AO68" s="271"/>
      <c r="AP68" s="4">
        <v>1</v>
      </c>
      <c r="AS68" s="69"/>
      <c r="AV68" s="69"/>
      <c r="AX68" s="69">
        <v>1</v>
      </c>
      <c r="AY68" s="69">
        <v>1</v>
      </c>
      <c r="AZ68" s="69">
        <v>1</v>
      </c>
      <c r="BC68" s="69"/>
      <c r="BD68" s="69">
        <v>1</v>
      </c>
      <c r="BE68" s="69">
        <v>1</v>
      </c>
      <c r="BF68" s="69">
        <v>1</v>
      </c>
      <c r="BG68" s="69">
        <v>1</v>
      </c>
      <c r="BJ68" s="69">
        <v>1</v>
      </c>
      <c r="BK68" s="213">
        <f>'User Add-in Location'!$B$7</f>
        <v>0</v>
      </c>
      <c r="BL68" s="213">
        <f>'User Add-in Location'!$B$7</f>
        <v>0</v>
      </c>
      <c r="BM68" s="69"/>
      <c r="BN68" s="69">
        <v>1</v>
      </c>
      <c r="BP68" s="69">
        <v>1</v>
      </c>
      <c r="BR68" s="69">
        <v>1</v>
      </c>
      <c r="BS68" s="69">
        <v>0.8</v>
      </c>
      <c r="BT68" s="69">
        <v>1</v>
      </c>
      <c r="BU68" s="69">
        <v>1</v>
      </c>
      <c r="BW68" s="69">
        <v>1</v>
      </c>
      <c r="CG68" s="69"/>
      <c r="CI68" s="4">
        <v>0.7</v>
      </c>
      <c r="CJ68" s="4"/>
      <c r="CK68" s="4">
        <v>1</v>
      </c>
      <c r="CL68" s="69"/>
      <c r="CM68" s="69"/>
      <c r="CN68" s="69"/>
      <c r="CO68" s="69"/>
      <c r="CP68" s="69"/>
      <c r="CQ68" s="69">
        <v>1</v>
      </c>
      <c r="CR68" s="69"/>
    </row>
    <row r="69" spans="3:96" ht="13.5" customHeight="1">
      <c r="C69" s="391" t="s">
        <v>390</v>
      </c>
      <c r="D69" s="266">
        <v>0</v>
      </c>
      <c r="E69" s="266">
        <v>0</v>
      </c>
      <c r="F69" s="266">
        <v>0</v>
      </c>
      <c r="G69" s="266">
        <v>0</v>
      </c>
      <c r="H69" s="266">
        <v>0</v>
      </c>
      <c r="I69" s="266">
        <v>0</v>
      </c>
      <c r="J69" s="266">
        <v>0</v>
      </c>
      <c r="K69" s="266">
        <v>0.83328599999999997</v>
      </c>
      <c r="L69" s="266">
        <v>0</v>
      </c>
      <c r="M69" s="266">
        <v>0</v>
      </c>
      <c r="N69" s="266">
        <v>0</v>
      </c>
      <c r="O69" s="266">
        <v>0.111651</v>
      </c>
      <c r="P69" s="266">
        <v>2.3139E-2</v>
      </c>
      <c r="Q69" s="266">
        <v>3.1925000000000002E-2</v>
      </c>
      <c r="R69" s="266">
        <v>0</v>
      </c>
      <c r="S69" s="266">
        <v>0</v>
      </c>
      <c r="T69" s="266">
        <v>0</v>
      </c>
      <c r="U69" s="266">
        <v>0</v>
      </c>
      <c r="V69" s="266">
        <v>0</v>
      </c>
      <c r="W69" s="266">
        <v>0</v>
      </c>
      <c r="X69" s="266">
        <v>0</v>
      </c>
      <c r="Y69" s="266">
        <v>0</v>
      </c>
      <c r="AH69" s="7">
        <f t="shared" si="15"/>
        <v>20</v>
      </c>
      <c r="AI69" s="204" t="s">
        <v>507</v>
      </c>
      <c r="AJ69" s="69">
        <f>HLOOKUP(AJ$57,AJ$50:CR$68,AJ70)</f>
        <v>1</v>
      </c>
      <c r="AK69" s="20" t="s">
        <v>508</v>
      </c>
      <c r="AL69" s="69">
        <f>1-AJ69</f>
        <v>0</v>
      </c>
    </row>
    <row r="70" spans="3:96" ht="15.6">
      <c r="C70" s="391" t="s">
        <v>391</v>
      </c>
      <c r="D70" s="266">
        <v>0</v>
      </c>
      <c r="E70" s="266">
        <v>0</v>
      </c>
      <c r="F70" s="266">
        <v>0</v>
      </c>
      <c r="G70" s="266">
        <v>0</v>
      </c>
      <c r="H70" s="266">
        <v>0</v>
      </c>
      <c r="I70" s="266">
        <v>0</v>
      </c>
      <c r="J70" s="266">
        <v>0</v>
      </c>
      <c r="K70" s="266">
        <v>0</v>
      </c>
      <c r="L70" s="266">
        <v>0.82125899999999996</v>
      </c>
      <c r="M70" s="266">
        <v>0</v>
      </c>
      <c r="N70" s="266">
        <v>0</v>
      </c>
      <c r="O70" s="266">
        <v>0.144205</v>
      </c>
      <c r="P70" s="266">
        <v>1.9375E-2</v>
      </c>
      <c r="Q70" s="266">
        <v>1.516E-2</v>
      </c>
      <c r="R70" s="266">
        <v>0</v>
      </c>
      <c r="S70" s="266">
        <v>0</v>
      </c>
      <c r="T70" s="266">
        <v>0</v>
      </c>
      <c r="U70" s="266">
        <v>0</v>
      </c>
      <c r="V70" s="266">
        <v>0</v>
      </c>
      <c r="W70" s="266">
        <v>0</v>
      </c>
      <c r="X70" s="266">
        <v>0</v>
      </c>
      <c r="Y70" s="266">
        <v>0</v>
      </c>
      <c r="AH70" s="7">
        <f t="shared" si="15"/>
        <v>21</v>
      </c>
      <c r="AI70" s="178" t="s">
        <v>499</v>
      </c>
      <c r="AJ70">
        <f>IF(AJ$58&lt;10,AH66,IF(AJ$58&lt;100,AH67,AH68))</f>
        <v>17</v>
      </c>
    </row>
    <row r="71" spans="3:96" ht="15.6">
      <c r="C71" s="391" t="s">
        <v>392</v>
      </c>
      <c r="D71" s="266">
        <v>0</v>
      </c>
      <c r="E71" s="266">
        <v>0</v>
      </c>
      <c r="F71" s="266">
        <v>0</v>
      </c>
      <c r="G71" s="266">
        <v>0</v>
      </c>
      <c r="H71" s="266">
        <v>0</v>
      </c>
      <c r="I71" s="266">
        <v>0</v>
      </c>
      <c r="J71" s="266">
        <v>0</v>
      </c>
      <c r="K71" s="266">
        <v>0</v>
      </c>
      <c r="L71" s="266">
        <v>0</v>
      </c>
      <c r="M71" s="266">
        <v>0.700021</v>
      </c>
      <c r="N71" s="266">
        <v>0</v>
      </c>
      <c r="O71" s="266">
        <v>0.29131899999999999</v>
      </c>
      <c r="P71" s="266">
        <v>0</v>
      </c>
      <c r="Q71" s="266">
        <v>8.6599999999999993E-3</v>
      </c>
      <c r="R71" s="266">
        <v>0</v>
      </c>
      <c r="S71" s="266">
        <v>0</v>
      </c>
      <c r="T71" s="266">
        <v>0</v>
      </c>
      <c r="U71" s="266">
        <v>0</v>
      </c>
      <c r="V71" s="266">
        <v>0</v>
      </c>
      <c r="W71" s="266">
        <v>0</v>
      </c>
      <c r="X71" s="266">
        <v>0</v>
      </c>
      <c r="Y71" s="266">
        <v>0</v>
      </c>
      <c r="AH71" s="7">
        <f t="shared" si="15"/>
        <v>22</v>
      </c>
    </row>
    <row r="72" spans="3:96" ht="15.6">
      <c r="C72" s="391" t="s">
        <v>393</v>
      </c>
      <c r="D72" s="266">
        <v>0</v>
      </c>
      <c r="E72" s="266">
        <v>0</v>
      </c>
      <c r="F72" s="266">
        <v>0</v>
      </c>
      <c r="G72" s="266">
        <v>0</v>
      </c>
      <c r="H72" s="266">
        <v>0</v>
      </c>
      <c r="I72" s="266">
        <v>0</v>
      </c>
      <c r="J72" s="266">
        <v>0</v>
      </c>
      <c r="K72" s="266">
        <v>0</v>
      </c>
      <c r="L72" s="266">
        <v>0</v>
      </c>
      <c r="M72" s="266">
        <v>0</v>
      </c>
      <c r="N72" s="266">
        <v>0.87762399999999996</v>
      </c>
      <c r="O72" s="266">
        <v>0.11397699999999999</v>
      </c>
      <c r="P72" s="266">
        <v>0</v>
      </c>
      <c r="Q72" s="266">
        <v>8.3979999999999992E-3</v>
      </c>
      <c r="R72" s="266">
        <v>0</v>
      </c>
      <c r="S72" s="266">
        <v>0</v>
      </c>
      <c r="T72" s="266">
        <v>0</v>
      </c>
      <c r="U72" s="266">
        <v>0</v>
      </c>
      <c r="V72" s="266">
        <v>0</v>
      </c>
      <c r="W72" s="266">
        <v>0</v>
      </c>
      <c r="X72" s="266">
        <v>0</v>
      </c>
      <c r="Y72" s="266">
        <v>0</v>
      </c>
      <c r="AH72" s="7">
        <f t="shared" si="15"/>
        <v>23</v>
      </c>
      <c r="AI72" t="s">
        <v>509</v>
      </c>
      <c r="AJ72" s="70">
        <f>HLOOKUP(AJ$57,AJ$50:CR$68,AJ73)</f>
        <v>6.25E-2</v>
      </c>
    </row>
    <row r="73" spans="3:96" ht="15.6">
      <c r="C73" s="391" t="s">
        <v>394</v>
      </c>
      <c r="D73" s="266">
        <v>0</v>
      </c>
      <c r="E73" s="266">
        <v>0</v>
      </c>
      <c r="F73" s="266">
        <v>0</v>
      </c>
      <c r="G73" s="266">
        <v>0</v>
      </c>
      <c r="H73" s="266">
        <v>0</v>
      </c>
      <c r="I73" s="266">
        <v>0</v>
      </c>
      <c r="J73" s="266">
        <v>0</v>
      </c>
      <c r="K73" s="266">
        <v>0</v>
      </c>
      <c r="L73" s="266">
        <v>0</v>
      </c>
      <c r="M73" s="266">
        <v>0</v>
      </c>
      <c r="N73" s="266">
        <v>0</v>
      </c>
      <c r="O73" s="266">
        <v>0.72233099999999995</v>
      </c>
      <c r="P73" s="266">
        <v>0</v>
      </c>
      <c r="Q73" s="266">
        <v>0.277669</v>
      </c>
      <c r="R73" s="266">
        <v>0</v>
      </c>
      <c r="S73" s="266">
        <v>0</v>
      </c>
      <c r="T73" s="266">
        <v>0</v>
      </c>
      <c r="U73" s="266">
        <v>0</v>
      </c>
      <c r="V73" s="266">
        <v>0</v>
      </c>
      <c r="W73" s="266">
        <v>0</v>
      </c>
      <c r="X73" s="266">
        <v>0</v>
      </c>
      <c r="Y73" s="266">
        <v>0</v>
      </c>
      <c r="AH73" s="7">
        <f t="shared" si="15"/>
        <v>24</v>
      </c>
      <c r="AI73" t="s">
        <v>499</v>
      </c>
      <c r="AJ73">
        <f>IF(AJ58&lt;10,AH64,AH65)</f>
        <v>15</v>
      </c>
    </row>
    <row r="74" spans="3:96" ht="15.6">
      <c r="C74" s="391" t="s">
        <v>395</v>
      </c>
      <c r="D74" s="266">
        <v>0</v>
      </c>
      <c r="E74" s="266">
        <v>0</v>
      </c>
      <c r="F74" s="266">
        <v>0</v>
      </c>
      <c r="G74" s="266">
        <v>0</v>
      </c>
      <c r="H74" s="266">
        <v>0</v>
      </c>
      <c r="I74" s="266">
        <v>0</v>
      </c>
      <c r="J74" s="266">
        <v>0</v>
      </c>
      <c r="K74" s="266">
        <v>0</v>
      </c>
      <c r="L74" s="266">
        <v>0</v>
      </c>
      <c r="M74" s="266">
        <v>0</v>
      </c>
      <c r="N74" s="266">
        <v>0</v>
      </c>
      <c r="O74" s="266">
        <v>0</v>
      </c>
      <c r="P74" s="266">
        <v>1</v>
      </c>
      <c r="Q74" s="266">
        <v>0</v>
      </c>
      <c r="R74" s="266">
        <v>0</v>
      </c>
      <c r="S74" s="266">
        <v>0</v>
      </c>
      <c r="T74" s="266">
        <v>0</v>
      </c>
      <c r="U74" s="266">
        <v>0</v>
      </c>
      <c r="V74" s="266">
        <v>0</v>
      </c>
      <c r="W74" s="266">
        <v>0</v>
      </c>
      <c r="X74" s="266">
        <v>0</v>
      </c>
      <c r="Y74" s="266">
        <v>0</v>
      </c>
      <c r="AH74" s="7">
        <f t="shared" si="15"/>
        <v>25</v>
      </c>
      <c r="AI74" t="s">
        <v>510</v>
      </c>
      <c r="AJ74" s="69"/>
      <c r="AK74" s="69"/>
      <c r="AL74" s="69">
        <v>1</v>
      </c>
      <c r="AM74" s="69"/>
      <c r="AN74" s="69"/>
      <c r="AO74" s="69">
        <v>1</v>
      </c>
      <c r="AP74" s="69">
        <v>1</v>
      </c>
      <c r="AQ74" s="69"/>
      <c r="AR74" s="69"/>
      <c r="AS74" s="69">
        <v>1</v>
      </c>
      <c r="AT74" s="69"/>
      <c r="AU74" s="69"/>
      <c r="AV74" s="69"/>
      <c r="AW74" s="69"/>
      <c r="AX74" s="69"/>
      <c r="AY74" s="69">
        <v>1</v>
      </c>
      <c r="AZ74" s="69"/>
      <c r="BA74" s="69"/>
      <c r="BB74" s="69"/>
      <c r="BC74" s="69"/>
      <c r="BD74" s="69">
        <v>1</v>
      </c>
      <c r="BE74" s="69">
        <v>1</v>
      </c>
      <c r="BF74" s="69"/>
      <c r="BG74" s="69">
        <v>1</v>
      </c>
      <c r="BH74" s="69"/>
      <c r="BI74" s="69"/>
      <c r="BJ74" s="69"/>
      <c r="BK74" s="213">
        <f>'User Add-in Location'!$B$6</f>
        <v>0</v>
      </c>
      <c r="BL74" s="213">
        <f>'User Add-in Location'!$B$6</f>
        <v>0</v>
      </c>
      <c r="BM74" s="69"/>
      <c r="BN74" s="69"/>
      <c r="BO74" s="69"/>
      <c r="BP74" s="69">
        <v>1</v>
      </c>
      <c r="BQ74" s="69"/>
      <c r="BR74" s="69">
        <v>1</v>
      </c>
      <c r="BS74" s="69"/>
      <c r="BT74" s="69"/>
      <c r="BU74" s="69"/>
      <c r="BV74" s="69"/>
      <c r="BW74" s="69"/>
      <c r="BX74" s="69"/>
      <c r="CG74" s="69">
        <v>1</v>
      </c>
      <c r="CH74" s="69"/>
      <c r="CI74" s="69"/>
      <c r="CJ74" s="69"/>
      <c r="CK74" s="69"/>
      <c r="CL74" s="69"/>
      <c r="CM74" s="69">
        <v>1</v>
      </c>
      <c r="CN74" s="69"/>
      <c r="CO74" s="69">
        <v>1</v>
      </c>
      <c r="CP74" s="69"/>
      <c r="CQ74" s="69">
        <v>1</v>
      </c>
      <c r="CR74" s="69">
        <v>1</v>
      </c>
    </row>
    <row r="75" spans="3:96" ht="15.6">
      <c r="C75" s="391" t="s">
        <v>396</v>
      </c>
      <c r="D75" s="266">
        <v>0</v>
      </c>
      <c r="E75" s="266">
        <v>0</v>
      </c>
      <c r="F75" s="266">
        <v>0</v>
      </c>
      <c r="G75" s="266">
        <v>0</v>
      </c>
      <c r="H75" s="266">
        <v>0</v>
      </c>
      <c r="I75" s="266">
        <v>0</v>
      </c>
      <c r="J75" s="266">
        <v>0</v>
      </c>
      <c r="K75" s="266">
        <v>0</v>
      </c>
      <c r="L75" s="266">
        <v>0</v>
      </c>
      <c r="M75" s="266">
        <v>0</v>
      </c>
      <c r="N75" s="266">
        <v>0</v>
      </c>
      <c r="O75" s="266">
        <v>0</v>
      </c>
      <c r="P75" s="266">
        <v>0</v>
      </c>
      <c r="Q75" s="266">
        <v>1</v>
      </c>
      <c r="R75" s="266">
        <v>0</v>
      </c>
      <c r="S75" s="266">
        <v>0</v>
      </c>
      <c r="T75" s="266">
        <v>0</v>
      </c>
      <c r="U75" s="266">
        <v>0</v>
      </c>
      <c r="V75" s="266">
        <v>0</v>
      </c>
      <c r="W75" s="266">
        <v>0</v>
      </c>
      <c r="X75" s="266">
        <v>0</v>
      </c>
      <c r="Y75" s="266">
        <v>0</v>
      </c>
      <c r="AE75" t="s">
        <v>511</v>
      </c>
      <c r="AH75" s="7">
        <f t="shared" si="15"/>
        <v>26</v>
      </c>
      <c r="AI75" t="s">
        <v>504</v>
      </c>
      <c r="AJ75" s="69"/>
      <c r="AK75" s="69"/>
      <c r="AL75" s="69">
        <v>1</v>
      </c>
      <c r="AM75" s="69"/>
      <c r="AN75" s="69"/>
      <c r="AO75" s="69">
        <v>1</v>
      </c>
      <c r="AP75" s="69">
        <v>1</v>
      </c>
      <c r="AQ75" s="69"/>
      <c r="AR75" s="69"/>
      <c r="AS75" s="69">
        <v>1</v>
      </c>
      <c r="AT75" s="69"/>
      <c r="AU75" s="69"/>
      <c r="AV75" s="69">
        <v>1</v>
      </c>
      <c r="AW75" s="69"/>
      <c r="AX75" s="69"/>
      <c r="AY75" s="69">
        <v>1</v>
      </c>
      <c r="AZ75" s="69"/>
      <c r="BA75" s="69">
        <v>1</v>
      </c>
      <c r="BB75" s="69"/>
      <c r="BC75" s="69"/>
      <c r="BD75" s="69">
        <v>1</v>
      </c>
      <c r="BE75" s="69"/>
      <c r="BF75" s="69"/>
      <c r="BG75" s="69">
        <v>1</v>
      </c>
      <c r="BH75" s="69"/>
      <c r="BI75" s="69"/>
      <c r="BJ75" s="69"/>
      <c r="BK75" s="213">
        <f>'User Add-in Location'!$B$6</f>
        <v>0</v>
      </c>
      <c r="BL75" s="213">
        <f>'User Add-in Location'!$B$6</f>
        <v>0</v>
      </c>
      <c r="BM75" s="69"/>
      <c r="BN75" s="69"/>
      <c r="BO75" s="69"/>
      <c r="BP75" s="69">
        <v>1</v>
      </c>
      <c r="BQ75" s="69"/>
      <c r="BR75" s="69">
        <v>1</v>
      </c>
      <c r="BS75" s="69"/>
      <c r="BT75" s="69"/>
      <c r="BU75" s="69">
        <v>1</v>
      </c>
      <c r="BV75" s="69"/>
      <c r="BW75" s="69"/>
      <c r="BX75" s="69"/>
      <c r="CG75" s="69">
        <v>1</v>
      </c>
      <c r="CH75" s="69"/>
      <c r="CI75" s="69"/>
      <c r="CL75" s="69">
        <v>1</v>
      </c>
      <c r="CM75" s="69">
        <v>1</v>
      </c>
      <c r="CN75" s="69"/>
      <c r="CO75" s="69">
        <v>1</v>
      </c>
      <c r="CP75" s="69"/>
      <c r="CQ75" s="69">
        <v>1</v>
      </c>
      <c r="CR75" s="69">
        <v>1</v>
      </c>
    </row>
    <row r="76" spans="3:96" ht="15.6">
      <c r="C76" s="391" t="s">
        <v>397</v>
      </c>
      <c r="D76" s="266">
        <v>0</v>
      </c>
      <c r="E76" s="266">
        <v>0</v>
      </c>
      <c r="F76" s="266">
        <v>0</v>
      </c>
      <c r="G76" s="266">
        <v>0</v>
      </c>
      <c r="H76" s="266">
        <v>0</v>
      </c>
      <c r="I76" s="266">
        <v>0</v>
      </c>
      <c r="J76" s="266">
        <v>0</v>
      </c>
      <c r="K76" s="266">
        <v>0</v>
      </c>
      <c r="L76" s="266">
        <v>0</v>
      </c>
      <c r="M76" s="266">
        <v>0</v>
      </c>
      <c r="N76" s="266">
        <v>0</v>
      </c>
      <c r="O76" s="266">
        <v>0</v>
      </c>
      <c r="P76" s="266">
        <v>0</v>
      </c>
      <c r="Q76" s="266">
        <v>0</v>
      </c>
      <c r="R76" s="266">
        <v>1</v>
      </c>
      <c r="S76" s="266">
        <v>0</v>
      </c>
      <c r="T76" s="266">
        <v>0</v>
      </c>
      <c r="U76" s="266">
        <v>0</v>
      </c>
      <c r="V76" s="266">
        <v>0</v>
      </c>
      <c r="W76" s="266">
        <v>0</v>
      </c>
      <c r="X76" s="266">
        <v>0</v>
      </c>
      <c r="Y76" s="266">
        <v>0</v>
      </c>
      <c r="AH76" s="7">
        <f t="shared" si="15"/>
        <v>27</v>
      </c>
      <c r="AI76" t="s">
        <v>506</v>
      </c>
      <c r="AL76" s="4">
        <v>1</v>
      </c>
      <c r="AO76" s="271">
        <v>1</v>
      </c>
      <c r="AP76" s="4">
        <v>1</v>
      </c>
      <c r="AS76" s="69">
        <v>1</v>
      </c>
      <c r="AV76" s="69"/>
      <c r="AY76" s="69">
        <v>1</v>
      </c>
      <c r="BC76" s="69"/>
      <c r="BD76" s="69">
        <v>1</v>
      </c>
      <c r="BG76" s="69">
        <v>1</v>
      </c>
      <c r="BK76" s="213">
        <f>'User Add-in Location'!$B$6</f>
        <v>0</v>
      </c>
      <c r="BL76" s="213">
        <f>'User Add-in Location'!$B$6</f>
        <v>0</v>
      </c>
      <c r="BM76" s="69"/>
      <c r="BU76" s="69">
        <v>1</v>
      </c>
      <c r="CG76" s="69">
        <v>1</v>
      </c>
      <c r="CL76" s="69">
        <v>1</v>
      </c>
      <c r="CM76" s="69">
        <v>1</v>
      </c>
      <c r="CN76" s="69"/>
      <c r="CO76" s="69">
        <v>1</v>
      </c>
      <c r="CP76" s="69"/>
      <c r="CQ76" s="69">
        <v>1</v>
      </c>
      <c r="CR76" s="69">
        <v>1</v>
      </c>
    </row>
    <row r="77" spans="3:96" ht="15.6">
      <c r="C77" s="391" t="s">
        <v>398</v>
      </c>
      <c r="D77" s="266">
        <v>0</v>
      </c>
      <c r="E77" s="266">
        <v>0</v>
      </c>
      <c r="F77" s="266">
        <v>0</v>
      </c>
      <c r="G77" s="266">
        <v>0</v>
      </c>
      <c r="H77" s="266">
        <v>0</v>
      </c>
      <c r="I77" s="266">
        <v>0</v>
      </c>
      <c r="J77" s="266">
        <v>0</v>
      </c>
      <c r="K77" s="266">
        <v>0</v>
      </c>
      <c r="L77" s="266">
        <v>0</v>
      </c>
      <c r="M77" s="266">
        <v>0</v>
      </c>
      <c r="N77" s="266">
        <v>0</v>
      </c>
      <c r="O77" s="266">
        <v>0</v>
      </c>
      <c r="P77" s="266">
        <v>4.2299999999999998E-4</v>
      </c>
      <c r="Q77" s="266">
        <v>0</v>
      </c>
      <c r="R77" s="266">
        <v>0</v>
      </c>
      <c r="S77" s="266">
        <v>0.99957700000000005</v>
      </c>
      <c r="T77" s="266">
        <v>0</v>
      </c>
      <c r="U77" s="266">
        <v>0</v>
      </c>
      <c r="V77" s="266">
        <v>0</v>
      </c>
      <c r="W77" s="266">
        <v>0</v>
      </c>
      <c r="X77" s="266">
        <v>0</v>
      </c>
      <c r="Y77" s="266">
        <v>0</v>
      </c>
      <c r="AI77" s="204" t="s">
        <v>512</v>
      </c>
      <c r="AJ77" s="69">
        <f>HLOOKUP(AJ$57,AJ$50:CR$76,AJ78)</f>
        <v>0</v>
      </c>
      <c r="AK77" s="20" t="s">
        <v>508</v>
      </c>
      <c r="AL77" s="69">
        <f>1-AJ77</f>
        <v>1</v>
      </c>
    </row>
    <row r="78" spans="3:96" ht="15.6">
      <c r="C78" s="391" t="s">
        <v>399</v>
      </c>
      <c r="D78" s="266">
        <v>0</v>
      </c>
      <c r="E78" s="266">
        <v>0</v>
      </c>
      <c r="F78" s="266">
        <v>0</v>
      </c>
      <c r="G78" s="266">
        <v>0</v>
      </c>
      <c r="H78" s="266">
        <v>0</v>
      </c>
      <c r="I78" s="266">
        <v>0</v>
      </c>
      <c r="J78" s="266">
        <v>0</v>
      </c>
      <c r="K78" s="266">
        <v>0</v>
      </c>
      <c r="L78" s="266">
        <v>0</v>
      </c>
      <c r="M78" s="266">
        <v>0</v>
      </c>
      <c r="N78" s="266">
        <v>0</v>
      </c>
      <c r="O78" s="266">
        <v>0</v>
      </c>
      <c r="P78" s="266">
        <v>0</v>
      </c>
      <c r="Q78" s="266">
        <v>0</v>
      </c>
      <c r="R78" s="266">
        <v>0</v>
      </c>
      <c r="S78" s="266">
        <v>0</v>
      </c>
      <c r="T78" s="266">
        <v>1</v>
      </c>
      <c r="U78" s="266">
        <v>0</v>
      </c>
      <c r="V78" s="266">
        <v>0</v>
      </c>
      <c r="W78" s="266">
        <v>0</v>
      </c>
      <c r="X78" s="266">
        <v>0</v>
      </c>
      <c r="Y78" s="266">
        <v>0</v>
      </c>
      <c r="AI78" s="178" t="s">
        <v>499</v>
      </c>
      <c r="AJ78">
        <f>IF(AJ$58&lt;10,AH74,IF(AJ$58&lt;100,AH75,AH76))</f>
        <v>25</v>
      </c>
    </row>
    <row r="79" spans="3:96" ht="15.6">
      <c r="C79" s="391" t="s">
        <v>400</v>
      </c>
      <c r="D79" s="266">
        <v>0</v>
      </c>
      <c r="E79" s="266">
        <v>0</v>
      </c>
      <c r="F79" s="266">
        <v>0</v>
      </c>
      <c r="G79" s="266">
        <v>0</v>
      </c>
      <c r="H79" s="266">
        <v>0</v>
      </c>
      <c r="I79" s="266">
        <v>0</v>
      </c>
      <c r="J79" s="266">
        <v>0</v>
      </c>
      <c r="K79" s="266">
        <v>0</v>
      </c>
      <c r="L79" s="266">
        <v>0</v>
      </c>
      <c r="M79" s="266">
        <v>0</v>
      </c>
      <c r="N79" s="266">
        <v>0</v>
      </c>
      <c r="O79" s="266">
        <v>0</v>
      </c>
      <c r="P79" s="266">
        <v>0</v>
      </c>
      <c r="Q79" s="266">
        <v>0</v>
      </c>
      <c r="R79" s="266">
        <v>0</v>
      </c>
      <c r="S79" s="266">
        <v>0</v>
      </c>
      <c r="T79" s="266">
        <v>0</v>
      </c>
      <c r="U79" s="266">
        <v>1</v>
      </c>
      <c r="V79" s="266">
        <v>0</v>
      </c>
      <c r="W79" s="266">
        <v>0</v>
      </c>
      <c r="X79" s="266">
        <v>0</v>
      </c>
      <c r="Y79" s="266">
        <v>0</v>
      </c>
    </row>
    <row r="80" spans="3:96" ht="15.6">
      <c r="C80" s="391" t="s">
        <v>401</v>
      </c>
      <c r="D80" s="266">
        <v>0</v>
      </c>
      <c r="E80" s="266">
        <v>0</v>
      </c>
      <c r="F80" s="266">
        <v>0</v>
      </c>
      <c r="G80" s="266">
        <v>0</v>
      </c>
      <c r="H80" s="266">
        <v>0</v>
      </c>
      <c r="I80" s="266">
        <v>0</v>
      </c>
      <c r="J80" s="266">
        <v>0</v>
      </c>
      <c r="K80" s="266">
        <v>0</v>
      </c>
      <c r="L80" s="266">
        <v>0</v>
      </c>
      <c r="M80" s="266">
        <v>0</v>
      </c>
      <c r="N80" s="266">
        <v>0</v>
      </c>
      <c r="O80" s="266">
        <v>0</v>
      </c>
      <c r="P80" s="266">
        <v>0</v>
      </c>
      <c r="Q80" s="266">
        <v>0</v>
      </c>
      <c r="R80" s="266">
        <v>0</v>
      </c>
      <c r="S80" s="266">
        <v>0</v>
      </c>
      <c r="T80" s="266">
        <v>0</v>
      </c>
      <c r="U80" s="266">
        <v>0</v>
      </c>
      <c r="V80" s="266">
        <v>1</v>
      </c>
      <c r="W80" s="266">
        <v>0</v>
      </c>
      <c r="X80" s="266">
        <v>0</v>
      </c>
      <c r="Y80" s="266">
        <v>0</v>
      </c>
    </row>
    <row r="81" spans="3:28" ht="15.6">
      <c r="C81" s="391" t="s">
        <v>402</v>
      </c>
      <c r="D81" s="266">
        <v>0</v>
      </c>
      <c r="E81" s="266">
        <v>0</v>
      </c>
      <c r="F81" s="266">
        <v>0</v>
      </c>
      <c r="G81" s="266">
        <v>0</v>
      </c>
      <c r="H81" s="266">
        <v>0</v>
      </c>
      <c r="I81" s="266">
        <v>0</v>
      </c>
      <c r="J81" s="266">
        <v>0</v>
      </c>
      <c r="K81" s="266">
        <v>0</v>
      </c>
      <c r="L81" s="266">
        <v>0</v>
      </c>
      <c r="M81" s="266">
        <v>0</v>
      </c>
      <c r="N81" s="266">
        <v>0</v>
      </c>
      <c r="O81" s="266">
        <v>0.20174600000000001</v>
      </c>
      <c r="P81" s="266">
        <v>1.8610999999999999E-2</v>
      </c>
      <c r="Q81" s="266">
        <v>2.5811000000000001E-2</v>
      </c>
      <c r="R81" s="266">
        <v>0</v>
      </c>
      <c r="S81" s="266">
        <v>0</v>
      </c>
      <c r="T81" s="266">
        <v>0</v>
      </c>
      <c r="U81" s="266">
        <v>0</v>
      </c>
      <c r="V81" s="266">
        <v>0</v>
      </c>
      <c r="W81" s="266">
        <v>0.75383199999999995</v>
      </c>
      <c r="X81" s="266">
        <v>0</v>
      </c>
      <c r="Y81" s="266">
        <v>0</v>
      </c>
    </row>
    <row r="82" spans="3:28" ht="15.6">
      <c r="C82" s="391" t="s">
        <v>403</v>
      </c>
      <c r="D82" s="266">
        <v>0</v>
      </c>
      <c r="E82" s="266">
        <v>0</v>
      </c>
      <c r="F82" s="266">
        <v>0</v>
      </c>
      <c r="G82" s="266">
        <v>0</v>
      </c>
      <c r="H82" s="266">
        <v>0</v>
      </c>
      <c r="I82" s="266">
        <v>0</v>
      </c>
      <c r="J82" s="266">
        <v>0</v>
      </c>
      <c r="K82" s="266">
        <v>0</v>
      </c>
      <c r="L82" s="266">
        <v>0</v>
      </c>
      <c r="M82" s="266">
        <v>0</v>
      </c>
      <c r="N82" s="266">
        <v>0</v>
      </c>
      <c r="O82" s="266">
        <v>0</v>
      </c>
      <c r="P82" s="266">
        <v>5.6099000000000003E-2</v>
      </c>
      <c r="Q82" s="266">
        <v>0</v>
      </c>
      <c r="R82" s="266">
        <v>0</v>
      </c>
      <c r="S82" s="266">
        <v>0</v>
      </c>
      <c r="T82" s="266">
        <v>0</v>
      </c>
      <c r="U82" s="266">
        <v>0</v>
      </c>
      <c r="V82" s="266">
        <v>0</v>
      </c>
      <c r="W82" s="266">
        <v>0</v>
      </c>
      <c r="X82" s="266">
        <v>0.94390099999999999</v>
      </c>
      <c r="Y82" s="266">
        <v>0</v>
      </c>
    </row>
    <row r="83" spans="3:28" ht="15.6">
      <c r="C83" s="391" t="s">
        <v>404</v>
      </c>
      <c r="D83" s="266">
        <v>0</v>
      </c>
      <c r="E83" s="266">
        <v>0</v>
      </c>
      <c r="F83" s="266">
        <v>0</v>
      </c>
      <c r="G83" s="266">
        <v>0</v>
      </c>
      <c r="H83" s="266">
        <v>0</v>
      </c>
      <c r="I83" s="266">
        <v>0</v>
      </c>
      <c r="J83" s="266">
        <v>0</v>
      </c>
      <c r="K83" s="266">
        <v>0</v>
      </c>
      <c r="L83" s="266">
        <v>0</v>
      </c>
      <c r="M83" s="266">
        <v>0</v>
      </c>
      <c r="N83" s="266">
        <v>0</v>
      </c>
      <c r="O83" s="266">
        <v>0.10527400000000001</v>
      </c>
      <c r="P83" s="266">
        <v>0</v>
      </c>
      <c r="Q83" s="266">
        <v>1.0964E-2</v>
      </c>
      <c r="R83" s="266">
        <v>0</v>
      </c>
      <c r="S83" s="266">
        <v>0</v>
      </c>
      <c r="T83" s="266">
        <v>0</v>
      </c>
      <c r="U83" s="266">
        <v>0</v>
      </c>
      <c r="V83" s="266">
        <v>0</v>
      </c>
      <c r="W83" s="266">
        <v>0</v>
      </c>
      <c r="X83" s="266">
        <v>0</v>
      </c>
      <c r="Y83" s="266">
        <v>0.88376200000000005</v>
      </c>
    </row>
    <row r="84" spans="3:28">
      <c r="P84" s="265"/>
      <c r="Q84" s="265"/>
    </row>
    <row r="85" spans="3:28" ht="15">
      <c r="D85" s="356"/>
      <c r="E85" s="356"/>
      <c r="F85" s="356"/>
      <c r="G85" s="356"/>
      <c r="H85" s="356"/>
      <c r="I85" s="356"/>
      <c r="J85" s="356"/>
      <c r="K85" s="356"/>
      <c r="L85" s="356"/>
      <c r="M85" s="356"/>
      <c r="N85" s="356"/>
      <c r="O85" s="356"/>
      <c r="P85" s="356"/>
      <c r="Q85" s="356"/>
      <c r="R85" s="356"/>
      <c r="S85" s="356"/>
      <c r="T85" s="356"/>
      <c r="U85" s="356"/>
      <c r="V85" s="356"/>
      <c r="W85" s="356"/>
      <c r="X85" s="356"/>
      <c r="Y85" s="422"/>
      <c r="Z85" s="422"/>
      <c r="AA85" s="422"/>
      <c r="AB85" s="422"/>
    </row>
    <row r="86" spans="3:28">
      <c r="P86" s="265"/>
      <c r="Q86" s="265"/>
    </row>
    <row r="87" spans="3:28">
      <c r="P87" s="265"/>
      <c r="Q87" s="265"/>
    </row>
    <row r="88" spans="3:28">
      <c r="P88" s="68"/>
      <c r="Q88" s="68"/>
    </row>
    <row r="89" spans="3:28">
      <c r="P89" s="68"/>
      <c r="Q89" s="68"/>
    </row>
    <row r="90" spans="3:28">
      <c r="P90" s="68"/>
      <c r="Q90" s="68"/>
    </row>
    <row r="91" spans="3:28">
      <c r="P91" s="68"/>
      <c r="Q91" s="68"/>
    </row>
    <row r="92" spans="3:28">
      <c r="P92" s="68"/>
      <c r="Q92" s="68"/>
    </row>
    <row r="93" spans="3:28">
      <c r="P93" s="68"/>
      <c r="Q93" s="68"/>
    </row>
    <row r="94" spans="3:28">
      <c r="P94" s="68"/>
      <c r="Q94" s="68"/>
    </row>
    <row r="95" spans="3:28">
      <c r="P95" s="68"/>
      <c r="Q95" s="68"/>
    </row>
    <row r="96" spans="3:28">
      <c r="P96" s="68"/>
      <c r="Q96" s="68"/>
    </row>
    <row r="97" spans="16:17">
      <c r="P97" s="68"/>
      <c r="Q97" s="68"/>
    </row>
    <row r="98" spans="16:17">
      <c r="P98" s="68"/>
      <c r="Q98" s="68"/>
    </row>
    <row r="99" spans="16:17">
      <c r="P99" s="68"/>
      <c r="Q99" s="68"/>
    </row>
  </sheetData>
  <sheetProtection algorithmName="SHA-512" hashValue="oqJ0c61SgQHz3S48yT4LwngD5FZeDVyRHEIKPQoJYp8qNZnpaRa4T95+tZuETKwdczQ7ziwwq7ARhPPUsOsM/Q==" saltValue="WLhHIH1oQHmvgV2sGC/ptw==" spinCount="100000" sheet="1" objects="1" scenarios="1"/>
  <customSheetViews>
    <customSheetView guid="{55B80D82-F000-11D6-8735-C8E5A357943D}" showRuler="0" topLeftCell="A56">
      <selection activeCell="B65" sqref="B65"/>
      <pageMargins left="0" right="0" top="0" bottom="0" header="0" footer="0"/>
      <headerFooter alignWithMargins="0"/>
    </customSheetView>
  </customSheetViews>
  <mergeCells count="1">
    <mergeCell ref="Y85:AB85"/>
  </mergeCells>
  <phoneticPr fontId="0" type="noConversion"/>
  <pageMargins left="0.75" right="0.75" top="1" bottom="1" header="0.5" footer="0.5"/>
  <pageSetup orientation="portrait" horizontalDpi="4294967293" verticalDpi="300"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AQ249"/>
  <sheetViews>
    <sheetView topLeftCell="J15" workbookViewId="0">
      <selection activeCell="D50" sqref="D50"/>
    </sheetView>
  </sheetViews>
  <sheetFormatPr defaultColWidth="8.88671875" defaultRowHeight="13.2"/>
  <cols>
    <col min="1" max="1" width="206.88671875" style="178" customWidth="1"/>
    <col min="2" max="2" width="36" customWidth="1"/>
    <col min="3" max="3" width="41.109375" customWidth="1"/>
    <col min="4" max="4" width="13.88671875" customWidth="1"/>
    <col min="5" max="5" width="17" customWidth="1"/>
    <col min="6" max="6" width="19.109375" customWidth="1"/>
    <col min="7" max="7" width="15.6640625" customWidth="1"/>
    <col min="8" max="8" width="16.33203125" customWidth="1"/>
    <col min="9" max="9" width="13.33203125" customWidth="1"/>
    <col min="10" max="10" width="13.88671875" customWidth="1"/>
    <col min="11" max="11" width="16.33203125" customWidth="1"/>
    <col min="12" max="12" width="13.88671875" customWidth="1"/>
    <col min="14" max="14" width="14" bestFit="1" customWidth="1"/>
    <col min="15" max="15" width="11.33203125" bestFit="1" customWidth="1"/>
    <col min="16" max="16" width="12.33203125" bestFit="1" customWidth="1"/>
    <col min="17" max="17" width="7.44140625" customWidth="1"/>
    <col min="18" max="18" width="11.6640625" bestFit="1" customWidth="1"/>
    <col min="21" max="21" width="10.109375" bestFit="1" customWidth="1"/>
    <col min="23" max="23" width="22.109375" customWidth="1"/>
    <col min="24" max="24" width="10.109375" bestFit="1" customWidth="1"/>
    <col min="25" max="26" width="10.109375" customWidth="1"/>
    <col min="27" max="27" width="11.6640625" bestFit="1" customWidth="1"/>
    <col min="28" max="28" width="51.33203125" customWidth="1"/>
    <col min="29" max="30" width="20" customWidth="1"/>
    <col min="31" max="31" width="13.44140625" bestFit="1" customWidth="1"/>
    <col min="32" max="32" width="11.109375" customWidth="1"/>
    <col min="33" max="33" width="72.44140625" customWidth="1"/>
    <col min="34" max="34" width="11.109375" customWidth="1"/>
    <col min="35" max="35" width="11.109375" bestFit="1" customWidth="1"/>
    <col min="36" max="36" width="12.33203125" customWidth="1"/>
    <col min="38" max="38" width="30.33203125" customWidth="1"/>
  </cols>
  <sheetData>
    <row r="1" spans="1:35">
      <c r="A1" s="174"/>
      <c r="B1" s="337"/>
      <c r="C1" s="1" t="s">
        <v>513</v>
      </c>
      <c r="D1" s="1"/>
      <c r="E1" s="8" t="str">
        <f>ProjectData!B12</f>
        <v>UNITED STATES</v>
      </c>
      <c r="F1" s="1" t="str">
        <f>Project_Data</f>
        <v>Photovoltaic Project Data</v>
      </c>
      <c r="G1" s="1"/>
      <c r="I1" s="8"/>
      <c r="J1" s="8"/>
      <c r="K1" s="8"/>
    </row>
    <row r="2" spans="1:35">
      <c r="A2" s="174"/>
      <c r="B2" s="337"/>
      <c r="C2" s="1"/>
      <c r="D2" s="1"/>
      <c r="E2" s="1"/>
      <c r="F2" s="1"/>
      <c r="G2" s="1"/>
      <c r="H2" s="8"/>
      <c r="I2" s="8"/>
      <c r="J2" s="8"/>
      <c r="K2" s="8"/>
    </row>
    <row r="3" spans="1:35" ht="15.6">
      <c r="A3" s="174"/>
      <c r="B3" s="337"/>
      <c r="C3" s="3"/>
      <c r="I3" s="8" t="s">
        <v>126</v>
      </c>
      <c r="AB3" s="59" t="s">
        <v>335</v>
      </c>
      <c r="AC3" s="8" t="str">
        <f>IF(ProjectData!B$12="MyCounty",'User Add-in Location'!B$3,IF(ProjectData!B$12="MyRegion",'User Add-in Location'!B4,ProjectData!B$12))</f>
        <v>UNITED STATES</v>
      </c>
      <c r="AD3" s="85">
        <f>ProjectData!_xlnm.Print_Area</f>
        <v>2024</v>
      </c>
      <c r="AE3" s="85"/>
    </row>
    <row r="4" spans="1:35">
      <c r="A4" s="174"/>
      <c r="B4" s="337"/>
      <c r="C4" s="13" t="s">
        <v>514</v>
      </c>
      <c r="F4" s="8" t="s">
        <v>126</v>
      </c>
      <c r="I4" s="8" t="s">
        <v>464</v>
      </c>
      <c r="W4" s="3"/>
      <c r="X4" s="5"/>
      <c r="Y4" s="5"/>
      <c r="Z4" s="5"/>
      <c r="AA4" s="5"/>
      <c r="AE4" s="163" t="s">
        <v>126</v>
      </c>
      <c r="AF4" s="5"/>
      <c r="AG4" s="5"/>
      <c r="AH4" s="5"/>
      <c r="AI4" s="5"/>
    </row>
    <row r="5" spans="1:35" ht="22.8">
      <c r="A5" s="175" t="s">
        <v>423</v>
      </c>
      <c r="B5" s="337"/>
      <c r="C5" s="1" t="str">
        <f>DefaultData!C14</f>
        <v>Installation Costs</v>
      </c>
      <c r="D5" s="8" t="s">
        <v>122</v>
      </c>
      <c r="E5" s="25" t="s">
        <v>136</v>
      </c>
      <c r="F5" s="8" t="s">
        <v>464</v>
      </c>
      <c r="G5" s="13" t="s">
        <v>515</v>
      </c>
      <c r="H5" s="1" t="s">
        <v>516</v>
      </c>
      <c r="I5" s="8" t="s">
        <v>517</v>
      </c>
      <c r="J5" s="8" t="s">
        <v>518</v>
      </c>
      <c r="W5" s="3"/>
      <c r="X5" s="5"/>
      <c r="Y5" s="5"/>
      <c r="Z5" s="5"/>
      <c r="AA5" s="5"/>
      <c r="AB5" s="13" t="s">
        <v>519</v>
      </c>
      <c r="AC5" s="8" t="s">
        <v>122</v>
      </c>
      <c r="AD5" s="8" t="s">
        <v>136</v>
      </c>
      <c r="AE5" s="8" t="s">
        <v>464</v>
      </c>
      <c r="AF5" s="5"/>
      <c r="AG5" s="5"/>
      <c r="AH5" s="5"/>
      <c r="AI5" s="5"/>
    </row>
    <row r="6" spans="1:35">
      <c r="A6" s="174"/>
      <c r="B6" s="337"/>
      <c r="C6" s="1" t="str">
        <f>DefaultData!C15</f>
        <v xml:space="preserve">  Materials &amp; Equipment</v>
      </c>
      <c r="D6" s="6"/>
      <c r="E6" s="4"/>
      <c r="I6" s="7" t="s">
        <v>117</v>
      </c>
      <c r="J6" s="7" t="s">
        <v>115</v>
      </c>
      <c r="W6" s="3"/>
      <c r="X6" s="5"/>
      <c r="Y6" s="5"/>
      <c r="Z6" s="5"/>
      <c r="AA6" s="5"/>
      <c r="AB6" s="1" t="str">
        <f>C6</f>
        <v xml:space="preserve">  Materials &amp; Equipment</v>
      </c>
      <c r="AC6" s="9"/>
      <c r="AD6" s="9"/>
      <c r="AE6" s="9"/>
      <c r="AF6" s="5"/>
      <c r="AG6" s="5"/>
      <c r="AH6" s="5"/>
      <c r="AI6" s="5"/>
    </row>
    <row r="7" spans="1:35" ht="15.6">
      <c r="A7" s="176" t="s">
        <v>424</v>
      </c>
      <c r="B7" s="337"/>
      <c r="C7" s="290" t="str">
        <f>DefaultData!C16</f>
        <v xml:space="preserve">    Mounting (rails, clamps, fittings, etc.)</v>
      </c>
      <c r="D7" s="5">
        <f>IF(ProjectData!$B$26="y",DefaultData!D16,ProjectData!B33)</f>
        <v>95726.004978933503</v>
      </c>
      <c r="E7" s="4">
        <f>IF(ProjectData!$B$26="y",ProjectData!T33,ProjectData!E33)</f>
        <v>1</v>
      </c>
      <c r="F7" s="11" t="str">
        <f>IF(ProjectData!$B$26="y",DefaultData!AH17,ProjectData!F33)</f>
        <v>N</v>
      </c>
      <c r="G7" s="5">
        <f>IF(F7="y",J7,I7)</f>
        <v>19145.200995786698</v>
      </c>
      <c r="H7" s="69">
        <f>IF(ProjectData!B$15="Utility",0,0.8)</f>
        <v>0.8</v>
      </c>
      <c r="I7" s="5">
        <f>IF(ProjectData!B$15="Utility",0,IF(F7="N",D7*E7*(1-H7),))</f>
        <v>19145.200995786698</v>
      </c>
      <c r="J7" s="5">
        <f>IF(F7="Y",D7*E7,)</f>
        <v>0</v>
      </c>
      <c r="W7" s="3"/>
      <c r="X7" s="5"/>
      <c r="Y7" s="5"/>
      <c r="Z7" s="5"/>
      <c r="AA7" s="5"/>
      <c r="AB7" s="290" t="str">
        <f t="shared" ref="AB7:AB20" si="0">C7</f>
        <v xml:space="preserve">    Mounting (rails, clamps, fittings, etc.)</v>
      </c>
      <c r="AC7" s="5">
        <f t="shared" ref="AC7:AE10" si="1">D7</f>
        <v>95726.004978933503</v>
      </c>
      <c r="AD7" s="71">
        <f t="shared" si="1"/>
        <v>1</v>
      </c>
      <c r="AE7" s="71" t="str">
        <f t="shared" si="1"/>
        <v>N</v>
      </c>
      <c r="AF7" s="5"/>
      <c r="AG7" s="5"/>
      <c r="AH7" s="5"/>
      <c r="AI7" s="5"/>
    </row>
    <row r="8" spans="1:35" ht="15">
      <c r="A8" s="177"/>
      <c r="B8" s="337"/>
      <c r="C8" s="290" t="str">
        <f>DefaultData!C17</f>
        <v xml:space="preserve">    Modules</v>
      </c>
      <c r="D8" s="5">
        <f>IF(ProjectData!$B$26="y",DefaultData!D17,ProjectData!B34)</f>
        <v>304582.74311478843</v>
      </c>
      <c r="E8" s="4">
        <f>IF(ProjectData!$B$26="y",ProjectData!T34,ProjectData!E34)</f>
        <v>1</v>
      </c>
      <c r="F8" s="11" t="str">
        <f>IF(ProjectData!$B$26="y",DefaultData!AH18,ProjectData!F34)</f>
        <v>N</v>
      </c>
      <c r="G8" s="5">
        <f>IF(F8="y",J8,I8)</f>
        <v>60916.548622957671</v>
      </c>
      <c r="H8" s="69">
        <f>IF(ProjectData!B$15="Utility",0,0.8)</f>
        <v>0.8</v>
      </c>
      <c r="I8" s="5">
        <f>IF(ProjectData!B$15="Utility",0,IF(F8="N",D8*E8*(1-H8),))</f>
        <v>60916.548622957671</v>
      </c>
      <c r="J8" s="5">
        <f>IF(F8="Y",D8*E8,)</f>
        <v>0</v>
      </c>
      <c r="W8" s="3"/>
      <c r="X8" s="5"/>
      <c r="Y8" s="5"/>
      <c r="Z8" s="5"/>
      <c r="AA8" s="5"/>
      <c r="AB8" s="290" t="str">
        <f t="shared" si="0"/>
        <v xml:space="preserve">    Modules</v>
      </c>
      <c r="AC8" s="5">
        <f t="shared" si="1"/>
        <v>304582.74311478843</v>
      </c>
      <c r="AD8" s="71">
        <f t="shared" si="1"/>
        <v>1</v>
      </c>
      <c r="AE8" s="71" t="str">
        <f t="shared" si="1"/>
        <v>N</v>
      </c>
      <c r="AF8" s="5"/>
      <c r="AG8" s="5"/>
      <c r="AH8" s="5"/>
      <c r="AI8" s="5"/>
    </row>
    <row r="9" spans="1:35" ht="15.6">
      <c r="A9" s="176" t="s">
        <v>428</v>
      </c>
      <c r="B9" s="337"/>
      <c r="C9" s="290" t="str">
        <f>DefaultData!C18</f>
        <v xml:space="preserve">    Electrical (wire, connectors, breakers, etc.)</v>
      </c>
      <c r="D9" s="5">
        <f>IF(ProjectData!$B$26="y",DefaultData!D18,ProjectData!B35)</f>
        <v>208856.73813585489</v>
      </c>
      <c r="E9" s="4">
        <f>IF(ProjectData!$B$26="y",ProjectData!T35,ProjectData!E35)</f>
        <v>1</v>
      </c>
      <c r="F9" s="11" t="str">
        <f>IF(ProjectData!$B$26="y",DefaultData!AH19,ProjectData!F35)</f>
        <v>N</v>
      </c>
      <c r="G9" s="5">
        <f>IF(F9="y",J9,I9)</f>
        <v>41771.347627170966</v>
      </c>
      <c r="H9" s="69">
        <f>IF(ProjectData!B$15="Utility",0,0.8)</f>
        <v>0.8</v>
      </c>
      <c r="I9" s="5">
        <f>IF(ProjectData!B$15="Utility",0,IF(F9="N",D9*E9*(1-H9),))</f>
        <v>41771.347627170966</v>
      </c>
      <c r="J9" s="5">
        <f>IF(F9="Y",D9*E9,)</f>
        <v>0</v>
      </c>
      <c r="W9" s="3"/>
      <c r="X9" s="5"/>
      <c r="Y9" s="5"/>
      <c r="Z9" s="5"/>
      <c r="AA9" s="5"/>
      <c r="AB9" s="290" t="str">
        <f t="shared" si="0"/>
        <v xml:space="preserve">    Electrical (wire, connectors, breakers, etc.)</v>
      </c>
      <c r="AC9" s="5">
        <f t="shared" si="1"/>
        <v>208856.73813585489</v>
      </c>
      <c r="AD9" s="71">
        <f t="shared" si="1"/>
        <v>1</v>
      </c>
      <c r="AE9" s="71" t="str">
        <f t="shared" si="1"/>
        <v>N</v>
      </c>
      <c r="AF9" s="5"/>
      <c r="AG9" s="5"/>
      <c r="AH9" s="5"/>
      <c r="AI9" s="5"/>
    </row>
    <row r="10" spans="1:35">
      <c r="A10" s="174"/>
      <c r="B10" s="337"/>
      <c r="C10" s="290" t="str">
        <f>DefaultData!C19</f>
        <v xml:space="preserve">    Inverter</v>
      </c>
      <c r="D10" s="5">
        <f>IF(ProjectData!$B$26="y",DefaultData!D19,ProjectData!B36)</f>
        <v>165344.91769088514</v>
      </c>
      <c r="E10" s="4">
        <f>IF(ProjectData!$B$26="y",ProjectData!T36,ProjectData!E36)</f>
        <v>1</v>
      </c>
      <c r="F10" s="11" t="str">
        <f>IF(ProjectData!$B$26="y",DefaultData!AH20,ProjectData!F36)</f>
        <v>N</v>
      </c>
      <c r="G10" s="5">
        <f>IF(F10="y",J10,I10)</f>
        <v>33068.983538177017</v>
      </c>
      <c r="H10" s="69">
        <f>IF(ProjectData!B$15="Utility",0,0.8)</f>
        <v>0.8</v>
      </c>
      <c r="I10" s="5">
        <f>IF(ProjectData!B$15="Utility",0,IF(F10="N",D10*E10*(1-H10),))</f>
        <v>33068.983538177017</v>
      </c>
      <c r="J10" s="5">
        <f>IF(F10="Y",D10*E10,)</f>
        <v>0</v>
      </c>
      <c r="W10" s="3"/>
      <c r="X10" s="5"/>
      <c r="Y10" s="5"/>
      <c r="Z10" s="5"/>
      <c r="AA10" s="5"/>
      <c r="AB10" s="290" t="str">
        <f t="shared" si="0"/>
        <v xml:space="preserve">    Inverter</v>
      </c>
      <c r="AC10" s="5">
        <f t="shared" si="1"/>
        <v>165344.91769088514</v>
      </c>
      <c r="AD10" s="71">
        <f t="shared" si="1"/>
        <v>1</v>
      </c>
      <c r="AE10" s="71" t="str">
        <f t="shared" si="1"/>
        <v>N</v>
      </c>
      <c r="AF10" s="5"/>
      <c r="AG10" s="5"/>
      <c r="AH10" s="5"/>
      <c r="AI10" s="5"/>
    </row>
    <row r="11" spans="1:35" ht="15.6">
      <c r="A11" s="176" t="s">
        <v>454</v>
      </c>
      <c r="B11" s="337"/>
      <c r="C11" s="290" t="str">
        <f>DefaultData!C20</f>
        <v xml:space="preserve">    Subtotal</v>
      </c>
      <c r="D11" s="5">
        <f>SUM(D7:D10)</f>
        <v>774510.40392046201</v>
      </c>
      <c r="E11" s="4"/>
      <c r="G11" s="5">
        <f>SUM(G7:G10)</f>
        <v>154902.08078409234</v>
      </c>
      <c r="I11" s="5">
        <f>SUM(I7:I10)</f>
        <v>154902.08078409234</v>
      </c>
      <c r="J11" s="5">
        <f>SUM(J7:J10)</f>
        <v>0</v>
      </c>
      <c r="W11" s="3"/>
      <c r="X11" s="5"/>
      <c r="Y11" s="5"/>
      <c r="Z11" s="5"/>
      <c r="AA11" s="5"/>
      <c r="AB11" s="290" t="str">
        <f t="shared" si="0"/>
        <v xml:space="preserve">    Subtotal</v>
      </c>
      <c r="AC11" s="5">
        <f>D11</f>
        <v>774510.40392046201</v>
      </c>
      <c r="AD11" s="71"/>
      <c r="AE11" s="71"/>
      <c r="AF11" s="6"/>
      <c r="AG11" s="6"/>
      <c r="AH11" s="6"/>
      <c r="AI11" s="6"/>
    </row>
    <row r="12" spans="1:35">
      <c r="A12" s="174"/>
      <c r="B12" s="337"/>
      <c r="C12" s="1" t="str">
        <f>DefaultData!C21</f>
        <v xml:space="preserve">  Labor</v>
      </c>
      <c r="D12" s="5"/>
      <c r="E12" s="4"/>
      <c r="G12" s="5"/>
      <c r="AB12" s="1" t="str">
        <f t="shared" si="0"/>
        <v xml:space="preserve">  Labor</v>
      </c>
      <c r="AC12" s="5"/>
      <c r="AD12" s="71"/>
      <c r="AE12" s="71"/>
    </row>
    <row r="13" spans="1:35">
      <c r="A13" s="174"/>
      <c r="B13" s="337"/>
      <c r="C13" s="290" t="str">
        <f>DefaultData!C22</f>
        <v xml:space="preserve">    Installation</v>
      </c>
      <c r="D13" s="5">
        <f>IF(ProjectData!$B$26="y",DefaultData!D22,ProjectData!B39)</f>
        <v>261070.92266981862</v>
      </c>
      <c r="E13" s="4">
        <f>IF(ProjectData!$B$26="y",ProjectData!T39,ProjectData!E39)</f>
        <v>1</v>
      </c>
      <c r="G13" s="5">
        <f>+E13*D13</f>
        <v>261070.92266981862</v>
      </c>
      <c r="AB13" s="290" t="str">
        <f t="shared" si="0"/>
        <v xml:space="preserve">    Installation</v>
      </c>
      <c r="AC13" s="5">
        <f t="shared" ref="AC13:AD15" si="2">D13</f>
        <v>261070.92266981862</v>
      </c>
      <c r="AD13" s="71">
        <f t="shared" si="2"/>
        <v>1</v>
      </c>
      <c r="AE13" s="71"/>
    </row>
    <row r="14" spans="1:35">
      <c r="A14" s="174"/>
      <c r="B14" s="337"/>
      <c r="C14" s="290" t="str">
        <f>DefaultData!C23</f>
        <v xml:space="preserve">    Subtotal</v>
      </c>
      <c r="D14" s="5">
        <f>IF(ProjectData!$B$26="y",DefaultData!D23,ProjectData!B40)</f>
        <v>261070.92266981862</v>
      </c>
      <c r="E14" s="4"/>
      <c r="G14" s="5">
        <f>G13</f>
        <v>261070.92266981862</v>
      </c>
      <c r="AB14" s="290" t="str">
        <f t="shared" si="0"/>
        <v xml:space="preserve">    Subtotal</v>
      </c>
      <c r="AC14" s="5">
        <f t="shared" si="2"/>
        <v>261070.92266981862</v>
      </c>
      <c r="AD14" s="71">
        <f t="shared" si="2"/>
        <v>0</v>
      </c>
      <c r="AE14" s="71"/>
    </row>
    <row r="15" spans="1:35">
      <c r="A15" s="174"/>
      <c r="B15" s="337"/>
      <c r="C15" s="290" t="str">
        <f>DefaultData!C24</f>
        <v xml:space="preserve">  Total</v>
      </c>
      <c r="D15" s="5">
        <f>IF(ProjectData!$B$26="y",DefaultData!D24,ProjectData!B41)</f>
        <v>1035581.3265902806</v>
      </c>
      <c r="E15" s="4"/>
      <c r="G15" s="5">
        <f>G14+G11</f>
        <v>415973.00345391093</v>
      </c>
      <c r="AB15" s="290" t="str">
        <f t="shared" si="0"/>
        <v xml:space="preserve">  Total</v>
      </c>
      <c r="AC15" s="5">
        <f t="shared" si="2"/>
        <v>1035581.3265902806</v>
      </c>
      <c r="AD15" s="71">
        <f t="shared" si="2"/>
        <v>0</v>
      </c>
      <c r="AE15" s="71"/>
    </row>
    <row r="16" spans="1:35">
      <c r="A16" s="174"/>
      <c r="B16" s="337"/>
      <c r="C16" s="1" t="str">
        <f>DefaultData!C25</f>
        <v>Other Costs</v>
      </c>
      <c r="D16" s="5"/>
      <c r="E16" s="4"/>
      <c r="G16" s="5"/>
      <c r="AB16" s="1" t="str">
        <f t="shared" si="0"/>
        <v>Other Costs</v>
      </c>
      <c r="AC16" s="5"/>
      <c r="AD16" s="71"/>
      <c r="AE16" s="71"/>
    </row>
    <row r="17" spans="1:31" ht="15.6">
      <c r="A17" s="176"/>
      <c r="B17" s="337"/>
      <c r="C17" s="290" t="str">
        <f>DefaultData!C26</f>
        <v>Permitting, Fees, and Taxes</v>
      </c>
      <c r="D17" s="5">
        <f>IF(ProjectData!$B$26="y",DefaultData!D26,ProjectData!B43)</f>
        <v>348094.56355975819</v>
      </c>
      <c r="E17" s="4">
        <f>IF(ProjectData!$B$26="y",ProjectData!T43,ProjectData!E43)</f>
        <v>1</v>
      </c>
      <c r="G17" s="5">
        <f>+E17*D17</f>
        <v>348094.56355975819</v>
      </c>
      <c r="AB17" s="290" t="str">
        <f t="shared" si="0"/>
        <v>Permitting, Fees, and Taxes</v>
      </c>
      <c r="AC17" s="5">
        <f t="shared" ref="AC17:AD19" si="3">D17</f>
        <v>348094.56355975819</v>
      </c>
      <c r="AD17" s="71">
        <f t="shared" si="3"/>
        <v>1</v>
      </c>
      <c r="AE17" s="71"/>
    </row>
    <row r="18" spans="1:31" ht="15.6">
      <c r="A18" s="176" t="s">
        <v>473</v>
      </c>
      <c r="B18" s="337"/>
      <c r="C18" s="290" t="str">
        <f>DefaultData!C27</f>
        <v xml:space="preserve">  Other Costs</v>
      </c>
      <c r="D18" s="5">
        <f>IF(ProjectData!$B$26="y",DefaultData!D27,ProjectData!B44)</f>
        <v>661379.67076354055</v>
      </c>
      <c r="E18" s="4">
        <f>IF(ProjectData!$B$26="y",ProjectData!T44,ProjectData!E44)</f>
        <v>1</v>
      </c>
      <c r="F18" s="11"/>
      <c r="G18" s="5">
        <f>+E18*D18</f>
        <v>661379.67076354055</v>
      </c>
      <c r="H18" s="69"/>
      <c r="I18" s="5"/>
      <c r="J18" s="5"/>
      <c r="AB18" s="290" t="str">
        <f>C18</f>
        <v xml:space="preserve">  Other Costs</v>
      </c>
      <c r="AC18" s="5">
        <f t="shared" si="3"/>
        <v>661379.67076354055</v>
      </c>
      <c r="AD18" s="71">
        <f t="shared" si="3"/>
        <v>1</v>
      </c>
      <c r="AE18" s="71"/>
    </row>
    <row r="19" spans="1:31">
      <c r="A19" s="174"/>
      <c r="B19" s="337"/>
      <c r="C19" s="290" t="str">
        <f>DefaultData!C28</f>
        <v xml:space="preserve">  Business Overhead</v>
      </c>
      <c r="D19" s="5">
        <f>IF(ProjectData!$B$26="y",DefaultData!D28,ProjectData!B45)</f>
        <v>574356.02987360104</v>
      </c>
      <c r="E19" s="4">
        <f>IF(ProjectData!$B$26="y",ProjectData!T45,ProjectData!E45)</f>
        <v>1</v>
      </c>
      <c r="F19" s="11"/>
      <c r="G19" s="5">
        <f>+E19*D19</f>
        <v>574356.02987360104</v>
      </c>
      <c r="H19" s="69"/>
      <c r="I19" s="5"/>
      <c r="J19" s="5"/>
      <c r="AB19" s="290" t="str">
        <f>C19</f>
        <v xml:space="preserve">  Business Overhead</v>
      </c>
      <c r="AC19" s="5">
        <f t="shared" si="3"/>
        <v>574356.02987360104</v>
      </c>
      <c r="AD19" s="71">
        <f t="shared" si="3"/>
        <v>1</v>
      </c>
      <c r="AE19" s="71"/>
    </row>
    <row r="20" spans="1:31">
      <c r="A20" s="174"/>
      <c r="B20" s="337"/>
      <c r="C20" s="290" t="str">
        <f>DefaultData!C29</f>
        <v xml:space="preserve">  Subtotal</v>
      </c>
      <c r="D20" s="5">
        <f>IF(ProjectData!$B$26="y",DefaultData!D29,ProjectData!B46)</f>
        <v>1583830.2641968997</v>
      </c>
      <c r="E20" s="4"/>
      <c r="G20" s="5">
        <f>SUM(G17:G19)</f>
        <v>1583830.2641968997</v>
      </c>
      <c r="AB20" s="290" t="str">
        <f t="shared" si="0"/>
        <v xml:space="preserve">  Subtotal</v>
      </c>
      <c r="AC20" s="5">
        <f>D20</f>
        <v>1583830.2641968997</v>
      </c>
      <c r="AD20" s="71"/>
      <c r="AE20" s="71"/>
    </row>
    <row r="21" spans="1:31" ht="13.8">
      <c r="A21" s="174"/>
      <c r="B21" s="337"/>
      <c r="C21" s="1" t="s">
        <v>131</v>
      </c>
      <c r="D21" s="5">
        <f>IF(ProjectData!$B$26="y",DefaultData!D30,ProjectData!B47)</f>
        <v>2619411.5907871802</v>
      </c>
      <c r="E21" s="4"/>
      <c r="G21" s="5">
        <f>G20+G15+G11</f>
        <v>2154705.3484349027</v>
      </c>
      <c r="J21" s="207" t="s">
        <v>520</v>
      </c>
      <c r="K21" s="178"/>
      <c r="L21" t="s">
        <v>521</v>
      </c>
      <c r="AB21" s="2" t="str">
        <f>C21</f>
        <v>Subtotal</v>
      </c>
      <c r="AC21" s="5">
        <f>AC20+AC15</f>
        <v>2619411.5907871802</v>
      </c>
      <c r="AD21" s="5"/>
      <c r="AE21" s="11"/>
    </row>
    <row r="22" spans="1:31" ht="13.8">
      <c r="A22" s="174"/>
      <c r="B22" s="337"/>
      <c r="C22" s="181" t="s">
        <v>132</v>
      </c>
      <c r="D22" s="5">
        <f>IF(ProjectData!$B$26="y",DefaultData!$D31,ProjectData!B48)</f>
        <v>48406.900245028875</v>
      </c>
      <c r="E22" s="4">
        <f>IF(ProjectData!$B$26="y",DefaultData!F58,ProjectData!D77)</f>
        <v>1</v>
      </c>
      <c r="G22" s="5">
        <f>+E22*D22</f>
        <v>48406.900245028875</v>
      </c>
      <c r="H22" s="5"/>
      <c r="J22" s="178" t="s">
        <v>522</v>
      </c>
      <c r="K22" s="216">
        <v>7.1186945514116112E-2</v>
      </c>
      <c r="L22" s="229">
        <f>(K22/K$24)*ProjectData!D81</f>
        <v>7.1186945514116112E-2</v>
      </c>
      <c r="N22" s="178"/>
      <c r="O22" s="178"/>
      <c r="P22" s="68"/>
      <c r="Q22" s="68"/>
      <c r="AB22" s="2" t="str">
        <f t="shared" ref="AB22:AD23" si="4">C22</f>
        <v>Sales Tax (Materials &amp; Equipment Purchases)</v>
      </c>
      <c r="AC22" s="5">
        <f t="shared" si="4"/>
        <v>48406.900245028875</v>
      </c>
      <c r="AD22" s="71">
        <f t="shared" si="4"/>
        <v>1</v>
      </c>
      <c r="AE22" s="11"/>
    </row>
    <row r="23" spans="1:31" ht="14.25" customHeight="1">
      <c r="A23" s="174"/>
      <c r="B23" s="337"/>
      <c r="C23" s="2" t="s">
        <v>133</v>
      </c>
      <c r="D23" s="5">
        <f>D22+D21</f>
        <v>2667818.4910322092</v>
      </c>
      <c r="E23" s="4"/>
      <c r="G23" s="5">
        <f>G22+G21</f>
        <v>2203112.2486799317</v>
      </c>
      <c r="J23" s="178" t="s">
        <v>523</v>
      </c>
      <c r="K23" s="216">
        <f>0.4557-K22</f>
        <v>0.38451305448588391</v>
      </c>
      <c r="L23" s="229">
        <f>(K23/K$24)*ProjectData!D81</f>
        <v>0.38451305448588391</v>
      </c>
      <c r="N23" s="230" t="s">
        <v>524</v>
      </c>
      <c r="O23" s="178"/>
      <c r="P23" s="68"/>
      <c r="Q23" s="68"/>
      <c r="AB23" s="2" t="str">
        <f t="shared" si="4"/>
        <v>Total</v>
      </c>
      <c r="AC23" s="5">
        <f>AC22+AC21</f>
        <v>2667818.4910322092</v>
      </c>
      <c r="AD23" s="5"/>
    </row>
    <row r="24" spans="1:31" ht="13.5" customHeight="1">
      <c r="A24" s="174"/>
      <c r="B24" s="337"/>
      <c r="C24" s="290"/>
      <c r="D24" s="5">
        <f>D21/(DefaultData!F5)</f>
        <v>2619.4115907871801</v>
      </c>
      <c r="E24" s="4"/>
      <c r="G24" s="5"/>
      <c r="J24" s="69" t="s">
        <v>133</v>
      </c>
      <c r="K24" s="229">
        <f>K23+K22</f>
        <v>0.45569999999999999</v>
      </c>
      <c r="L24" s="229">
        <f>L23+L22</f>
        <v>0.45569999999999999</v>
      </c>
      <c r="N24" s="178" t="s">
        <v>525</v>
      </c>
      <c r="O24" s="230"/>
      <c r="P24" s="178"/>
      <c r="Q24" s="178"/>
    </row>
    <row r="25" spans="1:31" ht="14.25" customHeight="1">
      <c r="A25" s="174"/>
      <c r="B25" s="337"/>
      <c r="C25" s="210" t="s">
        <v>141</v>
      </c>
      <c r="D25" s="178" t="s">
        <v>526</v>
      </c>
      <c r="E25" s="178" t="s">
        <v>527</v>
      </c>
      <c r="F25" s="207" t="s">
        <v>520</v>
      </c>
      <c r="G25" s="207" t="s">
        <v>520</v>
      </c>
      <c r="H25" s="178" t="s">
        <v>528</v>
      </c>
      <c r="I25" s="178" t="s">
        <v>521</v>
      </c>
      <c r="J25" s="178"/>
      <c r="K25" s="178"/>
      <c r="N25" s="178" t="s">
        <v>526</v>
      </c>
      <c r="O25" s="178" t="s">
        <v>527</v>
      </c>
      <c r="P25" s="207" t="s">
        <v>520</v>
      </c>
      <c r="Q25" s="207" t="s">
        <v>520</v>
      </c>
      <c r="R25" s="178"/>
      <c r="AB25" s="24" t="str">
        <f>C66</f>
        <v>PV System Annual Operating and Maintenance Costs</v>
      </c>
      <c r="AE25" s="8" t="str">
        <f>AE4</f>
        <v>Manufactured</v>
      </c>
    </row>
    <row r="26" spans="1:31">
      <c r="A26" s="174"/>
      <c r="B26" s="337"/>
      <c r="C26" s="210" t="s">
        <v>529</v>
      </c>
      <c r="D26" s="211"/>
      <c r="E26" s="212"/>
      <c r="F26" s="211"/>
      <c r="G26" s="213"/>
      <c r="H26" s="214"/>
      <c r="I26" s="214"/>
      <c r="J26" s="69"/>
      <c r="K26" s="178" t="s">
        <v>528</v>
      </c>
      <c r="L26" s="178"/>
      <c r="M26" s="178"/>
      <c r="N26" s="211"/>
      <c r="O26" s="211"/>
      <c r="P26" s="211"/>
      <c r="Q26" s="213"/>
      <c r="R26" s="178"/>
      <c r="AC26" s="8" t="s">
        <v>122</v>
      </c>
      <c r="AD26" s="8" t="s">
        <v>136</v>
      </c>
      <c r="AE26" s="8" t="str">
        <f>AE5</f>
        <v>Locally</v>
      </c>
    </row>
    <row r="27" spans="1:31">
      <c r="A27" s="174"/>
      <c r="B27" s="337"/>
      <c r="C27" s="178" t="s">
        <v>530</v>
      </c>
      <c r="D27" s="211">
        <f>(E27+F27)</f>
        <v>29.129188111944046</v>
      </c>
      <c r="E27" s="215">
        <f>IF(DefaultData!AJ61=0,21.39,21.39*DefaultData!AJ61)</f>
        <v>20.010433545334923</v>
      </c>
      <c r="F27" s="211">
        <f>+E27*G27</f>
        <v>9.118754566609125</v>
      </c>
      <c r="G27" s="213">
        <f>K$24</f>
        <v>0.45569999999999999</v>
      </c>
      <c r="H27" s="220">
        <f>(G13)/(D27*(52*40))</f>
        <v>4.3089037080548183</v>
      </c>
      <c r="I27" s="220">
        <f>(ProjectData!B39*ProjectData!E39)/(N27*40*52)</f>
        <v>4.3089037080548183</v>
      </c>
      <c r="J27" s="69"/>
      <c r="K27" s="219">
        <f>D27*52*40</f>
        <v>60588.711272843611</v>
      </c>
      <c r="L27" s="178">
        <f>IF(ProjectData!B$26="Y",Calculations!H27,Calculations!I27)</f>
        <v>4.3089037080548183</v>
      </c>
      <c r="M27" s="178"/>
      <c r="N27" s="211">
        <f>(O27+P27)</f>
        <v>29.129188111944046</v>
      </c>
      <c r="O27" s="211">
        <f>ProjectData!B81</f>
        <v>20.010433545334923</v>
      </c>
      <c r="P27" s="211">
        <f>+O27*Q27</f>
        <v>9.118754566609125</v>
      </c>
      <c r="Q27" s="216">
        <f>ProjectData!D81</f>
        <v>0.45569999999999999</v>
      </c>
      <c r="R27" s="219">
        <f>N27*52*40</f>
        <v>60588.711272843611</v>
      </c>
      <c r="AB27" s="146" t="str">
        <f t="shared" ref="AB27:AB33" si="5">C67</f>
        <v>Labor</v>
      </c>
      <c r="AD27" s="7"/>
    </row>
    <row r="28" spans="1:31">
      <c r="A28" s="174"/>
      <c r="B28" s="337"/>
      <c r="C28" s="210" t="s">
        <v>369</v>
      </c>
      <c r="D28" s="211"/>
      <c r="E28" s="215"/>
      <c r="F28" s="211"/>
      <c r="G28" s="213"/>
      <c r="H28" s="214"/>
      <c r="I28" s="214"/>
      <c r="J28" s="69"/>
      <c r="K28" s="178"/>
      <c r="L28" s="178"/>
      <c r="M28" s="178"/>
      <c r="N28" s="211"/>
      <c r="O28" s="211"/>
      <c r="P28" s="211"/>
      <c r="Q28" s="216"/>
      <c r="R28" s="178"/>
      <c r="AB28" s="5" t="str">
        <f t="shared" si="5"/>
        <v xml:space="preserve">  Technicians</v>
      </c>
      <c r="AC28" s="5">
        <f>D68</f>
        <v>17930.666666666664</v>
      </c>
      <c r="AD28" s="11">
        <f>E68</f>
        <v>1</v>
      </c>
    </row>
    <row r="29" spans="1:31">
      <c r="A29" s="174"/>
      <c r="B29" s="337"/>
      <c r="C29" s="204" t="s">
        <v>147</v>
      </c>
      <c r="D29" s="211">
        <f>(E29+F29)</f>
        <v>29.129188111944046</v>
      </c>
      <c r="E29" s="215">
        <f>E27</f>
        <v>20.010433545334923</v>
      </c>
      <c r="F29" s="211">
        <f>+E29*G29</f>
        <v>9.118754566609125</v>
      </c>
      <c r="G29" s="213">
        <f>K$24</f>
        <v>0.45569999999999999</v>
      </c>
      <c r="H29" s="220">
        <f>(G69)/(D29*(52*40))</f>
        <v>0.29594071717289261</v>
      </c>
      <c r="I29" s="220">
        <f>(ProjectData!B55*ProjectData!E54)/(N29*40*52)</f>
        <v>0.29594071717289261</v>
      </c>
      <c r="J29" s="69"/>
      <c r="K29" s="219">
        <f>D29*52*40</f>
        <v>60588.711272843611</v>
      </c>
      <c r="L29" s="178">
        <f>IF(ProjectData!B$26="Y",Calculations!H29,Calculations!I29)</f>
        <v>0.29594071717289261</v>
      </c>
      <c r="M29" s="178"/>
      <c r="N29" s="211">
        <f>(O29+P29)</f>
        <v>29.129188111944046</v>
      </c>
      <c r="O29" s="211">
        <f>ProjectData!B83</f>
        <v>20.010433545334923</v>
      </c>
      <c r="P29" s="211">
        <f>+O29*Q29</f>
        <v>9.118754566609125</v>
      </c>
      <c r="Q29" s="216">
        <f>ProjectData!D83</f>
        <v>0.45569999999999999</v>
      </c>
      <c r="R29" s="219">
        <f>N29*52*40</f>
        <v>60588.711272843611</v>
      </c>
      <c r="AB29" s="5" t="str">
        <f t="shared" si="5"/>
        <v xml:space="preserve">  Subtotal</v>
      </c>
      <c r="AC29" s="5">
        <f>D69</f>
        <v>17930.666666666664</v>
      </c>
      <c r="AD29" s="11"/>
    </row>
    <row r="30" spans="1:31">
      <c r="A30" s="174"/>
      <c r="B30" s="337"/>
      <c r="C30" s="178"/>
      <c r="D30" s="211"/>
      <c r="E30" s="212"/>
      <c r="F30" s="211"/>
      <c r="G30" s="213"/>
      <c r="H30" s="214"/>
      <c r="I30" s="214"/>
      <c r="J30" s="69"/>
      <c r="K30" s="178"/>
      <c r="L30" s="178"/>
      <c r="M30" s="178"/>
      <c r="N30" s="211"/>
      <c r="O30" s="211"/>
      <c r="P30" s="211"/>
      <c r="Q30" s="213"/>
      <c r="R30" s="178"/>
      <c r="AB30" s="146" t="str">
        <f t="shared" si="5"/>
        <v>Materials and Services</v>
      </c>
      <c r="AC30" s="5"/>
      <c r="AD30" s="11"/>
    </row>
    <row r="31" spans="1:31">
      <c r="A31" s="174"/>
      <c r="B31" s="337"/>
      <c r="C31" s="210"/>
      <c r="D31" s="178"/>
      <c r="E31" s="214"/>
      <c r="F31" s="207"/>
      <c r="G31" s="214"/>
      <c r="H31" s="233" t="s">
        <v>531</v>
      </c>
      <c r="I31" s="268">
        <f>I55+I57+I56</f>
        <v>6.434070052042216</v>
      </c>
      <c r="J31" s="268"/>
      <c r="K31" s="178"/>
      <c r="L31" s="233" t="s">
        <v>532</v>
      </c>
      <c r="M31" s="240">
        <f>(M55+M56+M57)*$G64</f>
        <v>0.38167665878822515</v>
      </c>
      <c r="N31" s="232"/>
      <c r="O31" s="233"/>
      <c r="P31" s="233" t="s">
        <v>532</v>
      </c>
      <c r="Q31" s="240">
        <f>(Q55+Q56+Q57)*$G64</f>
        <v>0.89639364262183263</v>
      </c>
      <c r="R31" s="241"/>
      <c r="T31" s="233" t="s">
        <v>532</v>
      </c>
      <c r="U31" s="240">
        <f>(U55+U56+U57)*$G64</f>
        <v>0.61471168762092887</v>
      </c>
      <c r="V31" s="241"/>
      <c r="AB31" s="5" t="str">
        <f t="shared" si="5"/>
        <v xml:space="preserve">  Materials &amp; Equipment</v>
      </c>
      <c r="AC31" s="5">
        <f>D71</f>
        <v>14869.333333333334</v>
      </c>
      <c r="AD31" s="11">
        <f>E71</f>
        <v>1</v>
      </c>
      <c r="AE31" s="71" t="str">
        <f>F71</f>
        <v>N</v>
      </c>
    </row>
    <row r="32" spans="1:31">
      <c r="A32" s="174"/>
      <c r="B32" s="337"/>
      <c r="C32" s="207"/>
      <c r="D32" s="211"/>
      <c r="E32" s="215"/>
      <c r="F32" s="211"/>
      <c r="G32" s="213"/>
      <c r="H32" s="233" t="s">
        <v>533</v>
      </c>
      <c r="I32" s="234">
        <f>I61-I34-I33-I31</f>
        <v>7.0260579415835949</v>
      </c>
      <c r="J32" s="234"/>
      <c r="K32" s="178"/>
      <c r="L32" s="233" t="s">
        <v>533</v>
      </c>
      <c r="M32" s="240">
        <f>((M61-M34)*G64)-M33-M31</f>
        <v>0.34284627092634407</v>
      </c>
      <c r="N32" s="233"/>
      <c r="O32" s="233"/>
      <c r="P32" s="233" t="s">
        <v>533</v>
      </c>
      <c r="Q32" s="240">
        <f>((Q61-Q34)*G64)-Q33-Q31</f>
        <v>0.89084557517356622</v>
      </c>
      <c r="R32" s="233"/>
      <c r="T32" s="233" t="s">
        <v>533</v>
      </c>
      <c r="U32" s="240">
        <f>((U61-U34)*K64)-U33-U31</f>
        <v>-0.61471168762092887</v>
      </c>
      <c r="V32" s="233"/>
      <c r="AB32" s="5" t="str">
        <f t="shared" si="5"/>
        <v xml:space="preserve">  Services</v>
      </c>
      <c r="AC32" s="5">
        <f>D72</f>
        <v>0</v>
      </c>
      <c r="AD32" s="11">
        <f>E72</f>
        <v>1</v>
      </c>
      <c r="AE32" s="71"/>
    </row>
    <row r="33" spans="1:41">
      <c r="A33" s="174"/>
      <c r="B33" s="337"/>
      <c r="C33" s="1"/>
      <c r="D33" s="5"/>
      <c r="E33" s="4"/>
      <c r="G33" s="5"/>
      <c r="H33" s="233" t="s">
        <v>534</v>
      </c>
      <c r="I33" s="234">
        <f>SUM(I44:I49)+I60</f>
        <v>0</v>
      </c>
      <c r="J33" s="234">
        <f>SUM(J44:J49)+J60</f>
        <v>0</v>
      </c>
      <c r="L33" s="233" t="s">
        <v>535</v>
      </c>
      <c r="M33" s="240">
        <f>(SUM(M44:M49)+M60)*$G64</f>
        <v>0</v>
      </c>
      <c r="N33" s="240">
        <f>(SUM(N44:N49)+N60)*$G64</f>
        <v>0</v>
      </c>
      <c r="O33" s="233"/>
      <c r="P33" s="233" t="s">
        <v>536</v>
      </c>
      <c r="Q33" s="240">
        <f>(SUM(Q44:Q49)+Q60)*$G64</f>
        <v>0</v>
      </c>
      <c r="R33" s="240">
        <f>(SUM(R44:R49)+R60)*$G64</f>
        <v>0</v>
      </c>
      <c r="T33" s="233" t="s">
        <v>536</v>
      </c>
      <c r="U33" s="240">
        <f>(SUM(U44:U49)+U60)*$G64</f>
        <v>0</v>
      </c>
      <c r="V33" s="240">
        <f>(SUM(V44:V49)+V60)*$G64</f>
        <v>0</v>
      </c>
      <c r="AB33" s="5" t="str">
        <f t="shared" si="5"/>
        <v xml:space="preserve">  Subtotal</v>
      </c>
      <c r="AC33" s="5">
        <f>D73</f>
        <v>14869.333333333334</v>
      </c>
      <c r="AD33" s="11"/>
    </row>
    <row r="34" spans="1:41" ht="15">
      <c r="A34" s="174"/>
      <c r="B34" s="337"/>
      <c r="C34" s="290"/>
      <c r="D34" s="5"/>
      <c r="E34" s="4"/>
      <c r="G34" s="5"/>
      <c r="H34" t="s">
        <v>385</v>
      </c>
      <c r="I34" s="10">
        <f>I41+I42+I43</f>
        <v>4.3089037080548183</v>
      </c>
      <c r="L34" t="s">
        <v>385</v>
      </c>
      <c r="M34" s="277">
        <f>M41+M42+M43</f>
        <v>0.3057923717231586</v>
      </c>
      <c r="P34" t="s">
        <v>385</v>
      </c>
      <c r="Q34" s="277">
        <f>Q41+Q42+Q43</f>
        <v>0.3057923717231586</v>
      </c>
      <c r="T34" t="s">
        <v>385</v>
      </c>
      <c r="U34" s="277">
        <f>U41+U42+U43</f>
        <v>0.3057923717231586</v>
      </c>
      <c r="AB34" s="146" t="str">
        <f>C74</f>
        <v>Sales Tax (Materials &amp; Equipment Purchases)</v>
      </c>
      <c r="AC34" s="5">
        <f>D74</f>
        <v>0</v>
      </c>
      <c r="AD34" s="11">
        <f>E74</f>
        <v>1</v>
      </c>
      <c r="AG34" s="242" t="s">
        <v>301</v>
      </c>
      <c r="AH34" s="243"/>
      <c r="AI34" s="243"/>
      <c r="AJ34" s="243"/>
    </row>
    <row r="35" spans="1:41">
      <c r="A35" s="174"/>
      <c r="B35" s="337"/>
      <c r="C35" t="s">
        <v>537</v>
      </c>
      <c r="D35">
        <f>+ProjectData!B24</f>
        <v>2010</v>
      </c>
      <c r="F35" s="392" t="str">
        <f>CONCATENATE("Convert to ",Deflators!E4, " dollars")</f>
        <v>Convert to 2019 dollars</v>
      </c>
      <c r="G35" s="23">
        <f>Deflators!F7</f>
        <v>1.1713</v>
      </c>
      <c r="H35" s="10"/>
      <c r="I35" s="18"/>
      <c r="M35" s="18"/>
      <c r="AB35" s="146" t="str">
        <f>C75</f>
        <v>Average Annual Payment (Interest and Principal)</v>
      </c>
      <c r="AC35" s="5">
        <f>D75</f>
        <v>303851.74453131296</v>
      </c>
      <c r="AD35" s="11">
        <f>E75</f>
        <v>0</v>
      </c>
      <c r="AG35" s="243"/>
      <c r="AH35" s="233" t="s">
        <v>302</v>
      </c>
      <c r="AI35" s="233" t="s">
        <v>303</v>
      </c>
      <c r="AJ35" s="233" t="s">
        <v>304</v>
      </c>
      <c r="AK35" s="290" t="s">
        <v>305</v>
      </c>
    </row>
    <row r="36" spans="1:41">
      <c r="A36" s="174"/>
      <c r="B36" s="337"/>
      <c r="C36" s="13" t="s">
        <v>538</v>
      </c>
      <c r="F36" s="20"/>
      <c r="G36" s="21"/>
      <c r="M36" s="7">
        <f>Deflators!E4</f>
        <v>2019</v>
      </c>
      <c r="N36" t="s">
        <v>539</v>
      </c>
      <c r="AB36" s="146" t="str">
        <f>C76</f>
        <v>Property Taxes</v>
      </c>
      <c r="AC36" s="5">
        <f>D76</f>
        <v>0</v>
      </c>
      <c r="AD36" s="11">
        <f>E76</f>
        <v>1</v>
      </c>
      <c r="AG36" s="360" t="s">
        <v>306</v>
      </c>
      <c r="AH36" s="233"/>
      <c r="AI36" s="233"/>
      <c r="AJ36" s="233"/>
    </row>
    <row r="37" spans="1:41">
      <c r="A37" s="174"/>
      <c r="B37" s="337"/>
      <c r="D37" s="19" t="s">
        <v>540</v>
      </c>
      <c r="F37" t="s">
        <v>133</v>
      </c>
      <c r="G37" t="s">
        <v>541</v>
      </c>
      <c r="I37" s="8" t="s">
        <v>302</v>
      </c>
      <c r="J37" s="8" t="s">
        <v>302</v>
      </c>
      <c r="K37" s="8" t="s">
        <v>302</v>
      </c>
      <c r="L37" s="8" t="s">
        <v>302</v>
      </c>
      <c r="M37" s="8" t="s">
        <v>303</v>
      </c>
      <c r="N37" s="8"/>
      <c r="O37" s="8"/>
      <c r="P37" s="8"/>
      <c r="Q37" s="8" t="s">
        <v>304</v>
      </c>
      <c r="U37" s="8" t="s">
        <v>305</v>
      </c>
      <c r="AB37" s="146" t="str">
        <f>C77</f>
        <v>Total</v>
      </c>
      <c r="AC37" s="5">
        <f>D77</f>
        <v>336651.74453131296</v>
      </c>
      <c r="AD37" s="11"/>
      <c r="AG37" s="178" t="s">
        <v>542</v>
      </c>
    </row>
    <row r="38" spans="1:41">
      <c r="A38" s="174"/>
      <c r="B38" s="337"/>
      <c r="G38" s="15"/>
      <c r="I38" s="8" t="s">
        <v>543</v>
      </c>
      <c r="J38" s="8" t="s">
        <v>544</v>
      </c>
      <c r="K38" s="8" t="s">
        <v>545</v>
      </c>
      <c r="L38" s="8" t="s">
        <v>133</v>
      </c>
      <c r="M38" s="8" t="s">
        <v>543</v>
      </c>
      <c r="N38" s="8" t="s">
        <v>544</v>
      </c>
      <c r="O38" s="8" t="s">
        <v>545</v>
      </c>
      <c r="P38" s="8" t="s">
        <v>133</v>
      </c>
      <c r="Q38" s="8" t="s">
        <v>543</v>
      </c>
      <c r="R38" s="8" t="s">
        <v>544</v>
      </c>
      <c r="S38" s="8" t="s">
        <v>545</v>
      </c>
      <c r="T38" s="8" t="s">
        <v>133</v>
      </c>
      <c r="U38" s="8" t="s">
        <v>543</v>
      </c>
      <c r="V38" s="8" t="s">
        <v>544</v>
      </c>
      <c r="W38" s="8" t="s">
        <v>545</v>
      </c>
      <c r="X38" s="8" t="s">
        <v>133</v>
      </c>
      <c r="AG38" s="207" t="s">
        <v>546</v>
      </c>
      <c r="AH38" s="244">
        <f>I34</f>
        <v>4.3089037080548183</v>
      </c>
      <c r="AI38" s="241">
        <f>M34*G64*1000</f>
        <v>261.0855269772328</v>
      </c>
      <c r="AJ38" s="241">
        <f>Q34*$G64*1000</f>
        <v>261.0855269772328</v>
      </c>
      <c r="AK38" s="241">
        <f>U34*$G64*1000</f>
        <v>261.0855269772328</v>
      </c>
    </row>
    <row r="39" spans="1:41" ht="15.6">
      <c r="A39" s="174"/>
      <c r="B39" s="337"/>
      <c r="C39" s="393" t="s">
        <v>383</v>
      </c>
      <c r="D39" s="5">
        <f>$E$147*DefaultData!D62+$E$148*DefaultData!D63+$E$149*DefaultData!D64+$E$150*DefaultData!D65+$E$151*DefaultData!D66+$E$152*DefaultData!D67+$E$153*DefaultData!D68+$E$154*DefaultData!D69+$E$155*DefaultData!D70+$E$156*DefaultData!D71+$E$157*DefaultData!D72+$E$158*DefaultData!D73+$E$159*DefaultData!D74+$E$160*DefaultData!D75+$E$161*DefaultData!D76+$E$162*DefaultData!D77+$E$163*DefaultData!D78+$E$164*DefaultData!D79+$E$165*DefaultData!D80+$E$166*DefaultData!D81+$E$167*DefaultData!D82+$E$168*DefaultData!D83</f>
        <v>0</v>
      </c>
      <c r="F39" s="5">
        <f>D39</f>
        <v>0</v>
      </c>
      <c r="G39" s="14">
        <f t="shared" ref="G39:G60" si="6">F39*G$35/10^6</f>
        <v>0</v>
      </c>
      <c r="H39" s="5"/>
      <c r="I39" s="18">
        <f>+G39*Multipliers!D308</f>
        <v>0</v>
      </c>
      <c r="J39" s="17">
        <f>+$G39*Multipliers!E308</f>
        <v>0</v>
      </c>
      <c r="K39" s="17">
        <f>+$G39*Multipliers!F308</f>
        <v>0</v>
      </c>
      <c r="L39" s="9">
        <f t="shared" ref="L39:L44" si="7">+K39+J39+I39</f>
        <v>0</v>
      </c>
      <c r="M39" s="14">
        <f>+$G39*Multipliers!H308</f>
        <v>0</v>
      </c>
      <c r="N39" s="14">
        <f>+$G39*Multipliers!I308</f>
        <v>0</v>
      </c>
      <c r="O39" s="14">
        <f>+$G39*Multipliers!J308</f>
        <v>0</v>
      </c>
      <c r="P39" s="14">
        <f t="shared" ref="P39:P44" si="8">+O39+N39+M39</f>
        <v>0</v>
      </c>
      <c r="Q39" s="14">
        <f>+$G39*Multipliers!L308</f>
        <v>0</v>
      </c>
      <c r="R39" s="14">
        <f>+$G39*Multipliers!M308</f>
        <v>0</v>
      </c>
      <c r="S39" s="14">
        <f>+$G39*Multipliers!N308</f>
        <v>0</v>
      </c>
      <c r="T39" s="14">
        <f t="shared" ref="T39:T44" si="9">+S39+R39+Q39</f>
        <v>0</v>
      </c>
      <c r="U39" s="14">
        <f>+$G39*Multipliers!P308</f>
        <v>0</v>
      </c>
      <c r="V39" s="14">
        <f>+$G39*Multipliers!Q308</f>
        <v>0</v>
      </c>
      <c r="W39" s="14">
        <f>+$G39*Multipliers!R308</f>
        <v>0</v>
      </c>
      <c r="X39" s="14">
        <f t="shared" ref="X39:X60" si="10">+W39+V39+U39</f>
        <v>0</v>
      </c>
      <c r="AB39" s="60" t="s">
        <v>357</v>
      </c>
      <c r="AG39" s="178" t="s">
        <v>547</v>
      </c>
      <c r="AH39" s="244">
        <f>I31</f>
        <v>6.434070052042216</v>
      </c>
      <c r="AI39" s="241">
        <f>M31*1000</f>
        <v>381.67665878822515</v>
      </c>
      <c r="AJ39" s="241">
        <f>Q31*1000</f>
        <v>896.39364262183267</v>
      </c>
      <c r="AK39" s="241">
        <f>U31*1000</f>
        <v>614.71168762092884</v>
      </c>
    </row>
    <row r="40" spans="1:41">
      <c r="A40" s="174"/>
      <c r="B40" s="337"/>
      <c r="C40" s="393" t="s">
        <v>384</v>
      </c>
      <c r="D40" s="5">
        <f>$E$147*DefaultData!E62+$E$148*DefaultData!E63+$E$149*DefaultData!E64+$E$150*DefaultData!E65+$E$151*DefaultData!E66+$E$152*DefaultData!E67+$E$153*DefaultData!E68+$E$154*DefaultData!E69+$E$155*DefaultData!E70+$E$156*DefaultData!E71+$E$157*DefaultData!E72+$E$158*DefaultData!E73+$E$159*DefaultData!E74+$E$160*DefaultData!E75+$E$161*DefaultData!E76+$E$162*DefaultData!E77+$E$163*DefaultData!E78+$E$164*DefaultData!E79+$E$165*DefaultData!E80+$E$166*DefaultData!E81+$E$167*DefaultData!E82+$E$168*DefaultData!E83</f>
        <v>0</v>
      </c>
      <c r="F40" s="5">
        <f t="shared" ref="F40:F60" si="11">D40</f>
        <v>0</v>
      </c>
      <c r="G40" s="14">
        <f t="shared" si="6"/>
        <v>0</v>
      </c>
      <c r="H40" s="5"/>
      <c r="I40" s="18">
        <f>+G40*Multipliers!D309</f>
        <v>0</v>
      </c>
      <c r="J40" s="17">
        <f>+$G40*Multipliers!E309</f>
        <v>0</v>
      </c>
      <c r="K40" s="17">
        <f>+$G40*Multipliers!F309</f>
        <v>0</v>
      </c>
      <c r="L40" s="9">
        <f t="shared" si="7"/>
        <v>0</v>
      </c>
      <c r="M40" s="14">
        <f>+$G40*Multipliers!H309</f>
        <v>0</v>
      </c>
      <c r="N40" s="14">
        <f>+$G40*Multipliers!I309</f>
        <v>0</v>
      </c>
      <c r="O40" s="14">
        <f>+$G40*Multipliers!J309</f>
        <v>0</v>
      </c>
      <c r="P40" s="14">
        <f t="shared" si="8"/>
        <v>0</v>
      </c>
      <c r="Q40" s="14">
        <f>+$G40*Multipliers!L309</f>
        <v>0</v>
      </c>
      <c r="R40" s="14">
        <f>+$G40*Multipliers!M309</f>
        <v>0</v>
      </c>
      <c r="S40" s="14">
        <f>+$G40*Multipliers!N309</f>
        <v>0</v>
      </c>
      <c r="T40" s="14">
        <f t="shared" si="9"/>
        <v>0</v>
      </c>
      <c r="U40" s="14">
        <f>+$G40*Multipliers!P309</f>
        <v>0</v>
      </c>
      <c r="V40" s="14">
        <f>+$G40*Multipliers!Q309</f>
        <v>0</v>
      </c>
      <c r="W40" s="14">
        <f>+$G40*Multipliers!R309</f>
        <v>0</v>
      </c>
      <c r="X40" s="14">
        <f t="shared" si="10"/>
        <v>0</v>
      </c>
      <c r="AD40" s="8" t="s">
        <v>136</v>
      </c>
      <c r="AG40" s="290" t="s">
        <v>324</v>
      </c>
      <c r="AH40" s="244">
        <f>AH38+AH39</f>
        <v>10.742973760097033</v>
      </c>
      <c r="AI40" s="241">
        <f>AI38+AI39</f>
        <v>642.76218576545796</v>
      </c>
      <c r="AJ40" s="241">
        <f>AJ38+AJ39</f>
        <v>1157.4791695990655</v>
      </c>
      <c r="AK40" s="241">
        <f>AK38+AK39</f>
        <v>875.79721459816164</v>
      </c>
    </row>
    <row r="41" spans="1:41" ht="13.8">
      <c r="A41" s="174"/>
      <c r="B41" s="337"/>
      <c r="C41" s="393" t="s">
        <v>385</v>
      </c>
      <c r="D41" s="5">
        <f>$E$147*DefaultData!F62+$E$148*DefaultData!F63+$E$149*DefaultData!F64+$E$150*DefaultData!F65+$E$151*DefaultData!F66+$E$152*DefaultData!F67+$E$153*DefaultData!F68+$E$154*DefaultData!F69+$E$155*DefaultData!F70+$E$156*DefaultData!F71+$E$157*DefaultData!F72+$E$158*DefaultData!F73+$E$159*DefaultData!F74+$E$160*DefaultData!F75+$E$161*DefaultData!F76+$E$162*DefaultData!F77+$E$163*DefaultData!F78+$E$164*DefaultData!F79+$E$165*DefaultData!F80+$E$166*DefaultData!F81+$E$167*DefaultData!F82+$E$168*DefaultData!F83</f>
        <v>0</v>
      </c>
      <c r="F41" s="5">
        <f t="shared" si="11"/>
        <v>0</v>
      </c>
      <c r="G41" s="14">
        <f t="shared" si="6"/>
        <v>0</v>
      </c>
      <c r="H41" s="14">
        <f>G13*G35/10^6</f>
        <v>0.3057923717231586</v>
      </c>
      <c r="I41" s="18">
        <f>+G41*Multipliers!D310</f>
        <v>0</v>
      </c>
      <c r="J41" s="17">
        <f>+$G41*Multipliers!E310</f>
        <v>0</v>
      </c>
      <c r="K41" s="17">
        <f>+$G41*Multipliers!F310</f>
        <v>0</v>
      </c>
      <c r="L41" s="9">
        <f t="shared" si="7"/>
        <v>0</v>
      </c>
      <c r="M41" s="14">
        <f>+$G41*Multipliers!H310</f>
        <v>0</v>
      </c>
      <c r="N41" s="14">
        <f>+$G41*Multipliers!I310</f>
        <v>0</v>
      </c>
      <c r="O41" s="14">
        <f>+$G41*Multipliers!J310</f>
        <v>0</v>
      </c>
      <c r="P41" s="14">
        <f t="shared" si="8"/>
        <v>0</v>
      </c>
      <c r="Q41" s="14">
        <f>+$G41*Multipliers!L310</f>
        <v>0</v>
      </c>
      <c r="R41" s="14">
        <f>+$G41*Multipliers!M310</f>
        <v>0</v>
      </c>
      <c r="S41" s="14">
        <f>+$G41*Multipliers!N310</f>
        <v>0</v>
      </c>
      <c r="T41" s="14">
        <f t="shared" si="9"/>
        <v>0</v>
      </c>
      <c r="U41" s="14">
        <f>+$G41*Multipliers!P310</f>
        <v>0</v>
      </c>
      <c r="V41" s="14">
        <f>+$G41*Multipliers!Q310</f>
        <v>0</v>
      </c>
      <c r="W41" s="14">
        <f>+$G41*Multipliers!R310</f>
        <v>0</v>
      </c>
      <c r="X41" s="14">
        <f t="shared" si="10"/>
        <v>0</v>
      </c>
      <c r="AB41" s="2" t="s">
        <v>358</v>
      </c>
      <c r="AG41" s="204" t="s">
        <v>548</v>
      </c>
      <c r="AM41" s="394"/>
      <c r="AO41" s="394"/>
    </row>
    <row r="42" spans="1:41">
      <c r="A42" s="174"/>
      <c r="B42" s="337"/>
      <c r="C42" s="393" t="s">
        <v>386</v>
      </c>
      <c r="D42" s="5">
        <f>$E$147*DefaultData!G62+$E$148*DefaultData!G63+$E$149*DefaultData!G64+$E$150*DefaultData!G65+$E$151*DefaultData!G66+$E$152*DefaultData!G67+$E$153*DefaultData!G68+$E$154*DefaultData!G69+$E$155*DefaultData!G70+$E$156*DefaultData!G71+$E$157*DefaultData!G72+$E$158*DefaultData!G73+$E$159*DefaultData!G74+$E$160*DefaultData!G75+$E$161*DefaultData!G76+$E$162*DefaultData!G77+$E$163*DefaultData!G78+$E$164*DefaultData!G79+$E$165*DefaultData!G80+$E$166*DefaultData!G81+$E$167*DefaultData!G82+$E$168*DefaultData!G83</f>
        <v>261070.92266981862</v>
      </c>
      <c r="F42" s="5">
        <f t="shared" si="11"/>
        <v>261070.92266981862</v>
      </c>
      <c r="G42" s="14">
        <f t="shared" si="6"/>
        <v>0.3057923717231586</v>
      </c>
      <c r="H42" s="14">
        <f>G42-H$41</f>
        <v>0</v>
      </c>
      <c r="I42" s="18">
        <f>IF(F42&gt;0,(H$42*Multipliers!D311)+L27,0)</f>
        <v>4.3089037080548183</v>
      </c>
      <c r="J42" s="17">
        <f>+$G42*Multipliers!E311</f>
        <v>1.142254073203341</v>
      </c>
      <c r="K42" s="17">
        <f>+$G42*Multipliers!F311</f>
        <v>1.3996052637370906</v>
      </c>
      <c r="L42" s="9">
        <f t="shared" si="7"/>
        <v>6.8507630449952499</v>
      </c>
      <c r="M42" s="14">
        <f>IF(F42&gt;0,H$41+($H42*Multipliers!H311),0)</f>
        <v>0.3057923717231586</v>
      </c>
      <c r="N42" s="14">
        <f>+$G42*Multipliers!I311</f>
        <v>6.5175362939587131E-2</v>
      </c>
      <c r="O42" s="14">
        <f>+$G42*Multipliers!J311</f>
        <v>7.0451810313670232E-2</v>
      </c>
      <c r="P42" s="14">
        <f t="shared" si="8"/>
        <v>0.44141954497641595</v>
      </c>
      <c r="Q42" s="14">
        <f>+$G42*Multipliers!L311</f>
        <v>0.3057923717231586</v>
      </c>
      <c r="R42" s="14">
        <f>+$G42*Multipliers!M311</f>
        <v>0.26064885547041217</v>
      </c>
      <c r="S42" s="14">
        <f>+$G42*Multipliers!N311</f>
        <v>0.25251447259020443</v>
      </c>
      <c r="T42" s="14">
        <f t="shared" si="9"/>
        <v>0.81895569978377525</v>
      </c>
      <c r="U42" s="14">
        <f>IF(F42&gt;0,H$41+($H42*Multipliers!P311),0)</f>
        <v>0.3057923717231586</v>
      </c>
      <c r="V42" s="14">
        <f>+$G42*Multipliers!Q311</f>
        <v>0.12719036171741541</v>
      </c>
      <c r="W42" s="14">
        <f>+$G42*Multipliers!R311</f>
        <v>0.14242646663852179</v>
      </c>
      <c r="X42" s="14">
        <f t="shared" si="10"/>
        <v>0.5754092000790958</v>
      </c>
      <c r="AB42" s="1" t="str">
        <f>DefaultData!C46</f>
        <v>Debt Financing</v>
      </c>
      <c r="AG42" s="290" t="s">
        <v>313</v>
      </c>
      <c r="AH42" s="18">
        <f>I33+J33</f>
        <v>0</v>
      </c>
      <c r="AI42" s="298">
        <f>(M33+N33)*1000*G64</f>
        <v>0</v>
      </c>
      <c r="AJ42" s="299">
        <f>(Q33+R33)*1000</f>
        <v>0</v>
      </c>
      <c r="AK42" s="299">
        <f>(U33+V33)*1000</f>
        <v>0</v>
      </c>
      <c r="AL42" s="290"/>
    </row>
    <row r="43" spans="1:41">
      <c r="A43" s="174"/>
      <c r="B43" s="337"/>
      <c r="C43" s="393" t="s">
        <v>387</v>
      </c>
      <c r="D43" s="5">
        <f>$E$147*DefaultData!H62+$E$148*DefaultData!H63+$E$149*DefaultData!H64+$E$150*DefaultData!H65+$E$151*DefaultData!H66+$E$152*DefaultData!H67+$E$153*DefaultData!H68+$E$154*DefaultData!H69+$E$155*DefaultData!H70+$E$156*DefaultData!H71+$E$157*DefaultData!H72+$E$158*DefaultData!H73+$E$159*DefaultData!H74+$E$160*DefaultData!H75+$E$161*DefaultData!H76+$E$162*DefaultData!H77+$E$163*DefaultData!H78+$E$164*DefaultData!H79+$E$165*DefaultData!H80+$E$166*DefaultData!H81+$E$167*DefaultData!H82+$E$168*DefaultData!H83</f>
        <v>0</v>
      </c>
      <c r="F43" s="5">
        <f t="shared" si="11"/>
        <v>0</v>
      </c>
      <c r="G43" s="14">
        <f t="shared" si="6"/>
        <v>0</v>
      </c>
      <c r="H43" s="14">
        <f>G43-H$41</f>
        <v>-0.3057923717231586</v>
      </c>
      <c r="I43" s="18">
        <f>IF(F43&gt;0,(H$43*Multipliers!D312)+L27,0)</f>
        <v>0</v>
      </c>
      <c r="J43" s="17">
        <f>+$G43*Multipliers!E312</f>
        <v>0</v>
      </c>
      <c r="K43" s="17">
        <f>+$G43*Multipliers!F312</f>
        <v>0</v>
      </c>
      <c r="L43" s="9">
        <f t="shared" si="7"/>
        <v>0</v>
      </c>
      <c r="M43" s="14">
        <f>IF(F43&gt;0,H$41+($H43*Multipliers!H312),0)</f>
        <v>0</v>
      </c>
      <c r="N43" s="14">
        <f>+$G43*Multipliers!I312</f>
        <v>0</v>
      </c>
      <c r="O43" s="14">
        <f>+$G43*Multipliers!J312</f>
        <v>0</v>
      </c>
      <c r="P43" s="14">
        <f t="shared" si="8"/>
        <v>0</v>
      </c>
      <c r="Q43" s="14">
        <f>+$G43*Multipliers!L312</f>
        <v>0</v>
      </c>
      <c r="R43" s="14">
        <f>+$G43*Multipliers!M312</f>
        <v>0</v>
      </c>
      <c r="S43" s="14">
        <f>+$G43*Multipliers!N312</f>
        <v>0</v>
      </c>
      <c r="T43" s="14">
        <f t="shared" si="9"/>
        <v>0</v>
      </c>
      <c r="U43" s="14">
        <f>IF(F43&gt;0,H$41+($H43*Multipliers!P312),0)</f>
        <v>0</v>
      </c>
      <c r="V43" s="14">
        <f>+$G43*Multipliers!Q312</f>
        <v>0</v>
      </c>
      <c r="W43" s="14">
        <f>+$G43*Multipliers!R312</f>
        <v>0</v>
      </c>
      <c r="X43" s="14">
        <f t="shared" si="10"/>
        <v>0</v>
      </c>
      <c r="AB43" s="290" t="str">
        <f>DefaultData!C47</f>
        <v xml:space="preserve">  Percentage financed</v>
      </c>
      <c r="AC43" s="11">
        <f>IF(ProjectData!$B$26="y",DefaultData!D47,ProjectData!B67)</f>
        <v>0.8</v>
      </c>
      <c r="AD43" s="11">
        <f>IF(ProjectData!$B$26="y",DefaultData!F47,ProjectData!D67)</f>
        <v>0</v>
      </c>
      <c r="AG43" s="290" t="s">
        <v>315</v>
      </c>
      <c r="AH43" s="18">
        <f>I50+I51+J50+J51</f>
        <v>2.0426375451781666</v>
      </c>
      <c r="AI43" s="6">
        <f>(M50+M51+N50+N51)*1000*G64</f>
        <v>118.73521901888743</v>
      </c>
      <c r="AJ43" s="6">
        <f>(Q50+R50+Q51+R51)*1000*$G64</f>
        <v>410.78862250947168</v>
      </c>
      <c r="AK43" s="6">
        <f>(U50+V50+U51+V51)*1000*$G64</f>
        <v>241.9371915102995</v>
      </c>
      <c r="AL43" s="290"/>
    </row>
    <row r="44" spans="1:41">
      <c r="A44" s="174"/>
      <c r="B44" s="337"/>
      <c r="C44" s="393" t="s">
        <v>388</v>
      </c>
      <c r="D44" s="5">
        <f>$E$147*DefaultData!I62+$E$148*DefaultData!I63+$E$149*DefaultData!I64+$E$150*DefaultData!I65+$E$151*DefaultData!I66+$E$152*DefaultData!I67+$E$153*DefaultData!I68+$E$154*DefaultData!I69+$E$155*DefaultData!I70+$E$156*DefaultData!I71+$E$157*DefaultData!I72+$E$158*DefaultData!I73+$E$159*DefaultData!I74+$E$160*DefaultData!I75+$E$161*DefaultData!I76+$E$162*DefaultData!I77+$E$163*DefaultData!I78+$E$164*DefaultData!I79+$E$165*DefaultData!I80+$E$166*DefaultData!I81+$E$167*DefaultData!I82+$E$168*DefaultData!I83</f>
        <v>0</v>
      </c>
      <c r="F44" s="5">
        <f t="shared" si="11"/>
        <v>0</v>
      </c>
      <c r="G44" s="14">
        <f t="shared" si="6"/>
        <v>0</v>
      </c>
      <c r="H44" s="5"/>
      <c r="I44" s="18">
        <f>+G44*Multipliers!D313</f>
        <v>0</v>
      </c>
      <c r="J44" s="17">
        <f>+$G44*Multipliers!E313</f>
        <v>0</v>
      </c>
      <c r="K44" s="17">
        <f>+$G44*Multipliers!F313</f>
        <v>0</v>
      </c>
      <c r="L44" s="9">
        <f t="shared" si="7"/>
        <v>0</v>
      </c>
      <c r="M44" s="14">
        <f>+$G44*Multipliers!H313</f>
        <v>0</v>
      </c>
      <c r="N44" s="14">
        <f>+$G44*Multipliers!I313</f>
        <v>0</v>
      </c>
      <c r="O44" s="14">
        <f>+$G44*Multipliers!J313</f>
        <v>0</v>
      </c>
      <c r="P44" s="14">
        <f t="shared" si="8"/>
        <v>0</v>
      </c>
      <c r="Q44" s="14">
        <f>+$G44*Multipliers!L313</f>
        <v>0</v>
      </c>
      <c r="R44" s="14">
        <f>+$G44*Multipliers!M313</f>
        <v>0</v>
      </c>
      <c r="S44" s="14">
        <f>+$G44*Multipliers!N313</f>
        <v>0</v>
      </c>
      <c r="T44" s="14">
        <f t="shared" si="9"/>
        <v>0</v>
      </c>
      <c r="U44" s="14">
        <f>+$G44*Multipliers!P313</f>
        <v>0</v>
      </c>
      <c r="V44" s="14">
        <f>+$G44*Multipliers!Q313</f>
        <v>0</v>
      </c>
      <c r="W44" s="14">
        <f>+$G44*Multipliers!R313</f>
        <v>0</v>
      </c>
      <c r="X44" s="14">
        <f t="shared" si="10"/>
        <v>0</v>
      </c>
      <c r="AB44" s="290" t="str">
        <f>DefaultData!C48</f>
        <v xml:space="preserve">  Years financed (term)</v>
      </c>
      <c r="AC44" s="86">
        <f>IF(ProjectData!$B$26="y",DefaultData!D48,ProjectData!B68)</f>
        <v>10</v>
      </c>
      <c r="AD44" s="11"/>
      <c r="AG44" s="290" t="s">
        <v>317</v>
      </c>
      <c r="AH44" s="18">
        <f>I53+I54+J53+J54</f>
        <v>0</v>
      </c>
      <c r="AI44" s="6">
        <f>(M53+M54+N53+N54)*1000*G64</f>
        <v>0</v>
      </c>
      <c r="AJ44" s="6">
        <f>(Q53+R53+Q54+R54)*1000*$G64</f>
        <v>0</v>
      </c>
      <c r="AK44" s="6">
        <f>(U53+V53+U54+V54)*1000*$G64</f>
        <v>0</v>
      </c>
      <c r="AL44" s="290"/>
    </row>
    <row r="45" spans="1:41">
      <c r="A45" s="174"/>
      <c r="B45" s="337"/>
      <c r="C45" s="393" t="s">
        <v>389</v>
      </c>
      <c r="D45" s="5">
        <f>$E$147*DefaultData!J62+$E$148*DefaultData!J63+$E$149*DefaultData!J64+$E$150*DefaultData!J65+$E$151*DefaultData!J66+$E$152*DefaultData!J67+$E$153*DefaultData!J68+$E$154*DefaultData!J69+$E$155*DefaultData!J70+$E$156*DefaultData!J71+$E$157*DefaultData!J72+$E$158*DefaultData!J73+$E$159*DefaultData!J74+$E$160*DefaultData!J75+$E$161*DefaultData!J76+$E$162*DefaultData!J77+$E$163*DefaultData!J78+$E$164*DefaultData!J79+$E$165*DefaultData!J80+$E$166*DefaultData!J81+$E$167*DefaultData!J82+$E$168*DefaultData!J83</f>
        <v>0</v>
      </c>
      <c r="F45" s="5">
        <f t="shared" si="11"/>
        <v>0</v>
      </c>
      <c r="G45" s="14">
        <f t="shared" si="6"/>
        <v>0</v>
      </c>
      <c r="H45" s="5"/>
      <c r="I45" s="18">
        <f>+G45*Multipliers!D314</f>
        <v>0</v>
      </c>
      <c r="J45" s="17">
        <f>+$G45*Multipliers!E314</f>
        <v>0</v>
      </c>
      <c r="K45" s="17">
        <f>+$G45*Multipliers!F314</f>
        <v>0</v>
      </c>
      <c r="L45" s="9">
        <f t="shared" ref="L45:L60" si="12">+K45+J45+I45</f>
        <v>0</v>
      </c>
      <c r="M45" s="14">
        <f>+$G45*Multipliers!H314</f>
        <v>0</v>
      </c>
      <c r="N45" s="14">
        <f>+$G45*Multipliers!I314</f>
        <v>0</v>
      </c>
      <c r="O45" s="14">
        <f>+$G45*Multipliers!J314</f>
        <v>0</v>
      </c>
      <c r="P45" s="14">
        <f t="shared" ref="P45:P60" si="13">+O45+N45+M45</f>
        <v>0</v>
      </c>
      <c r="Q45" s="14">
        <f>+$G45*Multipliers!L314</f>
        <v>0</v>
      </c>
      <c r="R45" s="14">
        <f>+$G45*Multipliers!M314</f>
        <v>0</v>
      </c>
      <c r="S45" s="14">
        <f>+$G45*Multipliers!N314</f>
        <v>0</v>
      </c>
      <c r="T45" s="14">
        <f t="shared" ref="T45:T60" si="14">+S45+R45+Q45</f>
        <v>0</v>
      </c>
      <c r="U45" s="14">
        <f>+$G45*Multipliers!P314</f>
        <v>0</v>
      </c>
      <c r="V45" s="14">
        <f>+$G45*Multipliers!Q314</f>
        <v>0</v>
      </c>
      <c r="W45" s="14">
        <f>+$G45*Multipliers!R314</f>
        <v>0</v>
      </c>
      <c r="X45" s="14">
        <f t="shared" si="10"/>
        <v>0</v>
      </c>
      <c r="AB45" s="290" t="str">
        <f>DefaultData!C49</f>
        <v xml:space="preserve">  Interest rate</v>
      </c>
      <c r="AC45" s="11">
        <f>IF(ProjectData!$B$26="y",DefaultData!D49,ProjectData!B69)</f>
        <v>0.1</v>
      </c>
      <c r="AD45" s="11"/>
      <c r="AG45" s="290" t="s">
        <v>319</v>
      </c>
      <c r="AH45" s="18">
        <f>J55+J56+J57</f>
        <v>2.7148360516344301</v>
      </c>
      <c r="AI45" s="6">
        <f>(N55+N56+N57)*1000*G64</f>
        <v>132.79297261712418</v>
      </c>
      <c r="AJ45" s="6">
        <f>(R55+R56+R57)*1000*$G64</f>
        <v>423.42624491044239</v>
      </c>
      <c r="AK45" s="6">
        <f>(V55+V56+V57)*1000*$G64</f>
        <v>245.756368917564</v>
      </c>
      <c r="AL45" s="290"/>
    </row>
    <row r="46" spans="1:41">
      <c r="A46" s="174"/>
      <c r="B46" s="337"/>
      <c r="C46" s="393" t="s">
        <v>390</v>
      </c>
      <c r="D46" s="5">
        <f>$E$147*DefaultData!K62+$E$148*DefaultData!K63+$E$149*DefaultData!K64+$E$150*DefaultData!K65+$E$151*DefaultData!K66+$E$152*DefaultData!K67+$E$153*DefaultData!K68+$E$154*DefaultData!K69+$E$155*DefaultData!K70+$E$156*DefaultData!K71+$E$157*DefaultData!K72+$E$158*DefaultData!K73+$E$159*DefaultData!K74+$E$160*DefaultData!K75+$E$161*DefaultData!K76+$E$162*DefaultData!K77+$E$163*DefaultData!K78+$E$164*DefaultData!K79+$E$165*DefaultData!K80+$E$166*DefaultData!K81+$E$167*DefaultData!K82+$E$168*DefaultData!K83</f>
        <v>0</v>
      </c>
      <c r="F46" s="5">
        <f t="shared" si="11"/>
        <v>0</v>
      </c>
      <c r="G46" s="14">
        <f t="shared" si="6"/>
        <v>0</v>
      </c>
      <c r="H46" s="5"/>
      <c r="I46" s="18">
        <f>+G46*Multipliers!D315</f>
        <v>0</v>
      </c>
      <c r="J46" s="17">
        <f>+$G46*Multipliers!E315</f>
        <v>0</v>
      </c>
      <c r="K46" s="17">
        <f>+$G46*Multipliers!F315</f>
        <v>0</v>
      </c>
      <c r="L46" s="9">
        <f t="shared" si="12"/>
        <v>0</v>
      </c>
      <c r="M46" s="14">
        <f>+$G46*Multipliers!H315</f>
        <v>0</v>
      </c>
      <c r="N46" s="14">
        <f>+$G46*Multipliers!I315</f>
        <v>0</v>
      </c>
      <c r="O46" s="14">
        <f>+$G46*Multipliers!J315</f>
        <v>0</v>
      </c>
      <c r="P46" s="14">
        <f t="shared" si="13"/>
        <v>0</v>
      </c>
      <c r="Q46" s="14">
        <f>+$G46*Multipliers!L315</f>
        <v>0</v>
      </c>
      <c r="R46" s="14">
        <f>+$G46*Multipliers!M315</f>
        <v>0</v>
      </c>
      <c r="S46" s="14">
        <f>+$G46*Multipliers!N315</f>
        <v>0</v>
      </c>
      <c r="T46" s="14">
        <f t="shared" si="14"/>
        <v>0</v>
      </c>
      <c r="U46" s="14">
        <f>+$G46*Multipliers!P315</f>
        <v>0</v>
      </c>
      <c r="V46" s="14">
        <f>+$G46*Multipliers!Q315</f>
        <v>0</v>
      </c>
      <c r="W46" s="14">
        <f>+$G46*Multipliers!R315</f>
        <v>0</v>
      </c>
      <c r="X46" s="14">
        <f t="shared" si="10"/>
        <v>0</v>
      </c>
      <c r="AB46" s="1" t="str">
        <f>DefaultData!C51</f>
        <v>Tax Parameters</v>
      </c>
      <c r="AC46" s="5"/>
      <c r="AD46" s="4"/>
      <c r="AG46" s="290" t="s">
        <v>321</v>
      </c>
      <c r="AH46" s="18">
        <f>J58+K58</f>
        <v>4.6848747048899844</v>
      </c>
      <c r="AI46" s="6">
        <f>(M58+N58)*1000*G64</f>
        <v>261.62844950140476</v>
      </c>
      <c r="AJ46" s="6">
        <f>(Q58+R58)*1000*$G64</f>
        <v>744.45111558261726</v>
      </c>
      <c r="AK46" s="6">
        <f>(U58+V58)*1000*$G64</f>
        <v>438.09427262758243</v>
      </c>
      <c r="AL46" s="290"/>
    </row>
    <row r="47" spans="1:41">
      <c r="A47" s="174"/>
      <c r="B47" s="337"/>
      <c r="C47" s="393" t="s">
        <v>391</v>
      </c>
      <c r="D47" s="5">
        <f>$E$147*DefaultData!L62+$E$148*DefaultData!L63+$E$149*DefaultData!L64+$E$150*DefaultData!L65+$E$151*DefaultData!L66+$E$152*DefaultData!L67+$E$153*DefaultData!L68+$E$154*DefaultData!L69+$E$155*DefaultData!L70+$E$156*DefaultData!L71+$E$157*DefaultData!L72+$E$158*DefaultData!L73+$E$159*DefaultData!L74+$E$160*DefaultData!L75+$E$161*DefaultData!L76+$E$162*DefaultData!L77+$E$163*DefaultData!L78+$E$164*DefaultData!L79+$E$165*DefaultData!L80+$E$166*DefaultData!L81+$E$167*DefaultData!L82+$E$168*DefaultData!L83</f>
        <v>0</v>
      </c>
      <c r="F47" s="5">
        <f t="shared" si="11"/>
        <v>0</v>
      </c>
      <c r="G47" s="14">
        <f t="shared" si="6"/>
        <v>0</v>
      </c>
      <c r="H47" s="5"/>
      <c r="I47" s="18">
        <f>+G47*Multipliers!D316</f>
        <v>0</v>
      </c>
      <c r="J47" s="17">
        <f>+$G47*Multipliers!E316</f>
        <v>0</v>
      </c>
      <c r="K47" s="17">
        <f>+$G47*Multipliers!F316</f>
        <v>0</v>
      </c>
      <c r="L47" s="9">
        <f t="shared" si="12"/>
        <v>0</v>
      </c>
      <c r="M47" s="14">
        <f>+$G47*Multipliers!H316</f>
        <v>0</v>
      </c>
      <c r="N47" s="14">
        <f>+$G47*Multipliers!I316</f>
        <v>0</v>
      </c>
      <c r="O47" s="14">
        <f>+$G47*Multipliers!J316</f>
        <v>0</v>
      </c>
      <c r="P47" s="14">
        <f t="shared" si="13"/>
        <v>0</v>
      </c>
      <c r="Q47" s="14">
        <f>+$G47*Multipliers!L316</f>
        <v>0</v>
      </c>
      <c r="R47" s="14">
        <f>+$G47*Multipliers!M316</f>
        <v>0</v>
      </c>
      <c r="S47" s="14">
        <f>+$G47*Multipliers!N316</f>
        <v>0</v>
      </c>
      <c r="T47" s="14">
        <f t="shared" si="14"/>
        <v>0</v>
      </c>
      <c r="U47" s="14">
        <f>+$G47*Multipliers!P316</f>
        <v>0</v>
      </c>
      <c r="V47" s="14">
        <f>+$G47*Multipliers!Q316</f>
        <v>0</v>
      </c>
      <c r="W47" s="14">
        <f>+$G47*Multipliers!R316</f>
        <v>0</v>
      </c>
      <c r="X47" s="14">
        <f t="shared" si="10"/>
        <v>0</v>
      </c>
      <c r="AB47" s="290" t="str">
        <f>DefaultData!C52</f>
        <v xml:space="preserve">  Local Property Tax (percent of taxable value)</v>
      </c>
      <c r="AC47" s="11">
        <f>IF(ProjectData!$B$26="y",DefaultData!D52,ProjectData!B71)</f>
        <v>0</v>
      </c>
      <c r="AD47" s="4"/>
      <c r="AG47" s="290" t="s">
        <v>323</v>
      </c>
      <c r="AH47" s="18">
        <f>(I61+J61)-(SUM(AH42:AH46)+AH40)</f>
        <v>4.4423554257713214</v>
      </c>
      <c r="AI47" s="6">
        <f>((M61+N61)*1000*G64)-(SUM(AI42:AI46)+AI40)</f>
        <v>165.12818757917807</v>
      </c>
      <c r="AJ47" s="16">
        <f>((Q61+R61)*1000*$G64)-(SUM(AJ42:AJ46)+AJ40)</f>
        <v>451.1795203355241</v>
      </c>
      <c r="AK47" s="16">
        <f>((U61+V61)*1000*$G64)-(SUM(AK42:AK46)+AK40)</f>
        <v>273.06238931268308</v>
      </c>
    </row>
    <row r="48" spans="1:41">
      <c r="C48" s="393" t="s">
        <v>392</v>
      </c>
      <c r="D48" s="5">
        <f>$E$147*DefaultData!M62+$E$148*DefaultData!M63+$E$149*DefaultData!M64+$E$150*DefaultData!M65+$E$151*DefaultData!M66+$E$152*DefaultData!M67+$E$153*DefaultData!M68+$E$154*DefaultData!M69+$E$155*DefaultData!M70+$E$156*DefaultData!M71+$E$157*DefaultData!M72+$E$158*DefaultData!M73+$E$159*DefaultData!M74+$E$160*DefaultData!M75+$E$161*DefaultData!M76+$E$162*DefaultData!M77+$E$163*DefaultData!M78+$E$164*DefaultData!M79+$E$165*DefaultData!M80+$E$166*DefaultData!M81+$E$167*DefaultData!M82+$E$168*DefaultData!M83</f>
        <v>0</v>
      </c>
      <c r="F48" s="5">
        <f t="shared" si="11"/>
        <v>0</v>
      </c>
      <c r="G48" s="14">
        <f t="shared" si="6"/>
        <v>0</v>
      </c>
      <c r="H48" s="5"/>
      <c r="I48" s="18">
        <f>+G48*Multipliers!D317</f>
        <v>0</v>
      </c>
      <c r="J48" s="17">
        <f>+$G48*Multipliers!E317</f>
        <v>0</v>
      </c>
      <c r="K48" s="17">
        <f>+$G48*Multipliers!F317</f>
        <v>0</v>
      </c>
      <c r="L48" s="9">
        <f t="shared" si="12"/>
        <v>0</v>
      </c>
      <c r="M48" s="14">
        <f>+$G48*Multipliers!H317</f>
        <v>0</v>
      </c>
      <c r="N48" s="14">
        <f>+$G48*Multipliers!I317</f>
        <v>0</v>
      </c>
      <c r="O48" s="14">
        <f>+$G48*Multipliers!J317</f>
        <v>0</v>
      </c>
      <c r="P48" s="14">
        <f t="shared" si="13"/>
        <v>0</v>
      </c>
      <c r="Q48" s="14">
        <f>+$G48*Multipliers!L317</f>
        <v>0</v>
      </c>
      <c r="R48" s="14">
        <f>+$G48*Multipliers!M317</f>
        <v>0</v>
      </c>
      <c r="S48" s="14">
        <f>+$G48*Multipliers!N317</f>
        <v>0</v>
      </c>
      <c r="T48" s="14">
        <f t="shared" si="14"/>
        <v>0</v>
      </c>
      <c r="U48" s="14">
        <f>+$G48*Multipliers!P317</f>
        <v>0</v>
      </c>
      <c r="V48" s="14">
        <f>+$G48*Multipliers!Q317</f>
        <v>0</v>
      </c>
      <c r="W48" s="14">
        <f>+$G48*Multipliers!R317</f>
        <v>0</v>
      </c>
      <c r="X48" s="14">
        <f t="shared" si="10"/>
        <v>0</v>
      </c>
      <c r="AB48" s="290" t="str">
        <f>DefaultData!C53</f>
        <v xml:space="preserve">  Assessed Value (percent of construction cost)</v>
      </c>
      <c r="AC48" s="11">
        <f>IF(ProjectData!$B$26="y",DefaultData!D53,ProjectData!B72)</f>
        <v>0</v>
      </c>
      <c r="AD48" s="4"/>
      <c r="AG48" s="290" t="s">
        <v>324</v>
      </c>
      <c r="AH48" s="244">
        <f>SUM(AH42:AH47)</f>
        <v>13.884703727473902</v>
      </c>
      <c r="AI48" s="241">
        <f>SUM(AI42:AI47)</f>
        <v>678.28482871659446</v>
      </c>
      <c r="AJ48" s="241">
        <f>SUM(AJ42:AJ47)</f>
        <v>2029.8455033380556</v>
      </c>
      <c r="AK48" s="241">
        <f>SUM(AK42:AK47)</f>
        <v>1198.8502223681289</v>
      </c>
    </row>
    <row r="49" spans="3:37">
      <c r="C49" s="393" t="s">
        <v>393</v>
      </c>
      <c r="D49" s="5">
        <f>$E$147*DefaultData!N62+$E$148*DefaultData!N63+$E$149*DefaultData!N64+$E$150*DefaultData!N65+$E$151*DefaultData!N66+$E$152*DefaultData!N67+$E$153*DefaultData!N68+$E$154*DefaultData!N69+$E$155*DefaultData!N70+$E$156*DefaultData!N71+$E$157*DefaultData!N72+$E$158*DefaultData!N73+$E$159*DefaultData!N74+$E$160*DefaultData!N75+$E$161*DefaultData!N76+$E$162*DefaultData!N77+$E$163*DefaultData!N78+$E$164*DefaultData!N79+$E$165*DefaultData!N80+$E$166*DefaultData!N81+$E$167*DefaultData!N82+$E$168*DefaultData!N83</f>
        <v>0</v>
      </c>
      <c r="F49" s="5">
        <f t="shared" si="11"/>
        <v>0</v>
      </c>
      <c r="G49" s="14">
        <f t="shared" si="6"/>
        <v>0</v>
      </c>
      <c r="H49" s="5"/>
      <c r="I49" s="18">
        <f>+G49*Multipliers!D318</f>
        <v>0</v>
      </c>
      <c r="J49" s="17">
        <f>+$G49*Multipliers!E318</f>
        <v>0</v>
      </c>
      <c r="K49" s="17">
        <f>+$G49*Multipliers!F318</f>
        <v>0</v>
      </c>
      <c r="L49" s="9">
        <f t="shared" si="12"/>
        <v>0</v>
      </c>
      <c r="M49" s="14">
        <f>+$G49*Multipliers!H318</f>
        <v>0</v>
      </c>
      <c r="N49" s="14">
        <f>+$G49*Multipliers!I318</f>
        <v>0</v>
      </c>
      <c r="O49" s="14">
        <f>+$G49*Multipliers!J318</f>
        <v>0</v>
      </c>
      <c r="P49" s="14">
        <f t="shared" si="13"/>
        <v>0</v>
      </c>
      <c r="Q49" s="14">
        <f>+$G49*Multipliers!L318</f>
        <v>0</v>
      </c>
      <c r="R49" s="14">
        <f>+$G49*Multipliers!M318</f>
        <v>0</v>
      </c>
      <c r="S49" s="14">
        <f>+$G49*Multipliers!N318</f>
        <v>0</v>
      </c>
      <c r="T49" s="14">
        <f t="shared" si="14"/>
        <v>0</v>
      </c>
      <c r="U49" s="14">
        <f>+$G49*Multipliers!P318</f>
        <v>0</v>
      </c>
      <c r="V49" s="14">
        <f>+$G49*Multipliers!Q318</f>
        <v>0</v>
      </c>
      <c r="W49" s="14">
        <f>+$G49*Multipliers!R318</f>
        <v>0</v>
      </c>
      <c r="X49" s="14">
        <f t="shared" si="10"/>
        <v>0</v>
      </c>
      <c r="AB49" s="290" t="str">
        <f>DefaultData!C54</f>
        <v xml:space="preserve">  Taxable Value (percent of assessed value)</v>
      </c>
      <c r="AC49" s="11">
        <f>IF(ProjectData!$B$26="y",DefaultData!D54,ProjectData!B73)</f>
        <v>0</v>
      </c>
      <c r="AD49" s="11"/>
      <c r="AG49" s="233" t="s">
        <v>549</v>
      </c>
      <c r="AH49" s="244">
        <f>K61</f>
        <v>12.863980463979527</v>
      </c>
      <c r="AI49" s="241">
        <f>O64*1000</f>
        <v>552.81991653263833</v>
      </c>
      <c r="AJ49" s="241">
        <f>S64*1000</f>
        <v>1981.9830149873219</v>
      </c>
      <c r="AK49" s="241">
        <f>W64*1000</f>
        <v>1117.7923619072674</v>
      </c>
    </row>
    <row r="50" spans="3:37">
      <c r="C50" s="393" t="s">
        <v>394</v>
      </c>
      <c r="D50" s="5">
        <f>$E$147*DefaultData!O62+$E$148*DefaultData!O63+$E$149*DefaultData!O64+$E$150*DefaultData!O65+$E$151*DefaultData!O66+$E$152*DefaultData!O67+$E$153*DefaultData!O68+$E$154*DefaultData!O69+$E$155*DefaultData!O70+$E$156*DefaultData!O71+$E$157*DefaultData!O72+$E$158*DefaultData!O73+$E$159*DefaultData!O74+$E$160*DefaultData!O75+$E$161*DefaultData!O76+$E$162*DefaultData!O77+$E$163*DefaultData!O78+$E$164*DefaultData!O79+$E$165*DefaultData!O80+$E$166*DefaultData!O81+$E$167*DefaultData!O82+$E$168*DefaultData!O83</f>
        <v>236542.94224522461</v>
      </c>
      <c r="F50" s="5">
        <f t="shared" si="11"/>
        <v>236542.94224522461</v>
      </c>
      <c r="G50" s="14">
        <f t="shared" si="6"/>
        <v>0.27706274825183158</v>
      </c>
      <c r="H50" s="5"/>
      <c r="I50" s="18">
        <f>+G50*Multipliers!D319</f>
        <v>0.83895265121250406</v>
      </c>
      <c r="J50" s="17">
        <f>+$G50*Multipliers!E319</f>
        <v>0.91794268661360467</v>
      </c>
      <c r="K50" s="17">
        <f>+$G50*Multipliers!F319</f>
        <v>1.1871368528150845</v>
      </c>
      <c r="L50" s="9">
        <f t="shared" si="12"/>
        <v>2.9440321906411935</v>
      </c>
      <c r="M50" s="14">
        <f>+$G50*Multipliers!H319</f>
        <v>7.4391347905616786E-2</v>
      </c>
      <c r="N50" s="14">
        <f>+$G50*Multipliers!I319</f>
        <v>5.3853794628701511E-2</v>
      </c>
      <c r="O50" s="14">
        <f>+$G50*Multipliers!J319</f>
        <v>5.9748304597759233E-2</v>
      </c>
      <c r="P50" s="14">
        <f t="shared" si="13"/>
        <v>0.18799344713207755</v>
      </c>
      <c r="Q50" s="14">
        <f>+$G50*Multipliers!L319</f>
        <v>0.27706274825183158</v>
      </c>
      <c r="R50" s="14">
        <f>+$G50*Multipliers!M319</f>
        <v>0.17016002627810012</v>
      </c>
      <c r="S50" s="14">
        <f>+$G50*Multipliers!N319</f>
        <v>0.21425899566635115</v>
      </c>
      <c r="T50" s="14">
        <f t="shared" si="14"/>
        <v>0.66148177019628285</v>
      </c>
      <c r="U50" s="14">
        <f>+$G50*Multipliers!P319</f>
        <v>0.16406048987533603</v>
      </c>
      <c r="V50" s="14">
        <f>+$G50*Multipliers!Q319</f>
        <v>9.9104236798687156E-2</v>
      </c>
      <c r="W50" s="14">
        <f>+$G50*Multipliers!R319</f>
        <v>0.12082761863812025</v>
      </c>
      <c r="X50" s="14">
        <f t="shared" si="10"/>
        <v>0.38399234531214343</v>
      </c>
      <c r="AB50" s="290" t="str">
        <f>DefaultData!C55</f>
        <v xml:space="preserve">  Taxable Value</v>
      </c>
      <c r="AC50" s="94">
        <f>IF(ProjectData!$B$26="y",DefaultData!D55,ProjectData!B74)</f>
        <v>0</v>
      </c>
      <c r="AG50" s="233" t="s">
        <v>550</v>
      </c>
      <c r="AH50" s="244">
        <f>AH49+AH48+AH40</f>
        <v>37.491657951550465</v>
      </c>
      <c r="AI50" s="241">
        <f>AI49+AI48+AI40</f>
        <v>1873.8669310146906</v>
      </c>
      <c r="AJ50" s="241">
        <f>AJ49+AJ48+AJ40</f>
        <v>5169.3076879244427</v>
      </c>
      <c r="AK50" s="241">
        <f>AK49+AK48+AK40</f>
        <v>3192.4397988735577</v>
      </c>
    </row>
    <row r="51" spans="3:37">
      <c r="C51" s="393" t="s">
        <v>395</v>
      </c>
      <c r="D51" s="5">
        <f>$E$147*DefaultData!P62+$E$148*DefaultData!P63+$E$149*DefaultData!P64+$E$150*DefaultData!P65+$E$151*DefaultData!P66+$E$152*DefaultData!P67+$E$153*DefaultData!P68+$E$154*DefaultData!P69+$E$155*DefaultData!P70+$E$156*DefaultData!P71+$E$157*DefaultData!P72+$E$158*DefaultData!P73+$E$159*DefaultData!P74+$E$160*DefaultData!P75+$E$161*DefaultData!P76+$E$162*DefaultData!P77+$E$163*DefaultData!P78+$E$164*DefaultData!P79+$E$165*DefaultData!P80+$E$166*DefaultData!P81+$E$167*DefaultData!P82+$E$168*DefaultData!P83</f>
        <v>18120.268643352574</v>
      </c>
      <c r="F51" s="5">
        <f t="shared" si="11"/>
        <v>18120.268643352574</v>
      </c>
      <c r="G51" s="14">
        <f t="shared" si="6"/>
        <v>2.1224270661958873E-2</v>
      </c>
      <c r="H51" s="5"/>
      <c r="I51" s="18">
        <f>+G51*Multipliers!D320</f>
        <v>0.21865954649017205</v>
      </c>
      <c r="J51" s="17">
        <f>+$G51*Multipliers!E320</f>
        <v>6.7082660861885607E-2</v>
      </c>
      <c r="K51" s="17">
        <f>+$G51*Multipliers!F320</f>
        <v>0.10338562971855052</v>
      </c>
      <c r="L51" s="9">
        <f t="shared" si="12"/>
        <v>0.38912783707060816</v>
      </c>
      <c r="M51" s="14">
        <f>+$G51*Multipliers!H320</f>
        <v>7.1170073354506974E-3</v>
      </c>
      <c r="N51" s="14">
        <f>+$G51*Multipliers!I320</f>
        <v>3.7046327712329354E-3</v>
      </c>
      <c r="O51" s="14">
        <f>+$G51*Multipliers!J320</f>
        <v>5.2035544381924571E-3</v>
      </c>
      <c r="P51" s="14">
        <f t="shared" si="13"/>
        <v>1.6025194544876088E-2</v>
      </c>
      <c r="Q51" s="14">
        <f>+$G51*Multipliers!L320</f>
        <v>2.1224270661958873E-2</v>
      </c>
      <c r="R51" s="14">
        <f>+$G51*Multipliers!M320</f>
        <v>1.2682753952489481E-2</v>
      </c>
      <c r="S51" s="14">
        <f>+$G51*Multipliers!N320</f>
        <v>1.8657916750597452E-2</v>
      </c>
      <c r="T51" s="14">
        <f t="shared" si="14"/>
        <v>5.256494136504581E-2</v>
      </c>
      <c r="U51" s="14">
        <f>+$G51*Multipliers!P320</f>
        <v>1.288557308293516E-2</v>
      </c>
      <c r="V51" s="14">
        <f>+$G51*Multipliers!Q320</f>
        <v>7.3148812108321396E-3</v>
      </c>
      <c r="W51" s="14">
        <f>+$G51*Multipliers!R320</f>
        <v>1.0522229320455379E-2</v>
      </c>
      <c r="X51" s="14">
        <f t="shared" si="10"/>
        <v>3.0722683614222677E-2</v>
      </c>
      <c r="AB51" s="290" t="str">
        <f>DefaultData!C56</f>
        <v xml:space="preserve">  Property Tax Exemption (percent of local taxes)</v>
      </c>
      <c r="AC51" s="71">
        <f>IF(ProjectData!$B$26="y",DefaultData!D56,ProjectData!B75)</f>
        <v>1</v>
      </c>
      <c r="AG51" s="243"/>
      <c r="AH51" s="300"/>
      <c r="AI51" s="300"/>
      <c r="AJ51" s="300"/>
    </row>
    <row r="52" spans="3:37">
      <c r="C52" s="393" t="s">
        <v>396</v>
      </c>
      <c r="D52" s="5">
        <f>$E$147*DefaultData!Q62+$E$148*DefaultData!Q63+$E$149*DefaultData!Q64+$E$150*DefaultData!Q65+$E$151*DefaultData!Q66+$E$152*DefaultData!Q67+$E$153*DefaultData!Q68+$E$154*DefaultData!Q69+$E$155*DefaultData!Q70+$E$156*DefaultData!Q71+$E$157*DefaultData!Q72+$E$158*DefaultData!Q73+$E$159*DefaultData!Q74+$E$160*DefaultData!Q75+$E$161*DefaultData!Q76+$E$162*DefaultData!Q77+$E$163*DefaultData!Q78+$E$164*DefaultData!Q79+$E$165*DefaultData!Q80+$E$166*DefaultData!Q81+$E$167*DefaultData!Q82+$E$168*DefaultData!Q83</f>
        <v>58959.292953810771</v>
      </c>
      <c r="F52" s="5">
        <f t="shared" si="11"/>
        <v>58959.292953810771</v>
      </c>
      <c r="G52" s="14">
        <f t="shared" si="6"/>
        <v>6.905901983679856E-2</v>
      </c>
      <c r="H52" s="5"/>
      <c r="I52" s="18">
        <f>+G52*Multipliers!D321</f>
        <v>0.17202753771190163</v>
      </c>
      <c r="J52" s="17">
        <f>+$G52*Multipliers!E321</f>
        <v>0.23850395738386343</v>
      </c>
      <c r="K52" s="17">
        <f>+$G52*Multipliers!F321</f>
        <v>0.29913694809233454</v>
      </c>
      <c r="L52" s="9">
        <f t="shared" si="12"/>
        <v>0.70966844318809952</v>
      </c>
      <c r="M52" s="14">
        <f>+$G52*Multipliers!H321</f>
        <v>1.3737082107896297E-2</v>
      </c>
      <c r="N52" s="14">
        <f>+$G52*Multipliers!I321</f>
        <v>1.448423164351062E-2</v>
      </c>
      <c r="O52" s="14">
        <f>+$G52*Multipliers!J321</f>
        <v>1.5057421508156048E-2</v>
      </c>
      <c r="P52" s="14">
        <f t="shared" si="13"/>
        <v>4.3278735259562967E-2</v>
      </c>
      <c r="Q52" s="14">
        <f>+$G52*Multipliers!L321</f>
        <v>6.905901983679856E-2</v>
      </c>
      <c r="R52" s="14">
        <f>+$G52*Multipliers!M321</f>
        <v>5.357681629762636E-2</v>
      </c>
      <c r="S52" s="14">
        <f>+$G52*Multipliers!N321</f>
        <v>5.3972317304231708E-2</v>
      </c>
      <c r="T52" s="14">
        <f t="shared" si="14"/>
        <v>0.17660815343865663</v>
      </c>
      <c r="U52" s="14">
        <f>+$G52*Multipliers!P321</f>
        <v>3.5121276659380814E-2</v>
      </c>
      <c r="V52" s="14">
        <f>+$G52*Multipliers!Q321</f>
        <v>2.8692089089634373E-2</v>
      </c>
      <c r="W52" s="14">
        <f>+$G52*Multipliers!R321</f>
        <v>3.044149218014015E-2</v>
      </c>
      <c r="X52" s="14">
        <f t="shared" si="10"/>
        <v>9.4254857929155333E-2</v>
      </c>
      <c r="AB52" s="290" t="str">
        <f>DefaultData!C57</f>
        <v xml:space="preserve">  Local Property Taxes</v>
      </c>
      <c r="AC52" s="94">
        <f>IF(ProjectData!$B$26="y",DefaultData!D57,ProjectData!B76)</f>
        <v>0</v>
      </c>
      <c r="AD52" s="11">
        <f>IF(ProjectData!$B$26="y",DefaultData!F57,ProjectData!D76)</f>
        <v>1</v>
      </c>
      <c r="AG52" s="395" t="s">
        <v>551</v>
      </c>
      <c r="AH52" s="233"/>
      <c r="AI52" s="241"/>
      <c r="AJ52" s="241"/>
    </row>
    <row r="53" spans="3:37">
      <c r="C53" s="393" t="s">
        <v>397</v>
      </c>
      <c r="D53" s="5">
        <f>$E$147*DefaultData!R62+$E$148*DefaultData!R63+$E$149*DefaultData!R64+$E$150*DefaultData!R65+$E$151*DefaultData!R66+$E$152*DefaultData!R67+$E$153*DefaultData!R68+$E$154*DefaultData!R69+$E$155*DefaultData!R70+$E$156*DefaultData!R71+$E$157*DefaultData!R72+$E$158*DefaultData!R73+$E$159*DefaultData!R74+$E$160*DefaultData!R75+$E$161*DefaultData!R76+$E$162*DefaultData!R77+$E$163*DefaultData!R78+$E$164*DefaultData!R79+$E$165*DefaultData!R80+$E$166*DefaultData!R81+$E$167*DefaultData!R82+$E$168*DefaultData!R83</f>
        <v>0</v>
      </c>
      <c r="F53" s="5">
        <f t="shared" si="11"/>
        <v>0</v>
      </c>
      <c r="G53" s="14">
        <f t="shared" si="6"/>
        <v>0</v>
      </c>
      <c r="I53" s="18">
        <f>+G53*Multipliers!D322</f>
        <v>0</v>
      </c>
      <c r="J53" s="17">
        <f>+$G53*Multipliers!E322</f>
        <v>0</v>
      </c>
      <c r="K53" s="17">
        <f>+$G53*Multipliers!F322</f>
        <v>0</v>
      </c>
      <c r="L53" s="9">
        <f t="shared" si="12"/>
        <v>0</v>
      </c>
      <c r="M53" s="14">
        <f>+$G53*Multipliers!H322</f>
        <v>0</v>
      </c>
      <c r="N53" s="14">
        <f>+$G53*Multipliers!I322</f>
        <v>0</v>
      </c>
      <c r="O53" s="14">
        <f>+$G53*Multipliers!J322</f>
        <v>0</v>
      </c>
      <c r="P53" s="14">
        <f t="shared" si="13"/>
        <v>0</v>
      </c>
      <c r="Q53" s="14">
        <f>+$G53*Multipliers!L322</f>
        <v>0</v>
      </c>
      <c r="R53" s="14">
        <f>+$G53*Multipliers!M322</f>
        <v>0</v>
      </c>
      <c r="S53" s="14">
        <f>+$G53*Multipliers!N322</f>
        <v>0</v>
      </c>
      <c r="T53" s="14">
        <f t="shared" si="14"/>
        <v>0</v>
      </c>
      <c r="U53" s="14">
        <f>+$G53*Multipliers!P322</f>
        <v>0</v>
      </c>
      <c r="V53" s="14">
        <f>+$G53*Multipliers!Q322</f>
        <v>0</v>
      </c>
      <c r="W53" s="14">
        <f>+$G53*Multipliers!R322</f>
        <v>0</v>
      </c>
      <c r="X53" s="14">
        <f t="shared" si="10"/>
        <v>0</v>
      </c>
      <c r="AB53" s="290" t="str">
        <f>DefaultData!C58</f>
        <v xml:space="preserve">  Local Sales Tax Rate</v>
      </c>
      <c r="AC53" s="147">
        <f>IF(ProjectData!$B$26="y",DefaultData!D58,ProjectData!B77)</f>
        <v>6.25E-2</v>
      </c>
      <c r="AD53" s="11">
        <f>IF(ProjectData!$B$26="y",DefaultData!F58,ProjectData!D77)</f>
        <v>1</v>
      </c>
      <c r="AG53" s="178" t="s">
        <v>329</v>
      </c>
      <c r="AH53" s="233"/>
      <c r="AI53" s="233"/>
      <c r="AJ53" s="233"/>
    </row>
    <row r="54" spans="3:37">
      <c r="C54" s="393" t="s">
        <v>398</v>
      </c>
      <c r="D54" s="5">
        <f>$E$147*DefaultData!S62+$E$148*DefaultData!S63+$E$149*DefaultData!S64+$E$150*DefaultData!S65+$E$151*DefaultData!S66+$E$152*DefaultData!S67+$E$153*DefaultData!S68+$E$154*DefaultData!S69+$E$155*DefaultData!S70+$E$156*DefaultData!S71+$E$157*DefaultData!S72+$E$158*DefaultData!S73+$E$159*DefaultData!S74+$E$160*DefaultData!S75+$E$161*DefaultData!S76+$E$162*DefaultData!S77+$E$163*DefaultData!S78+$E$164*DefaultData!S79+$E$165*DefaultData!S80+$E$166*DefaultData!S81+$E$167*DefaultData!S82+$E$168*DefaultData!S83</f>
        <v>0</v>
      </c>
      <c r="E54" s="5"/>
      <c r="F54" s="5">
        <f t="shared" si="11"/>
        <v>0</v>
      </c>
      <c r="G54" s="14">
        <f t="shared" si="6"/>
        <v>0</v>
      </c>
      <c r="H54" s="5"/>
      <c r="I54" s="18">
        <f>+G54*Multipliers!D323</f>
        <v>0</v>
      </c>
      <c r="J54" s="17">
        <f>+$G54*Multipliers!E323</f>
        <v>0</v>
      </c>
      <c r="K54" s="17">
        <f>+$G54*Multipliers!F323</f>
        <v>0</v>
      </c>
      <c r="L54" s="9">
        <f t="shared" si="12"/>
        <v>0</v>
      </c>
      <c r="M54" s="14">
        <f>+$G54*Multipliers!H323</f>
        <v>0</v>
      </c>
      <c r="N54" s="14">
        <f>+$G54*Multipliers!I323</f>
        <v>0</v>
      </c>
      <c r="O54" s="14">
        <f>+$G54*Multipliers!J323</f>
        <v>0</v>
      </c>
      <c r="P54" s="14">
        <f t="shared" si="13"/>
        <v>0</v>
      </c>
      <c r="Q54" s="14">
        <f>+$G54*Multipliers!L323</f>
        <v>0</v>
      </c>
      <c r="R54" s="14">
        <f>+$G54*Multipliers!M323</f>
        <v>0</v>
      </c>
      <c r="S54" s="14">
        <f>+$G54*Multipliers!N323</f>
        <v>0</v>
      </c>
      <c r="T54" s="14">
        <f t="shared" si="14"/>
        <v>0</v>
      </c>
      <c r="U54" s="14">
        <f>+$G54*Multipliers!P323</f>
        <v>0</v>
      </c>
      <c r="V54" s="14">
        <f>+$G54*Multipliers!Q323</f>
        <v>0</v>
      </c>
      <c r="W54" s="14">
        <f>+$G54*Multipliers!R323</f>
        <v>0</v>
      </c>
      <c r="X54" s="14">
        <f t="shared" si="10"/>
        <v>0</v>
      </c>
      <c r="AB54" s="290" t="s">
        <v>140</v>
      </c>
      <c r="AC54" s="147">
        <f>IF(ProjectData!$B$26="y",DefaultData!D59,ProjectData!B78)</f>
        <v>0</v>
      </c>
      <c r="AD54" s="11"/>
      <c r="AG54" s="207" t="s">
        <v>330</v>
      </c>
      <c r="AH54" s="245">
        <f>L143</f>
        <v>0.29594071717289261</v>
      </c>
      <c r="AI54" s="241">
        <f>P145*1000</f>
        <v>16.655168913668085</v>
      </c>
      <c r="AJ54" s="241">
        <f>T145*1000</f>
        <v>16.655168913668085</v>
      </c>
      <c r="AK54" s="241">
        <f>X145*1000</f>
        <v>16.655168913668085</v>
      </c>
    </row>
    <row r="55" spans="3:37">
      <c r="C55" s="393" t="s">
        <v>399</v>
      </c>
      <c r="D55" s="5">
        <f>$E$147*DefaultData!T62+$E$148*DefaultData!T63+$E$149*DefaultData!T64+$E$150*DefaultData!T65+$E$151*DefaultData!T66+$E$152*DefaultData!T67+$E$153*DefaultData!T68+$E$154*DefaultData!T69+$E$155*DefaultData!T70+$E$156*DefaultData!T71+$E$157*DefaultData!T72+$E$158*DefaultData!T73+$E$159*DefaultData!T74+$E$160*DefaultData!T75+$E$161*DefaultData!T76+$E$162*DefaultData!T77+$E$163*DefaultData!T78+$E$164*DefaultData!T79+$E$165*DefaultData!T80+$E$166*DefaultData!T81+$E$167*DefaultData!T82+$E$168*DefaultData!T83</f>
        <v>0</v>
      </c>
      <c r="E55" s="5"/>
      <c r="F55" s="5">
        <f t="shared" si="11"/>
        <v>0</v>
      </c>
      <c r="G55" s="14">
        <f t="shared" si="6"/>
        <v>0</v>
      </c>
      <c r="H55" s="5"/>
      <c r="I55" s="18">
        <f>+G55*Multipliers!D324</f>
        <v>0</v>
      </c>
      <c r="J55" s="17">
        <f>+$G55*Multipliers!E324</f>
        <v>0</v>
      </c>
      <c r="K55" s="17">
        <f>+$G55*Multipliers!F324</f>
        <v>0</v>
      </c>
      <c r="L55" s="9">
        <f t="shared" si="12"/>
        <v>0</v>
      </c>
      <c r="M55" s="14">
        <f>+$G55*Multipliers!H324</f>
        <v>0</v>
      </c>
      <c r="N55" s="14">
        <f>+$G55*Multipliers!I324</f>
        <v>0</v>
      </c>
      <c r="O55" s="14">
        <f>+$G55*Multipliers!J324</f>
        <v>0</v>
      </c>
      <c r="P55" s="14">
        <f t="shared" si="13"/>
        <v>0</v>
      </c>
      <c r="Q55" s="14">
        <f>+$G55*Multipliers!L324</f>
        <v>0</v>
      </c>
      <c r="R55" s="14">
        <f>+$G55*Multipliers!M324</f>
        <v>0</v>
      </c>
      <c r="S55" s="14">
        <f>+$G55*Multipliers!N324</f>
        <v>0</v>
      </c>
      <c r="T55" s="14">
        <f t="shared" si="14"/>
        <v>0</v>
      </c>
      <c r="U55" s="14">
        <f>+$G55*Multipliers!P324</f>
        <v>0</v>
      </c>
      <c r="V55" s="14">
        <f>+$G55*Multipliers!Q324</f>
        <v>0</v>
      </c>
      <c r="W55" s="14">
        <f>+$G55*Multipliers!R324</f>
        <v>0</v>
      </c>
      <c r="X55" s="14">
        <f t="shared" si="10"/>
        <v>0</v>
      </c>
      <c r="AB55" s="290"/>
      <c r="AC55" s="147"/>
      <c r="AG55" s="204" t="s">
        <v>331</v>
      </c>
      <c r="AH55" s="245">
        <f>(L173-AH54)+M173</f>
        <v>0.13571323287147569</v>
      </c>
      <c r="AI55" s="241">
        <f>((P174+Q174)*1000)-AI54</f>
        <v>7.5092426320467531</v>
      </c>
      <c r="AJ55" s="241">
        <f>((T174+U174)*1000)-AJ54</f>
        <v>27.312984458765214</v>
      </c>
      <c r="AK55" s="241">
        <f>((X174+Y174)*1000)-AK54</f>
        <v>15.618722605467845</v>
      </c>
    </row>
    <row r="56" spans="3:37">
      <c r="C56" s="393" t="s">
        <v>400</v>
      </c>
      <c r="D56" s="5">
        <f>$E$147*DefaultData!U62+$E$148*DefaultData!U63+$E$149*DefaultData!U64+$E$150*DefaultData!U65+$E$151*DefaultData!U66+$E$152*DefaultData!U67+$E$153*DefaultData!U68+$E$154*DefaultData!U69+$E$155*DefaultData!U70+$E$156*DefaultData!U71+$E$157*DefaultData!U72+$E$158*DefaultData!U73+$E$159*DefaultData!U74+$E$160*DefaultData!U75+$E$161*DefaultData!U76+$E$162*DefaultData!U77+$E$163*DefaultData!U78+$E$164*DefaultData!U79+$E$165*DefaultData!U80+$E$166*DefaultData!U81+$E$167*DefaultData!U82+$E$168*DefaultData!U83</f>
        <v>617867.85031857085</v>
      </c>
      <c r="E56" s="5"/>
      <c r="F56" s="5">
        <f t="shared" si="11"/>
        <v>617867.85031857085</v>
      </c>
      <c r="G56" s="14">
        <f t="shared" si="6"/>
        <v>0.72370861307814205</v>
      </c>
      <c r="H56" s="5"/>
      <c r="I56" s="18">
        <f>+G56*Multipliers!D325</f>
        <v>4.5454118840407611</v>
      </c>
      <c r="J56" s="17">
        <f>+$G56*Multipliers!E325</f>
        <v>1.7125869568225678</v>
      </c>
      <c r="K56" s="17">
        <f>+$G56*Multipliers!F325</f>
        <v>4.0495658226247251</v>
      </c>
      <c r="L56" s="9">
        <f t="shared" si="12"/>
        <v>10.307564663488055</v>
      </c>
      <c r="M56" s="14">
        <f>+$G56*Multipliers!H325</f>
        <v>0.30585301035047135</v>
      </c>
      <c r="N56" s="14">
        <f>+$G56*Multipliers!I325</f>
        <v>9.5900075736210746E-2</v>
      </c>
      <c r="O56" s="14">
        <f>+$G56*Multipliers!J325</f>
        <v>0.20383108345623255</v>
      </c>
      <c r="P56" s="14">
        <f t="shared" si="13"/>
        <v>0.60558416954291472</v>
      </c>
      <c r="Q56" s="14">
        <f>+$G56*Multipliers!L325</f>
        <v>0.72370861307814205</v>
      </c>
      <c r="R56" s="14">
        <f>+$G56*Multipliers!M325</f>
        <v>0.30575530968770581</v>
      </c>
      <c r="S56" s="14">
        <f>+$G56*Multipliers!N325</f>
        <v>0.73072352066470847</v>
      </c>
      <c r="T56" s="14">
        <f t="shared" si="14"/>
        <v>1.7601874434305562</v>
      </c>
      <c r="U56" s="14">
        <f>+$G56*Multipliers!P325</f>
        <v>0.52018293465662846</v>
      </c>
      <c r="V56" s="14">
        <f>+$G56*Multipliers!Q325</f>
        <v>0.18052983724095562</v>
      </c>
      <c r="W56" s="14">
        <f>+$G56*Multipliers!R325</f>
        <v>0.41212238309486571</v>
      </c>
      <c r="X56" s="14">
        <f t="shared" si="10"/>
        <v>1.1128351549924498</v>
      </c>
      <c r="AB56" s="290"/>
      <c r="AC56" s="147"/>
      <c r="AG56" s="233" t="s">
        <v>549</v>
      </c>
      <c r="AH56" s="245">
        <f>N173</f>
        <v>0.13060843730404842</v>
      </c>
      <c r="AI56" s="241">
        <f>R174*1000</f>
        <v>5.6127327813347732</v>
      </c>
      <c r="AJ56" s="241">
        <f>V174*1000</f>
        <v>20.12382837816001</v>
      </c>
      <c r="AK56" s="241">
        <f>Z174*1000</f>
        <v>11.349188172558009</v>
      </c>
    </row>
    <row r="57" spans="3:37">
      <c r="C57" s="393" t="s">
        <v>401</v>
      </c>
      <c r="D57" s="5">
        <f>$E$147*DefaultData!V62+$E$148*DefaultData!V63+$E$149*DefaultData!V64+$E$150*DefaultData!V65+$E$151*DefaultData!V66+$E$152*DefaultData!V67+$E$153*DefaultData!V68+$E$154*DefaultData!V69+$E$155*DefaultData!V70+$E$156*DefaultData!V71+$E$157*DefaultData!V72+$E$158*DefaultData!V73+$E$159*DefaultData!V74+$E$160*DefaultData!V75+$E$161*DefaultData!V76+$E$162*DefaultData!V77+$E$163*DefaultData!V78+$E$164*DefaultData!V79+$E$165*DefaultData!V80+$E$166*DefaultData!V81+$E$167*DefaultData!V82+$E$168*DefaultData!V83</f>
        <v>278475.65084780654</v>
      </c>
      <c r="E57" s="5"/>
      <c r="F57" s="5">
        <f t="shared" si="11"/>
        <v>278475.65084780654</v>
      </c>
      <c r="G57" s="14">
        <f t="shared" si="6"/>
        <v>0.3261785298380358</v>
      </c>
      <c r="H57" s="5"/>
      <c r="I57" s="18">
        <f>+G57*Multipliers!D326</f>
        <v>1.8886581680014554</v>
      </c>
      <c r="J57" s="17">
        <f>+$G57*Multipliers!E326</f>
        <v>1.0022490948118623</v>
      </c>
      <c r="K57" s="17">
        <f>+$G57*Multipliers!F326</f>
        <v>2.0165410271238753</v>
      </c>
      <c r="L57" s="9">
        <f t="shared" si="12"/>
        <v>4.907448289937193</v>
      </c>
      <c r="M57" s="14">
        <f>+$G57*Multipliers!H326</f>
        <v>0.14117985306979702</v>
      </c>
      <c r="N57" s="14">
        <f>+$G57*Multipliers!I326</f>
        <v>5.9631632646459869E-2</v>
      </c>
      <c r="O57" s="14">
        <f>+$G57*Multipliers!J326</f>
        <v>0.10150023491499999</v>
      </c>
      <c r="P57" s="14">
        <f t="shared" si="13"/>
        <v>0.30231172063125689</v>
      </c>
      <c r="Q57" s="14">
        <f>+$G57*Multipliers!L326</f>
        <v>0.3261785298380358</v>
      </c>
      <c r="R57" s="14">
        <f>+$G57*Multipliers!M326</f>
        <v>0.19017610857235789</v>
      </c>
      <c r="S57" s="14">
        <f>+$G57*Multipliers!N326</f>
        <v>0.363878244316716</v>
      </c>
      <c r="T57" s="14">
        <f t="shared" si="14"/>
        <v>0.88023288272710976</v>
      </c>
      <c r="U57" s="14">
        <f>+$G57*Multipliers!P326</f>
        <v>0.19978858984668482</v>
      </c>
      <c r="V57" s="14">
        <f>+$G57*Multipliers!Q326</f>
        <v>0.10730849599582587</v>
      </c>
      <c r="W57" s="14">
        <f>+$G57*Multipliers!R326</f>
        <v>0.20522337651084618</v>
      </c>
      <c r="X57" s="14">
        <f t="shared" si="10"/>
        <v>0.51232046235335682</v>
      </c>
      <c r="AB57" s="290"/>
      <c r="AC57" s="147"/>
      <c r="AG57" s="233" t="s">
        <v>550</v>
      </c>
      <c r="AH57" s="245">
        <f>SUM(AH54:AH56)</f>
        <v>0.56226238734841671</v>
      </c>
      <c r="AI57" s="241">
        <f>SUM(AI54:AI56)</f>
        <v>29.777144327049612</v>
      </c>
      <c r="AJ57" s="241">
        <f>SUM(AJ54:AJ56)</f>
        <v>64.091981750593305</v>
      </c>
      <c r="AK57" s="241">
        <f>SUM(AK54:AK56)</f>
        <v>43.623079691693938</v>
      </c>
    </row>
    <row r="58" spans="3:37">
      <c r="C58" s="393" t="s">
        <v>402</v>
      </c>
      <c r="D58" s="5">
        <f>$E$147*DefaultData!W62+$E$148*DefaultData!W63+$E$149*DefaultData!W64+$E$150*DefaultData!W65+$E$151*DefaultData!W66+$E$152*DefaultData!W67+$E$153*DefaultData!W68+$E$154*DefaultData!W69+$E$155*DefaultData!W70+$E$156*DefaultData!W71+$E$157*DefaultData!W72+$E$158*DefaultData!W73+$E$159*DefaultData!W74+$E$160*DefaultData!W75+$E$161*DefaultData!W76+$E$162*DefaultData!W77+$E$163*DefaultData!W78+$E$164*DefaultData!W79+$E$165*DefaultData!W80+$E$166*DefaultData!W81+$E$167*DefaultData!W82+$E$168*DefaultData!W83</f>
        <v>465768.55734134885</v>
      </c>
      <c r="E58" s="5"/>
      <c r="F58" s="5">
        <f t="shared" si="11"/>
        <v>465768.55734134885</v>
      </c>
      <c r="G58" s="14">
        <f t="shared" si="6"/>
        <v>0.54555471121392185</v>
      </c>
      <c r="H58" s="5"/>
      <c r="I58" s="18">
        <f>+G58*Multipliers!D327</f>
        <v>4.6440437536386012</v>
      </c>
      <c r="J58" s="17">
        <f>+$G58*Multipliers!E327</f>
        <v>1.7122081856129798</v>
      </c>
      <c r="K58" s="17">
        <f>+$G58*Multipliers!F327</f>
        <v>2.9726665192770043</v>
      </c>
      <c r="L58" s="9">
        <f t="shared" si="12"/>
        <v>9.3289184585285856</v>
      </c>
      <c r="M58" s="14">
        <f>+$G58*Multipliers!H327</f>
        <v>0.21013949143893448</v>
      </c>
      <c r="N58" s="14">
        <f>+$G58*Multipliers!I327</f>
        <v>9.6288769865123552E-2</v>
      </c>
      <c r="O58" s="14">
        <f>+$G58*Multipliers!J327</f>
        <v>0.14962056176926292</v>
      </c>
      <c r="P58" s="14">
        <f t="shared" si="13"/>
        <v>0.45604882307332095</v>
      </c>
      <c r="Q58" s="14">
        <f>+$G58*Multipliers!L327</f>
        <v>0.54555471121392185</v>
      </c>
      <c r="R58" s="14">
        <f>+$G58*Multipliers!M327</f>
        <v>0.32637210488190538</v>
      </c>
      <c r="S58" s="14">
        <f>+$G58*Multipliers!N327</f>
        <v>0.53645322196673995</v>
      </c>
      <c r="T58" s="14">
        <f t="shared" si="14"/>
        <v>1.4083800380625671</v>
      </c>
      <c r="U58" s="14">
        <f>+$G58*Multipliers!P327</f>
        <v>0.33012497574034599</v>
      </c>
      <c r="V58" s="14">
        <f>+$G58*Multipliers!Q327</f>
        <v>0.18298614235239519</v>
      </c>
      <c r="W58" s="14">
        <f>+$G58*Multipliers!R327</f>
        <v>0.30254118398665886</v>
      </c>
      <c r="X58" s="14">
        <f t="shared" si="10"/>
        <v>0.81565230207939998</v>
      </c>
      <c r="AB58" s="290"/>
      <c r="AC58" s="147"/>
      <c r="AI58" s="197"/>
    </row>
    <row r="59" spans="3:37">
      <c r="C59" s="393" t="s">
        <v>403</v>
      </c>
      <c r="D59" s="5">
        <f>$E$147*DefaultData!X62+$E$148*DefaultData!X63+$E$149*DefaultData!X64+$E$150*DefaultData!X65+$E$151*DefaultData!X66+$E$152*DefaultData!X67+$E$153*DefaultData!X68+$E$154*DefaultData!X69+$E$155*DefaultData!X70+$E$156*DefaultData!X71+$E$157*DefaultData!X72+$E$158*DefaultData!X73+$E$159*DefaultData!X74+$E$160*DefaultData!X75+$E$161*DefaultData!X76+$E$162*DefaultData!X77+$E$163*DefaultData!X78+$E$164*DefaultData!X79+$E$165*DefaultData!X80+$E$166*DefaultData!X81+$E$167*DefaultData!X82+$E$168*DefaultData!X83</f>
        <v>111404.68287590686</v>
      </c>
      <c r="E59" s="5"/>
      <c r="F59" s="5">
        <f t="shared" si="11"/>
        <v>111404.68287590686</v>
      </c>
      <c r="G59" s="14">
        <f t="shared" si="6"/>
        <v>0.13048830505254971</v>
      </c>
      <c r="H59" s="5"/>
      <c r="I59" s="18">
        <f>+G59*Multipliers!D328</f>
        <v>1.1523744525304145</v>
      </c>
      <c r="J59" s="17">
        <f>+$G59*Multipliers!E328</f>
        <v>6.5818170580201035E-2</v>
      </c>
      <c r="K59" s="17">
        <f>+$G59*Multipliers!F328</f>
        <v>0.83594240059086233</v>
      </c>
      <c r="L59" s="9">
        <f t="shared" si="12"/>
        <v>2.0541350237014777</v>
      </c>
      <c r="M59" s="14">
        <f>+$G59*Multipliers!H328</f>
        <v>9.616844545237356E-2</v>
      </c>
      <c r="N59" s="14">
        <f>+$G59*Multipliers!I328</f>
        <v>3.8387049580359076E-3</v>
      </c>
      <c r="O59" s="14">
        <f>+$G59*Multipliers!J328</f>
        <v>4.2068777107416765E-2</v>
      </c>
      <c r="P59" s="14">
        <f t="shared" si="13"/>
        <v>0.14207592751782622</v>
      </c>
      <c r="Q59" s="14">
        <f>+$G59*Multipliers!L328</f>
        <v>0.13048830505254971</v>
      </c>
      <c r="R59" s="14">
        <f>+$G59*Multipliers!M328</f>
        <v>1.4664014745195433E-2</v>
      </c>
      <c r="S59" s="14">
        <f>+$G59*Multipliers!N328</f>
        <v>0.15090815893361312</v>
      </c>
      <c r="T59" s="14">
        <f t="shared" si="14"/>
        <v>0.29606047873135827</v>
      </c>
      <c r="U59" s="14">
        <f>+$G59*Multipliers!P328</f>
        <v>0.1213115845114241</v>
      </c>
      <c r="V59" s="14">
        <f>+$G59*Multipliers!Q328</f>
        <v>7.5047738884872917E-3</v>
      </c>
      <c r="W59" s="14">
        <f>+$G59*Multipliers!R328</f>
        <v>8.5092206654597977E-2</v>
      </c>
      <c r="X59" s="14">
        <f t="shared" si="10"/>
        <v>0.21390856505450936</v>
      </c>
      <c r="AB59" s="290"/>
      <c r="AC59" s="147"/>
      <c r="AI59" s="197"/>
    </row>
    <row r="60" spans="3:37">
      <c r="C60" s="393" t="s">
        <v>404</v>
      </c>
      <c r="D60" s="5">
        <f>$E$147*DefaultData!Y62+$E$148*DefaultData!Y63+$E$149*DefaultData!Y64+$E$150*DefaultData!Y65+$E$151*DefaultData!Y66+$E$152*DefaultData!Y67+$E$153*DefaultData!Y68+$E$154*DefaultData!Y69+$E$155*DefaultData!Y70+$E$156*DefaultData!Y71+$E$157*DefaultData!Y72+$E$158*DefaultData!Y73+$E$159*DefaultData!Y74+$E$160*DefaultData!Y75+$E$161*DefaultData!Y76+$E$162*DefaultData!Y77+$E$163*DefaultData!Y78+$E$164*DefaultData!Y79+$E$165*DefaultData!Y80+$E$166*DefaultData!Y81+$E$167*DefaultData!Y82+$E$168*DefaultData!Y83</f>
        <v>0</v>
      </c>
      <c r="E60" s="5"/>
      <c r="F60" s="5">
        <f t="shared" si="11"/>
        <v>0</v>
      </c>
      <c r="G60" s="14">
        <f t="shared" si="6"/>
        <v>0</v>
      </c>
      <c r="H60" s="5"/>
      <c r="I60" s="18">
        <f>+G60*Multipliers!D329</f>
        <v>0</v>
      </c>
      <c r="J60" s="17">
        <f>+$G60*Multipliers!E329</f>
        <v>0</v>
      </c>
      <c r="K60" s="17">
        <f>+$G60*Multipliers!F329</f>
        <v>0</v>
      </c>
      <c r="L60" s="9">
        <f t="shared" si="12"/>
        <v>0</v>
      </c>
      <c r="M60" s="14">
        <f>+$G60*Multipliers!H329</f>
        <v>0</v>
      </c>
      <c r="N60" s="14">
        <f>+$G60*Multipliers!I329</f>
        <v>0</v>
      </c>
      <c r="O60" s="14">
        <f>+$G60*Multipliers!J329</f>
        <v>0</v>
      </c>
      <c r="P60" s="14">
        <f t="shared" si="13"/>
        <v>0</v>
      </c>
      <c r="Q60" s="14">
        <f>+$G60*Multipliers!L329</f>
        <v>0</v>
      </c>
      <c r="R60" s="14">
        <f>+$G60*Multipliers!M329</f>
        <v>0</v>
      </c>
      <c r="S60" s="14">
        <f>+$G60*Multipliers!N329</f>
        <v>0</v>
      </c>
      <c r="T60" s="14">
        <f t="shared" si="14"/>
        <v>0</v>
      </c>
      <c r="U60" s="14">
        <f>+$G60*Multipliers!P329</f>
        <v>0</v>
      </c>
      <c r="V60" s="14">
        <f>+$G60*Multipliers!Q329</f>
        <v>0</v>
      </c>
      <c r="W60" s="14">
        <f>+$G60*Multipliers!R329</f>
        <v>0</v>
      </c>
      <c r="X60" s="14">
        <f t="shared" si="10"/>
        <v>0</v>
      </c>
      <c r="AB60" s="290"/>
      <c r="AC60" s="147"/>
      <c r="AI60" s="197"/>
    </row>
    <row r="61" spans="3:37">
      <c r="C61" s="3" t="s">
        <v>133</v>
      </c>
      <c r="D61" s="5">
        <f>SUM(D39:D60)</f>
        <v>2048210.1678958398</v>
      </c>
      <c r="E61" s="5"/>
      <c r="F61" s="5">
        <f>SUM(F39:F60)</f>
        <v>2048210.1678958398</v>
      </c>
      <c r="G61" s="14">
        <f>SUM(G39:G60)</f>
        <v>2.3990685696563969</v>
      </c>
      <c r="H61" s="5"/>
      <c r="I61" s="27">
        <f>SUM(I39:I60)</f>
        <v>17.769031701680628</v>
      </c>
      <c r="J61" s="17">
        <f>SUM(J39:J60)</f>
        <v>6.8586457858903049</v>
      </c>
      <c r="K61" s="17">
        <f>SUM(K39:K60)</f>
        <v>12.863980463979527</v>
      </c>
      <c r="L61" s="17">
        <f>SUM(L39:L60)</f>
        <v>37.491657951550458</v>
      </c>
      <c r="M61" s="14">
        <f>SUM(M39:M60)</f>
        <v>1.1543786093836987</v>
      </c>
      <c r="N61" s="14">
        <f t="shared" ref="N61:T61" si="15">SUM(N39:N60)</f>
        <v>0.39287720518886221</v>
      </c>
      <c r="O61" s="14">
        <f t="shared" si="15"/>
        <v>0.64748174810569015</v>
      </c>
      <c r="P61" s="14">
        <f t="shared" si="15"/>
        <v>2.1947375626782515</v>
      </c>
      <c r="Q61" s="14">
        <f t="shared" si="15"/>
        <v>2.3990685696563969</v>
      </c>
      <c r="R61" s="14">
        <f t="shared" si="15"/>
        <v>1.3340359898857925</v>
      </c>
      <c r="S61" s="14">
        <f t="shared" si="15"/>
        <v>2.3213668481931622</v>
      </c>
      <c r="T61" s="14">
        <f t="shared" si="15"/>
        <v>6.0544714077353516</v>
      </c>
      <c r="U61" s="14">
        <f t="shared" ref="U61:X61" si="16">SUM(U39:U60)</f>
        <v>1.6892677960958939</v>
      </c>
      <c r="V61" s="14">
        <f t="shared" si="16"/>
        <v>0.74063081829423305</v>
      </c>
      <c r="W61" s="14">
        <f t="shared" si="16"/>
        <v>1.3091969570242064</v>
      </c>
      <c r="X61" s="14">
        <f t="shared" si="16"/>
        <v>3.739095571414333</v>
      </c>
      <c r="AB61" s="290"/>
      <c r="AI61" s="197"/>
    </row>
    <row r="62" spans="3:37">
      <c r="C62" s="3"/>
      <c r="I62" s="18"/>
      <c r="J62" s="10"/>
      <c r="K62" s="18"/>
      <c r="L62" s="18"/>
      <c r="M62" s="29"/>
      <c r="N62" s="29"/>
      <c r="O62" s="29"/>
      <c r="P62" s="29"/>
      <c r="Q62" s="29"/>
      <c r="R62" s="29"/>
      <c r="S62" s="29"/>
      <c r="T62" s="29"/>
      <c r="U62" s="29"/>
      <c r="V62" s="29"/>
      <c r="W62" s="29"/>
      <c r="X62" s="29"/>
      <c r="AB62" s="290"/>
      <c r="AI62" s="18"/>
    </row>
    <row r="63" spans="3:37">
      <c r="C63" s="290"/>
      <c r="D63" s="12"/>
      <c r="F63" s="22" t="s">
        <v>552</v>
      </c>
      <c r="G63" s="7">
        <f>D35</f>
        <v>2010</v>
      </c>
      <c r="H63" t="s">
        <v>539</v>
      </c>
      <c r="AB63" s="290"/>
    </row>
    <row r="64" spans="3:37">
      <c r="C64" s="3"/>
      <c r="G64" s="23">
        <f>Deflators!F8</f>
        <v>0.8538</v>
      </c>
      <c r="I64" s="8" t="s">
        <v>126</v>
      </c>
      <c r="M64" s="14">
        <f t="shared" ref="M64:T64" si="17">M61*$G64</f>
        <v>0.98560845669180197</v>
      </c>
      <c r="N64" s="14">
        <f t="shared" si="17"/>
        <v>0.33543855779025056</v>
      </c>
      <c r="O64" s="14">
        <f t="shared" si="17"/>
        <v>0.55281991653263829</v>
      </c>
      <c r="P64" s="14">
        <f t="shared" si="17"/>
        <v>1.8738669310146912</v>
      </c>
      <c r="Q64" s="14">
        <f t="shared" si="17"/>
        <v>2.0483247447726316</v>
      </c>
      <c r="R64" s="14">
        <f t="shared" si="17"/>
        <v>1.1389999281644896</v>
      </c>
      <c r="S64" s="14">
        <f t="shared" si="17"/>
        <v>1.9819830149873219</v>
      </c>
      <c r="T64" s="14">
        <f t="shared" si="17"/>
        <v>5.1693076879244435</v>
      </c>
      <c r="U64" s="14">
        <f t="shared" ref="U64:X64" si="18">U61*$G64</f>
        <v>1.4422968443066742</v>
      </c>
      <c r="V64" s="14">
        <f t="shared" si="18"/>
        <v>0.63235059265961613</v>
      </c>
      <c r="W64" s="14">
        <f t="shared" si="18"/>
        <v>1.1177923619072674</v>
      </c>
      <c r="X64" s="14">
        <f t="shared" si="18"/>
        <v>3.1924397988735573</v>
      </c>
      <c r="AB64" s="290"/>
    </row>
    <row r="65" spans="3:31">
      <c r="C65" s="3"/>
      <c r="I65" s="8" t="s">
        <v>464</v>
      </c>
      <c r="N65" s="197"/>
      <c r="R65" s="52"/>
    </row>
    <row r="66" spans="3:31" ht="13.8">
      <c r="C66" s="24" t="str">
        <f>DefaultData!C33</f>
        <v>PV System Annual Operating and Maintenance Costs</v>
      </c>
      <c r="I66" s="8" t="s">
        <v>517</v>
      </c>
      <c r="J66" s="8" t="s">
        <v>518</v>
      </c>
    </row>
    <row r="67" spans="3:31" ht="13.8">
      <c r="C67" s="24" t="str">
        <f>DefaultData!C34</f>
        <v>Labor</v>
      </c>
      <c r="D67" s="25" t="s">
        <v>122</v>
      </c>
      <c r="E67" s="25" t="s">
        <v>136</v>
      </c>
      <c r="F67" s="8" t="s">
        <v>126</v>
      </c>
      <c r="G67" s="13" t="s">
        <v>515</v>
      </c>
      <c r="H67" s="1" t="s">
        <v>553</v>
      </c>
      <c r="I67" s="8" t="s">
        <v>117</v>
      </c>
      <c r="J67" s="8" t="s">
        <v>115</v>
      </c>
    </row>
    <row r="68" spans="3:31">
      <c r="C68" s="358" t="str">
        <f>DefaultData!C35</f>
        <v xml:space="preserve">  Technicians</v>
      </c>
      <c r="D68" s="5">
        <f>IF(ProjectData!$B$26="y",DefaultData!D35,ProjectData!B54)</f>
        <v>17930.666666666664</v>
      </c>
      <c r="E68" s="4">
        <f>IF(ProjectData!$B$26="y",ProjectData!T54,ProjectData!E54)</f>
        <v>1</v>
      </c>
      <c r="F68" s="8" t="s">
        <v>464</v>
      </c>
      <c r="G68" s="5">
        <f>D68*E68</f>
        <v>17930.666666666664</v>
      </c>
      <c r="I68" s="8"/>
      <c r="J68" s="8"/>
      <c r="L68" s="18"/>
    </row>
    <row r="69" spans="3:31">
      <c r="C69" s="358" t="str">
        <f>DefaultData!C36</f>
        <v xml:space="preserve">  Subtotal</v>
      </c>
      <c r="D69" s="5">
        <f>D68</f>
        <v>17930.666666666664</v>
      </c>
      <c r="E69" s="4"/>
      <c r="F69" s="5"/>
      <c r="G69" s="5">
        <f>G68</f>
        <v>17930.666666666664</v>
      </c>
    </row>
    <row r="70" spans="3:31" ht="13.8">
      <c r="C70" s="24" t="str">
        <f>DefaultData!C37</f>
        <v>Materials and Services</v>
      </c>
      <c r="D70" s="5"/>
      <c r="E70" s="4"/>
    </row>
    <row r="71" spans="3:31">
      <c r="C71" s="358" t="str">
        <f>DefaultData!C38</f>
        <v xml:space="preserve">  Materials &amp; Equipment</v>
      </c>
      <c r="D71" s="5">
        <f>IF(ProjectData!$B$26="y",DefaultData!D38,ProjectData!B58)</f>
        <v>14869.333333333334</v>
      </c>
      <c r="E71" s="4">
        <f>IF(ProjectData!$B$26="y",ProjectData!T58,ProjectData!E58)</f>
        <v>1</v>
      </c>
      <c r="F71" s="7" t="str">
        <f>IF(ProjectData!$B$26="y",DefaultData!AH38,ProjectData!F58)</f>
        <v>N</v>
      </c>
      <c r="G71" s="5">
        <f>IF(F71="y",J71,I71)</f>
        <v>11895.466666666667</v>
      </c>
      <c r="H71" s="69">
        <v>0.2</v>
      </c>
      <c r="I71" s="5">
        <f>IF(F71="N",D71*E71*(1-H71),)</f>
        <v>11895.466666666667</v>
      </c>
      <c r="J71" s="5">
        <f>IF(F71="Y",D71*E71,)</f>
        <v>0</v>
      </c>
    </row>
    <row r="72" spans="3:31">
      <c r="C72" s="358" t="str">
        <f>DefaultData!C39</f>
        <v xml:space="preserve">  Services</v>
      </c>
      <c r="D72" s="5">
        <f>IF(ProjectData!$B$26="y",DefaultData!D39,ProjectData!B59)</f>
        <v>0</v>
      </c>
      <c r="E72" s="4">
        <f>IF(ProjectData!$B$26="y",ProjectData!T59,ProjectData!E59)</f>
        <v>1</v>
      </c>
      <c r="G72" s="5">
        <f>D72*E72</f>
        <v>0</v>
      </c>
    </row>
    <row r="73" spans="3:31">
      <c r="C73" s="358" t="str">
        <f>DefaultData!C40</f>
        <v xml:space="preserve">  Subtotal</v>
      </c>
      <c r="D73" s="5">
        <f>SUM(D71:D72)</f>
        <v>14869.333333333334</v>
      </c>
      <c r="E73" s="4"/>
      <c r="G73" s="5">
        <f>SUM(G71:G72)</f>
        <v>11895.466666666667</v>
      </c>
    </row>
    <row r="74" spans="3:31">
      <c r="C74" s="358" t="str">
        <f>DefaultData!C41</f>
        <v>Sales Tax (Materials &amp; Equipment Purchases)</v>
      </c>
      <c r="D74" s="5">
        <f>IF(ProjectData!$B$26="y",DefaultData!D41,ProjectData!B61)</f>
        <v>0</v>
      </c>
      <c r="E74" s="4">
        <f>IF(ProjectData!$B$26="y",ProjectData!T61,ProjectData!D77)</f>
        <v>1</v>
      </c>
      <c r="G74" s="5">
        <f>D74*E74</f>
        <v>0</v>
      </c>
    </row>
    <row r="75" spans="3:31">
      <c r="C75" s="13" t="s">
        <v>355</v>
      </c>
      <c r="D75" s="5">
        <f>IF(ProjectData!$B$26="y",F211,Calculations!F247)</f>
        <v>303851.74453131296</v>
      </c>
      <c r="E75" s="4">
        <f>IF(ProjectData!$B$26="y",DefaultData!F47,ProjectData!D67)</f>
        <v>0</v>
      </c>
      <c r="G75" s="5">
        <f>D75*E75</f>
        <v>0</v>
      </c>
      <c r="H75" s="5">
        <f>IF(ProjectData!$B$26="y",Calculations!D211,D247)*E75</f>
        <v>0</v>
      </c>
      <c r="I75" s="19" t="s">
        <v>554</v>
      </c>
      <c r="AB75" s="1"/>
      <c r="AC75" s="11"/>
      <c r="AD75" s="11"/>
      <c r="AE75" s="11"/>
    </row>
    <row r="76" spans="3:31">
      <c r="C76" s="1" t="s">
        <v>356</v>
      </c>
      <c r="D76" s="5">
        <f>IF(ProjectData!$B$26="y",DefaultData!D57,ProjectData!B76)</f>
        <v>0</v>
      </c>
      <c r="E76" s="4">
        <f>IF(ProjectData!$B$26="y",DefaultData!F57,ProjectData!D76)</f>
        <v>1</v>
      </c>
      <c r="G76" s="5">
        <f>D76*E76</f>
        <v>0</v>
      </c>
      <c r="I76" s="26"/>
      <c r="AB76" s="290"/>
      <c r="AC76" s="57"/>
      <c r="AD76" s="57"/>
      <c r="AE76" s="11"/>
    </row>
    <row r="77" spans="3:31">
      <c r="C77" s="13" t="s">
        <v>133</v>
      </c>
      <c r="D77" s="5">
        <f>D69+SUM(D73:D76)</f>
        <v>336651.74453131296</v>
      </c>
      <c r="E77" s="4"/>
      <c r="G77" s="5">
        <f>G69+SUM(G73:G76)</f>
        <v>29826.133333333331</v>
      </c>
      <c r="I77" s="19"/>
      <c r="AB77" s="290"/>
      <c r="AC77" s="96"/>
      <c r="AD77" s="96"/>
    </row>
    <row r="78" spans="3:31">
      <c r="C78" s="13" t="s">
        <v>555</v>
      </c>
      <c r="D78" s="82">
        <f>D73+D69</f>
        <v>32800</v>
      </c>
      <c r="E78" s="68">
        <f>D77-D78</f>
        <v>303851.74453131296</v>
      </c>
      <c r="G78" s="82">
        <f>G73+G69</f>
        <v>29826.133333333331</v>
      </c>
      <c r="H78" s="68">
        <f>G77-G78</f>
        <v>0</v>
      </c>
      <c r="AB78" s="290"/>
      <c r="AC78" s="95"/>
      <c r="AD78" s="95"/>
      <c r="AE78" s="11"/>
    </row>
    <row r="79" spans="3:31">
      <c r="C79" s="25" t="s">
        <v>556</v>
      </c>
      <c r="D79" s="87">
        <f>D78/(ProjectData!B18*1000)</f>
        <v>6.56</v>
      </c>
      <c r="AB79" s="13"/>
      <c r="AC79" s="113"/>
      <c r="AD79" s="113"/>
      <c r="AE79" s="1"/>
    </row>
    <row r="80" spans="3:31">
      <c r="AB80" s="358"/>
      <c r="AC80" s="114"/>
      <c r="AD80" s="114"/>
      <c r="AE80" s="57"/>
    </row>
    <row r="81" spans="3:31">
      <c r="AB81" s="358"/>
      <c r="AC81" s="114"/>
      <c r="AD81" s="114"/>
      <c r="AE81" s="57"/>
    </row>
    <row r="82" spans="3:31">
      <c r="AB82" s="358"/>
      <c r="AC82" s="114"/>
      <c r="AD82" s="114"/>
      <c r="AE82" s="57"/>
    </row>
    <row r="84" spans="3:31">
      <c r="C84" s="26"/>
      <c r="D84" s="87" t="s">
        <v>136</v>
      </c>
      <c r="E84" s="121">
        <v>1</v>
      </c>
      <c r="F84" s="121">
        <v>0.5</v>
      </c>
      <c r="L84" s="1" t="s">
        <v>557</v>
      </c>
    </row>
    <row r="85" spans="3:31">
      <c r="C85" s="13" t="s">
        <v>558</v>
      </c>
      <c r="F85" s="20"/>
      <c r="G85" s="21"/>
      <c r="O85">
        <f>M36</f>
        <v>2019</v>
      </c>
      <c r="P85" t="str">
        <f>N36</f>
        <v>Dollars</v>
      </c>
    </row>
    <row r="86" spans="3:31">
      <c r="D86" s="15" t="s">
        <v>540</v>
      </c>
      <c r="E86" s="19"/>
      <c r="F86" s="7"/>
      <c r="G86" s="7" t="s">
        <v>133</v>
      </c>
      <c r="H86" s="26" t="s">
        <v>559</v>
      </c>
      <c r="I86" s="15"/>
      <c r="J86" s="7"/>
      <c r="L86" s="8" t="s">
        <v>302</v>
      </c>
      <c r="M86" s="8"/>
      <c r="N86" s="8"/>
      <c r="O86" s="8"/>
      <c r="P86" s="8" t="s">
        <v>303</v>
      </c>
      <c r="Q86" s="8"/>
      <c r="R86" s="8"/>
      <c r="S86" s="8"/>
      <c r="T86" s="8" t="s">
        <v>304</v>
      </c>
      <c r="X86" s="8" t="s">
        <v>305</v>
      </c>
    </row>
    <row r="87" spans="3:31">
      <c r="E87" s="19"/>
      <c r="F87" s="7"/>
      <c r="G87" s="15"/>
      <c r="H87" s="15">
        <f>M36</f>
        <v>2019</v>
      </c>
      <c r="I87" s="26" t="s">
        <v>539</v>
      </c>
      <c r="J87" s="15"/>
      <c r="L87" s="8" t="s">
        <v>543</v>
      </c>
      <c r="M87" s="8" t="s">
        <v>544</v>
      </c>
      <c r="N87" s="8" t="s">
        <v>545</v>
      </c>
      <c r="O87" s="8" t="s">
        <v>133</v>
      </c>
      <c r="P87" s="8" t="s">
        <v>543</v>
      </c>
      <c r="Q87" s="8" t="s">
        <v>544</v>
      </c>
      <c r="R87" s="8" t="s">
        <v>545</v>
      </c>
      <c r="S87" s="8" t="s">
        <v>133</v>
      </c>
      <c r="T87" s="8" t="s">
        <v>543</v>
      </c>
      <c r="U87" s="8" t="s">
        <v>544</v>
      </c>
      <c r="V87" s="8" t="s">
        <v>545</v>
      </c>
      <c r="W87" s="8" t="s">
        <v>133</v>
      </c>
      <c r="X87" s="8" t="s">
        <v>543</v>
      </c>
      <c r="Y87" s="8" t="s">
        <v>544</v>
      </c>
      <c r="Z87" s="8" t="s">
        <v>545</v>
      </c>
      <c r="AA87" s="8" t="s">
        <v>133</v>
      </c>
    </row>
    <row r="88" spans="3:31">
      <c r="C88" s="393" t="s">
        <v>383</v>
      </c>
      <c r="D88" s="5">
        <f>$D$147*DefaultData!D62+$D$148*DefaultData!D63+$D$149*DefaultData!D64+$D$150*DefaultData!D65+$D$151*DefaultData!D66+$D$152*DefaultData!D67+$D$153*DefaultData!D68+$D$154*DefaultData!D69+$D$155*DefaultData!D70+$D$156*DefaultData!D71+$D$157*DefaultData!D72+$D$158*DefaultData!D73+$D$159*DefaultData!D74+$D$160*DefaultData!D75+$D$161*DefaultData!D76+$D$162*DefaultData!D77+$D$163*DefaultData!D78+$D$164*DefaultData!D79+$D$165*DefaultData!D80+$D$166*DefaultData!D81+$D$167*DefaultData!D82+$D$168*DefaultData!D83</f>
        <v>0</v>
      </c>
      <c r="G88" s="5">
        <f>D88</f>
        <v>0</v>
      </c>
      <c r="H88" s="14">
        <f t="shared" ref="H88:H109" si="19">G88*G$35/10^6</f>
        <v>0</v>
      </c>
      <c r="I88" s="5"/>
      <c r="J88" s="14"/>
      <c r="L88" s="396">
        <f>$H88*Multipliers!D308</f>
        <v>0</v>
      </c>
      <c r="M88" s="396">
        <f>$H88*Multipliers!E308</f>
        <v>0</v>
      </c>
      <c r="N88" s="396">
        <f>$H88*Multipliers!F308</f>
        <v>0</v>
      </c>
      <c r="O88" s="396">
        <f>+N88+M88+L88</f>
        <v>0</v>
      </c>
      <c r="P88" s="397">
        <f>$H88*Multipliers!H308</f>
        <v>0</v>
      </c>
      <c r="Q88" s="397">
        <f>$H88*Multipliers!I308</f>
        <v>0</v>
      </c>
      <c r="R88" s="397">
        <f>$H88*Multipliers!J308</f>
        <v>0</v>
      </c>
      <c r="S88" s="397">
        <f>+R88+Q88+P88</f>
        <v>0</v>
      </c>
      <c r="T88" s="397">
        <f>$H88*Multipliers!L308</f>
        <v>0</v>
      </c>
      <c r="U88" s="397">
        <f>$H88*Multipliers!M308</f>
        <v>0</v>
      </c>
      <c r="V88" s="397">
        <f>$H88*Multipliers!N308</f>
        <v>0</v>
      </c>
      <c r="W88" s="397">
        <f>+V88+U88+T88</f>
        <v>0</v>
      </c>
      <c r="X88" s="397">
        <f>$H88*Multipliers!P308</f>
        <v>0</v>
      </c>
      <c r="Y88" s="397">
        <f>$H88*Multipliers!Q308</f>
        <v>0</v>
      </c>
      <c r="Z88" s="397">
        <f>$H88*Multipliers!R308</f>
        <v>0</v>
      </c>
      <c r="AA88" s="397">
        <f>+Z88+Y88+X88</f>
        <v>0</v>
      </c>
    </row>
    <row r="89" spans="3:31">
      <c r="C89" s="393" t="s">
        <v>384</v>
      </c>
      <c r="D89" s="5">
        <f>$D$147*DefaultData!E62+$D$148*DefaultData!E63+$D$149*DefaultData!E64+$D$150*DefaultData!E65+$D$151*DefaultData!E66+$D$152*DefaultData!E67+$D$153*DefaultData!E68+$D$154*DefaultData!E69+$D$155*DefaultData!E70+$D$156*DefaultData!E71+$D$157*DefaultData!E72+$D$158*DefaultData!E73+$D$159*DefaultData!E74+$D$160*DefaultData!E75+$D$161*DefaultData!E76+$D$162*DefaultData!E77+$D$163*DefaultData!E78+$D$164*DefaultData!E79+$D$165*DefaultData!E80+$D$166*DefaultData!E81+$D$167*DefaultData!E82+$D$168*DefaultData!E83</f>
        <v>0</v>
      </c>
      <c r="E89" s="5"/>
      <c r="F89" s="5"/>
      <c r="G89" s="5">
        <f t="shared" ref="G89:G109" si="20">D89</f>
        <v>0</v>
      </c>
      <c r="H89" s="14">
        <f t="shared" si="19"/>
        <v>0</v>
      </c>
      <c r="I89" s="5"/>
      <c r="J89" s="14"/>
      <c r="L89" s="396">
        <f>$H89*Multipliers!D309</f>
        <v>0</v>
      </c>
      <c r="M89" s="396">
        <f>$H89*Multipliers!E309</f>
        <v>0</v>
      </c>
      <c r="N89" s="396">
        <f>$H89*Multipliers!F309</f>
        <v>0</v>
      </c>
      <c r="O89" s="396">
        <f t="shared" ref="O89:O101" si="21">+N89+M89+L89</f>
        <v>0</v>
      </c>
      <c r="P89" s="397">
        <f>$H89*Multipliers!H309</f>
        <v>0</v>
      </c>
      <c r="Q89" s="397">
        <f>$H89*Multipliers!I309</f>
        <v>0</v>
      </c>
      <c r="R89" s="397">
        <f>$H89*Multipliers!J309</f>
        <v>0</v>
      </c>
      <c r="S89" s="397">
        <f t="shared" ref="S89:S101" si="22">+R89+Q89+P89</f>
        <v>0</v>
      </c>
      <c r="T89" s="397">
        <f>$H89*Multipliers!L309</f>
        <v>0</v>
      </c>
      <c r="U89" s="397">
        <f>$H89*Multipliers!M309</f>
        <v>0</v>
      </c>
      <c r="V89" s="397">
        <f>$H89*Multipliers!N309</f>
        <v>0</v>
      </c>
      <c r="W89" s="397">
        <f t="shared" ref="W89:W101" si="23">+V89+U89+T89</f>
        <v>0</v>
      </c>
      <c r="X89" s="397">
        <f>$H89*Multipliers!P309</f>
        <v>0</v>
      </c>
      <c r="Y89" s="397">
        <f>$H89*Multipliers!Q309</f>
        <v>0</v>
      </c>
      <c r="Z89" s="397">
        <f>$H89*Multipliers!R309</f>
        <v>0</v>
      </c>
      <c r="AA89" s="397">
        <f t="shared" ref="AA89:AA109" si="24">+Z89+Y89+X89</f>
        <v>0</v>
      </c>
    </row>
    <row r="90" spans="3:31">
      <c r="C90" s="393" t="s">
        <v>385</v>
      </c>
      <c r="D90" s="5">
        <f>$D$147*DefaultData!F62+$D$148*DefaultData!F63+$D$149*DefaultData!F64+$D$150*DefaultData!F65+$D$151*DefaultData!F66+$D$152*DefaultData!F67+$D$153*DefaultData!F68+$D$154*DefaultData!F69+$D$155*DefaultData!F70+$D$156*DefaultData!F71+$D$157*DefaultData!F72+$D$158*DefaultData!F73+$D$159*DefaultData!F74+$D$160*DefaultData!F75+$D$161*DefaultData!F76+$D$162*DefaultData!F77+$D$163*DefaultData!F78+$D$164*DefaultData!F79+$D$165*DefaultData!F80+$D$166*DefaultData!F81+$D$167*DefaultData!F82+$D$168*DefaultData!F83</f>
        <v>0</v>
      </c>
      <c r="G90" s="5">
        <f t="shared" si="20"/>
        <v>0</v>
      </c>
      <c r="H90" s="14">
        <f t="shared" si="19"/>
        <v>0</v>
      </c>
      <c r="I90" s="5"/>
      <c r="J90" s="221"/>
      <c r="L90" s="396">
        <f>$H90*Multipliers!D310</f>
        <v>0</v>
      </c>
      <c r="M90" s="396">
        <f>$H90*Multipliers!E310</f>
        <v>0</v>
      </c>
      <c r="N90" s="396">
        <f>$H90*Multipliers!F310</f>
        <v>0</v>
      </c>
      <c r="O90" s="396">
        <f t="shared" si="21"/>
        <v>0</v>
      </c>
      <c r="P90" s="397">
        <f>$H90*Multipliers!H310</f>
        <v>0</v>
      </c>
      <c r="Q90" s="397">
        <f>$H90*Multipliers!I310</f>
        <v>0</v>
      </c>
      <c r="R90" s="397">
        <f>$H90*Multipliers!J310</f>
        <v>0</v>
      </c>
      <c r="S90" s="397">
        <f t="shared" si="22"/>
        <v>0</v>
      </c>
      <c r="T90" s="397">
        <f>$H90*Multipliers!L310</f>
        <v>0</v>
      </c>
      <c r="U90" s="397">
        <f>$H90*Multipliers!M310</f>
        <v>0</v>
      </c>
      <c r="V90" s="397">
        <f>$H90*Multipliers!N310</f>
        <v>0</v>
      </c>
      <c r="W90" s="397">
        <f t="shared" si="23"/>
        <v>0</v>
      </c>
      <c r="X90" s="397">
        <f>$H90*Multipliers!P310</f>
        <v>0</v>
      </c>
      <c r="Y90" s="397">
        <f>$H90*Multipliers!Q310</f>
        <v>0</v>
      </c>
      <c r="Z90" s="397">
        <f>$H90*Multipliers!R310</f>
        <v>0</v>
      </c>
      <c r="AA90" s="397">
        <f t="shared" si="24"/>
        <v>0</v>
      </c>
    </row>
    <row r="91" spans="3:31">
      <c r="C91" s="393" t="s">
        <v>386</v>
      </c>
      <c r="D91" s="5">
        <f>$D$147*DefaultData!G62+$D$148*DefaultData!G63+$D$149*DefaultData!G64+$D$150*DefaultData!G65+$D$151*DefaultData!G66+$D$152*DefaultData!G67+$D$153*DefaultData!G68+$D$154*DefaultData!G69+$D$155*DefaultData!G70+$D$156*DefaultData!G71+$D$157*DefaultData!G72+$D$158*DefaultData!G73+$D$159*DefaultData!G74+$D$160*DefaultData!G75+$D$161*DefaultData!G76+$D$162*DefaultData!G77+$D$163*DefaultData!G78+$D$164*DefaultData!G79+$D$165*DefaultData!G80+$D$166*DefaultData!G81+$D$167*DefaultData!G82+$D$168*DefaultData!G83</f>
        <v>0</v>
      </c>
      <c r="E91" s="5"/>
      <c r="F91" s="5"/>
      <c r="G91" s="5">
        <f t="shared" si="20"/>
        <v>0</v>
      </c>
      <c r="H91" s="14">
        <f t="shared" si="19"/>
        <v>0</v>
      </c>
      <c r="I91" s="5"/>
      <c r="J91" s="5"/>
      <c r="L91" s="396">
        <f>$H91*Multipliers!D311</f>
        <v>0</v>
      </c>
      <c r="M91" s="396">
        <f>$H91*Multipliers!E311</f>
        <v>0</v>
      </c>
      <c r="N91" s="396">
        <f>$H91*Multipliers!F311</f>
        <v>0</v>
      </c>
      <c r="O91" s="396">
        <f t="shared" si="21"/>
        <v>0</v>
      </c>
      <c r="P91" s="397">
        <f>$H91*Multipliers!H311</f>
        <v>0</v>
      </c>
      <c r="Q91" s="397">
        <f>$H91*Multipliers!I311</f>
        <v>0</v>
      </c>
      <c r="R91" s="397">
        <f>$H91*Multipliers!J311</f>
        <v>0</v>
      </c>
      <c r="S91" s="397">
        <f t="shared" si="22"/>
        <v>0</v>
      </c>
      <c r="T91" s="397">
        <f>$H91*Multipliers!L311</f>
        <v>0</v>
      </c>
      <c r="U91" s="397">
        <f>$H91*Multipliers!M311</f>
        <v>0</v>
      </c>
      <c r="V91" s="397">
        <f>$H91*Multipliers!N311</f>
        <v>0</v>
      </c>
      <c r="W91" s="397">
        <f t="shared" si="23"/>
        <v>0</v>
      </c>
      <c r="X91" s="397">
        <f>$H91*Multipliers!P311</f>
        <v>0</v>
      </c>
      <c r="Y91" s="397">
        <f>$H91*Multipliers!Q311</f>
        <v>0</v>
      </c>
      <c r="Z91" s="397">
        <f>$H91*Multipliers!R311</f>
        <v>0</v>
      </c>
      <c r="AA91" s="397">
        <f t="shared" si="24"/>
        <v>0</v>
      </c>
    </row>
    <row r="92" spans="3:31">
      <c r="C92" s="393" t="s">
        <v>387</v>
      </c>
      <c r="D92" s="5">
        <f>$D$147*DefaultData!H62+$D$148*DefaultData!H63+$D$149*DefaultData!H64+$D$150*DefaultData!H65+$D$151*DefaultData!H66+$D$152*DefaultData!H67+$D$153*DefaultData!H68+$D$154*DefaultData!H69+$D$155*DefaultData!H70+$D$156*DefaultData!H71+$D$157*DefaultData!H72+$D$158*DefaultData!H73+$D$159*DefaultData!H74+$D$160*DefaultData!H75+$D$161*DefaultData!H76+$D$162*DefaultData!H77+$D$163*DefaultData!H78+$D$164*DefaultData!H79+$D$165*DefaultData!H80+$D$166*DefaultData!H81+$D$167*DefaultData!H82+$D$168*DefaultData!H83</f>
        <v>0</v>
      </c>
      <c r="G92" s="5">
        <f t="shared" si="20"/>
        <v>0</v>
      </c>
      <c r="H92" s="14">
        <f t="shared" si="19"/>
        <v>0</v>
      </c>
      <c r="I92" s="5"/>
      <c r="J92" s="14"/>
      <c r="L92" s="396">
        <f>$H92*Multipliers!D312</f>
        <v>0</v>
      </c>
      <c r="M92" s="396">
        <f>$H92*Multipliers!E312</f>
        <v>0</v>
      </c>
      <c r="N92" s="396">
        <f>$H92*Multipliers!F312</f>
        <v>0</v>
      </c>
      <c r="O92" s="396">
        <f t="shared" si="21"/>
        <v>0</v>
      </c>
      <c r="P92" s="397">
        <f>$H92*Multipliers!H312</f>
        <v>0</v>
      </c>
      <c r="Q92" s="397">
        <f>$H92*Multipliers!I312</f>
        <v>0</v>
      </c>
      <c r="R92" s="397">
        <f>$H92*Multipliers!J312</f>
        <v>0</v>
      </c>
      <c r="S92" s="397">
        <f t="shared" si="22"/>
        <v>0</v>
      </c>
      <c r="T92" s="397">
        <f>$H92*Multipliers!L312</f>
        <v>0</v>
      </c>
      <c r="U92" s="397">
        <f>$H92*Multipliers!M312</f>
        <v>0</v>
      </c>
      <c r="V92" s="397">
        <f>$H92*Multipliers!N312</f>
        <v>0</v>
      </c>
      <c r="W92" s="397">
        <f t="shared" si="23"/>
        <v>0</v>
      </c>
      <c r="X92" s="397">
        <f>$H92*Multipliers!P312</f>
        <v>0</v>
      </c>
      <c r="Y92" s="397">
        <f>$H92*Multipliers!Q312</f>
        <v>0</v>
      </c>
      <c r="Z92" s="397">
        <f>$H92*Multipliers!R312</f>
        <v>0</v>
      </c>
      <c r="AA92" s="397">
        <f t="shared" si="24"/>
        <v>0</v>
      </c>
    </row>
    <row r="93" spans="3:31">
      <c r="C93" s="393" t="s">
        <v>388</v>
      </c>
      <c r="D93" s="5">
        <f>$D$147*DefaultData!I62+$D$148*DefaultData!I63+$D$149*DefaultData!I64+$D$150*DefaultData!I65+$D$151*DefaultData!I66+$D$152*DefaultData!I67+$D$153*DefaultData!I68+$D$154*DefaultData!I69+$D$155*DefaultData!I70+$D$156*DefaultData!I71+$D$157*DefaultData!I72+$D$158*DefaultData!I73+$D$159*DefaultData!I74+$D$160*DefaultData!I75+$D$161*DefaultData!I76+$D$162*DefaultData!I77+$D$163*DefaultData!I78+$D$164*DefaultData!I79+$D$165*DefaultData!I80+$D$166*DefaultData!I81+$D$167*DefaultData!I82+$D$168*DefaultData!I83</f>
        <v>0</v>
      </c>
      <c r="E93" s="5"/>
      <c r="F93" s="5"/>
      <c r="G93" s="5">
        <f t="shared" si="20"/>
        <v>0</v>
      </c>
      <c r="H93" s="14">
        <f t="shared" si="19"/>
        <v>0</v>
      </c>
      <c r="I93" s="5"/>
      <c r="J93" s="14"/>
      <c r="L93" s="396">
        <f>$H93*Multipliers!D313</f>
        <v>0</v>
      </c>
      <c r="M93" s="396">
        <f>$H93*Multipliers!E313</f>
        <v>0</v>
      </c>
      <c r="N93" s="396">
        <f>$H93*Multipliers!F313</f>
        <v>0</v>
      </c>
      <c r="O93" s="396">
        <f t="shared" si="21"/>
        <v>0</v>
      </c>
      <c r="P93" s="397">
        <f>$H93*Multipliers!H313</f>
        <v>0</v>
      </c>
      <c r="Q93" s="397">
        <f>$H93*Multipliers!I313</f>
        <v>0</v>
      </c>
      <c r="R93" s="397">
        <f>$H93*Multipliers!J313</f>
        <v>0</v>
      </c>
      <c r="S93" s="397">
        <f t="shared" si="22"/>
        <v>0</v>
      </c>
      <c r="T93" s="397">
        <f>$H93*Multipliers!L313</f>
        <v>0</v>
      </c>
      <c r="U93" s="397">
        <f>$H93*Multipliers!M313</f>
        <v>0</v>
      </c>
      <c r="V93" s="397">
        <f>$H93*Multipliers!N313</f>
        <v>0</v>
      </c>
      <c r="W93" s="397">
        <f t="shared" si="23"/>
        <v>0</v>
      </c>
      <c r="X93" s="397">
        <f>$H93*Multipliers!P313</f>
        <v>0</v>
      </c>
      <c r="Y93" s="397">
        <f>$H93*Multipliers!Q313</f>
        <v>0</v>
      </c>
      <c r="Z93" s="397">
        <f>$H93*Multipliers!R313</f>
        <v>0</v>
      </c>
      <c r="AA93" s="397">
        <f t="shared" si="24"/>
        <v>0</v>
      </c>
    </row>
    <row r="94" spans="3:31">
      <c r="C94" s="393" t="s">
        <v>389</v>
      </c>
      <c r="D94" s="5">
        <f>$D$147*DefaultData!J62+$D$148*DefaultData!J63+$D$149*DefaultData!J64+$D$150*DefaultData!J65+$D$151*DefaultData!J66+$D$152*DefaultData!J67+$D$153*DefaultData!J68+$D$154*DefaultData!J69+$D$155*DefaultData!J70+$D$156*DefaultData!J71+$D$157*DefaultData!J72+$D$158*DefaultData!J73+$D$159*DefaultData!J74+$D$160*DefaultData!J75+$D$161*DefaultData!J76+$D$162*DefaultData!J77+$D$163*DefaultData!J78+$D$164*DefaultData!J79+$D$165*DefaultData!J80+$D$166*DefaultData!J81+$D$167*DefaultData!J82+$D$168*DefaultData!J83</f>
        <v>0</v>
      </c>
      <c r="G94" s="5">
        <f t="shared" si="20"/>
        <v>0</v>
      </c>
      <c r="H94" s="14">
        <f t="shared" si="19"/>
        <v>0</v>
      </c>
      <c r="I94" s="5"/>
      <c r="J94" s="14"/>
      <c r="L94" s="396">
        <f>$H94*Multipliers!D314</f>
        <v>0</v>
      </c>
      <c r="M94" s="396">
        <f>$H94*Multipliers!E314</f>
        <v>0</v>
      </c>
      <c r="N94" s="396">
        <f>$H94*Multipliers!F314</f>
        <v>0</v>
      </c>
      <c r="O94" s="396">
        <f t="shared" si="21"/>
        <v>0</v>
      </c>
      <c r="P94" s="397">
        <f>$H94*Multipliers!H314</f>
        <v>0</v>
      </c>
      <c r="Q94" s="397">
        <f>$H94*Multipliers!I314</f>
        <v>0</v>
      </c>
      <c r="R94" s="397">
        <f>$H94*Multipliers!J314</f>
        <v>0</v>
      </c>
      <c r="S94" s="397">
        <f t="shared" si="22"/>
        <v>0</v>
      </c>
      <c r="T94" s="397">
        <f>$H94*Multipliers!L314</f>
        <v>0</v>
      </c>
      <c r="U94" s="397">
        <f>$H94*Multipliers!M314</f>
        <v>0</v>
      </c>
      <c r="V94" s="397">
        <f>$H94*Multipliers!N314</f>
        <v>0</v>
      </c>
      <c r="W94" s="397">
        <f t="shared" si="23"/>
        <v>0</v>
      </c>
      <c r="X94" s="397">
        <f>$H94*Multipliers!P314</f>
        <v>0</v>
      </c>
      <c r="Y94" s="397">
        <f>$H94*Multipliers!Q314</f>
        <v>0</v>
      </c>
      <c r="Z94" s="397">
        <f>$H94*Multipliers!R314</f>
        <v>0</v>
      </c>
      <c r="AA94" s="397">
        <f t="shared" si="24"/>
        <v>0</v>
      </c>
    </row>
    <row r="95" spans="3:31">
      <c r="C95" s="393" t="s">
        <v>390</v>
      </c>
      <c r="D95" s="5">
        <f>$D$147*DefaultData!K62+$D$148*DefaultData!K63+$D$149*DefaultData!K64+$D$150*DefaultData!K65+$D$151*DefaultData!K66+$D$152*DefaultData!K67+$D$153*DefaultData!K68+$D$154*DefaultData!K69+$D$155*DefaultData!K70+$D$156*DefaultData!K71+$D$157*DefaultData!K72+$D$158*DefaultData!K73+$D$159*DefaultData!K74+$D$160*DefaultData!K75+$D$161*DefaultData!K76+$D$162*DefaultData!K77+$D$163*DefaultData!K78+$D$164*DefaultData!K79+$D$165*DefaultData!K80+$D$166*DefaultData!K81+$D$167*DefaultData!K82+$D$168*DefaultData!K83</f>
        <v>0</v>
      </c>
      <c r="E95" s="5"/>
      <c r="F95" s="5"/>
      <c r="G95" s="5">
        <f t="shared" si="20"/>
        <v>0</v>
      </c>
      <c r="H95" s="14">
        <f t="shared" si="19"/>
        <v>0</v>
      </c>
      <c r="I95" s="5"/>
      <c r="J95" s="14"/>
      <c r="L95" s="396">
        <f>$H95*Multipliers!D315</f>
        <v>0</v>
      </c>
      <c r="M95" s="396">
        <f>$H95*Multipliers!E315</f>
        <v>0</v>
      </c>
      <c r="N95" s="396">
        <f>$H95*Multipliers!F315</f>
        <v>0</v>
      </c>
      <c r="O95" s="396">
        <f t="shared" si="21"/>
        <v>0</v>
      </c>
      <c r="P95" s="397">
        <f>$H95*Multipliers!H315</f>
        <v>0</v>
      </c>
      <c r="Q95" s="397">
        <f>$H95*Multipliers!I315</f>
        <v>0</v>
      </c>
      <c r="R95" s="397">
        <f>$H95*Multipliers!J315</f>
        <v>0</v>
      </c>
      <c r="S95" s="397">
        <f t="shared" si="22"/>
        <v>0</v>
      </c>
      <c r="T95" s="397">
        <f>$H95*Multipliers!L315</f>
        <v>0</v>
      </c>
      <c r="U95" s="397">
        <f>$H95*Multipliers!M315</f>
        <v>0</v>
      </c>
      <c r="V95" s="397">
        <f>$H95*Multipliers!N315</f>
        <v>0</v>
      </c>
      <c r="W95" s="397">
        <f t="shared" si="23"/>
        <v>0</v>
      </c>
      <c r="X95" s="397">
        <f>$H95*Multipliers!P315</f>
        <v>0</v>
      </c>
      <c r="Y95" s="397">
        <f>$H95*Multipliers!Q315</f>
        <v>0</v>
      </c>
      <c r="Z95" s="397">
        <f>$H95*Multipliers!R315</f>
        <v>0</v>
      </c>
      <c r="AA95" s="397">
        <f t="shared" si="24"/>
        <v>0</v>
      </c>
    </row>
    <row r="96" spans="3:31">
      <c r="C96" s="393" t="s">
        <v>391</v>
      </c>
      <c r="D96" s="5">
        <f>$D$147*DefaultData!L62+$D$148*DefaultData!L63+$D$149*DefaultData!L64+$D$150*DefaultData!L65+$D$151*DefaultData!L66+$D$152*DefaultData!L67+$D$153*DefaultData!L68+$D$154*DefaultData!L69+$D$155*DefaultData!L70+$D$156*DefaultData!L71+$D$157*DefaultData!L72+$D$158*DefaultData!L73+$D$159*DefaultData!L74+$D$160*DefaultData!L75+$D$161*DefaultData!L76+$D$162*DefaultData!L77+$D$163*DefaultData!L78+$D$164*DefaultData!L79+$D$165*DefaultData!L80+$D$166*DefaultData!L81+$D$167*DefaultData!L82+$D$168*DefaultData!L83</f>
        <v>0</v>
      </c>
      <c r="G96" s="5">
        <f t="shared" si="20"/>
        <v>0</v>
      </c>
      <c r="H96" s="14">
        <f t="shared" si="19"/>
        <v>0</v>
      </c>
      <c r="I96" s="5"/>
      <c r="J96" s="14"/>
      <c r="L96" s="396">
        <f>$H96*Multipliers!D316</f>
        <v>0</v>
      </c>
      <c r="M96" s="396">
        <f>$H96*Multipliers!E316</f>
        <v>0</v>
      </c>
      <c r="N96" s="396">
        <f>$H96*Multipliers!F316</f>
        <v>0</v>
      </c>
      <c r="O96" s="396">
        <f t="shared" si="21"/>
        <v>0</v>
      </c>
      <c r="P96" s="397">
        <f>$H96*Multipliers!H316</f>
        <v>0</v>
      </c>
      <c r="Q96" s="397">
        <f>$H96*Multipliers!I316</f>
        <v>0</v>
      </c>
      <c r="R96" s="397">
        <f>$H96*Multipliers!J316</f>
        <v>0</v>
      </c>
      <c r="S96" s="397">
        <f t="shared" si="22"/>
        <v>0</v>
      </c>
      <c r="T96" s="397">
        <f>$H96*Multipliers!L316</f>
        <v>0</v>
      </c>
      <c r="U96" s="397">
        <f>$H96*Multipliers!M316</f>
        <v>0</v>
      </c>
      <c r="V96" s="397">
        <f>$H96*Multipliers!N316</f>
        <v>0</v>
      </c>
      <c r="W96" s="397">
        <f t="shared" si="23"/>
        <v>0</v>
      </c>
      <c r="X96" s="397">
        <f>$H96*Multipliers!P316</f>
        <v>0</v>
      </c>
      <c r="Y96" s="397">
        <f>$H96*Multipliers!Q316</f>
        <v>0</v>
      </c>
      <c r="Z96" s="397">
        <f>$H96*Multipliers!R316</f>
        <v>0</v>
      </c>
      <c r="AA96" s="397">
        <f t="shared" si="24"/>
        <v>0</v>
      </c>
    </row>
    <row r="97" spans="3:27">
      <c r="C97" s="393" t="s">
        <v>392</v>
      </c>
      <c r="D97" s="5">
        <f>$D$147*DefaultData!M62+$D$148*DefaultData!M63+$D$149*DefaultData!M64+$D$150*DefaultData!M65+$D$151*DefaultData!M66+$D$152*DefaultData!M67+$D$153*DefaultData!M68+$D$154*DefaultData!M69+$D$155*DefaultData!M70+$D$156*DefaultData!M71+$D$157*DefaultData!M72+$D$158*DefaultData!M73+$D$159*DefaultData!M74+$D$160*DefaultData!M75+$D$161*DefaultData!M76+$D$162*DefaultData!M77+$D$163*DefaultData!M78+$D$164*DefaultData!M79+$D$165*DefaultData!M80+$D$166*DefaultData!M81+$D$167*DefaultData!M82+$D$168*DefaultData!M83</f>
        <v>0</v>
      </c>
      <c r="E97" s="5"/>
      <c r="F97" s="5"/>
      <c r="G97" s="5">
        <f t="shared" si="20"/>
        <v>0</v>
      </c>
      <c r="H97" s="14">
        <f t="shared" si="19"/>
        <v>0</v>
      </c>
      <c r="I97" s="5"/>
      <c r="J97" s="14"/>
      <c r="L97" s="396">
        <f>$H97*Multipliers!D317</f>
        <v>0</v>
      </c>
      <c r="M97" s="396">
        <f>$H97*Multipliers!E317</f>
        <v>0</v>
      </c>
      <c r="N97" s="396">
        <f>$H97*Multipliers!F317</f>
        <v>0</v>
      </c>
      <c r="O97" s="396">
        <f t="shared" si="21"/>
        <v>0</v>
      </c>
      <c r="P97" s="397">
        <f>$H97*Multipliers!H317</f>
        <v>0</v>
      </c>
      <c r="Q97" s="397">
        <f>$H97*Multipliers!I317</f>
        <v>0</v>
      </c>
      <c r="R97" s="397">
        <f>$H97*Multipliers!J317</f>
        <v>0</v>
      </c>
      <c r="S97" s="397">
        <f t="shared" si="22"/>
        <v>0</v>
      </c>
      <c r="T97" s="397">
        <f>$H97*Multipliers!L317</f>
        <v>0</v>
      </c>
      <c r="U97" s="397">
        <f>$H97*Multipliers!M317</f>
        <v>0</v>
      </c>
      <c r="V97" s="397">
        <f>$H97*Multipliers!N317</f>
        <v>0</v>
      </c>
      <c r="W97" s="397">
        <f t="shared" si="23"/>
        <v>0</v>
      </c>
      <c r="X97" s="397">
        <f>$H97*Multipliers!P317</f>
        <v>0</v>
      </c>
      <c r="Y97" s="397">
        <f>$H97*Multipliers!Q317</f>
        <v>0</v>
      </c>
      <c r="Z97" s="397">
        <f>$H97*Multipliers!R317</f>
        <v>0</v>
      </c>
      <c r="AA97" s="397">
        <f t="shared" si="24"/>
        <v>0</v>
      </c>
    </row>
    <row r="98" spans="3:27">
      <c r="C98" s="393" t="s">
        <v>393</v>
      </c>
      <c r="D98" s="5">
        <f>$D$147*DefaultData!N62+$D$148*DefaultData!N63+$D$149*DefaultData!N64+$D$150*DefaultData!N65+$D$151*DefaultData!N66+$D$152*DefaultData!N67+$D$153*DefaultData!N68+$D$154*DefaultData!N69+$D$155*DefaultData!N70+$D$156*DefaultData!N71+$D$157*DefaultData!N72+$D$158*DefaultData!N73+$D$159*DefaultData!N74+$D$160*DefaultData!N75+$D$161*DefaultData!N76+$D$162*DefaultData!N77+$D$163*DefaultData!N78+$D$164*DefaultData!N79+$D$165*DefaultData!N80+$D$166*DefaultData!N81+$D$167*DefaultData!N82+$D$168*DefaultData!N83</f>
        <v>0</v>
      </c>
      <c r="G98" s="5">
        <f t="shared" si="20"/>
        <v>0</v>
      </c>
      <c r="H98" s="14">
        <f t="shared" si="19"/>
        <v>0</v>
      </c>
      <c r="I98" s="5"/>
      <c r="J98" s="14"/>
      <c r="L98" s="396">
        <f>$H98*Multipliers!D318</f>
        <v>0</v>
      </c>
      <c r="M98" s="396">
        <f>$H98*Multipliers!E318</f>
        <v>0</v>
      </c>
      <c r="N98" s="396">
        <f>$H98*Multipliers!F318</f>
        <v>0</v>
      </c>
      <c r="O98" s="396">
        <f t="shared" si="21"/>
        <v>0</v>
      </c>
      <c r="P98" s="397">
        <f>$H98*Multipliers!H318</f>
        <v>0</v>
      </c>
      <c r="Q98" s="397">
        <f>$H98*Multipliers!I318</f>
        <v>0</v>
      </c>
      <c r="R98" s="397">
        <f>$H98*Multipliers!J318</f>
        <v>0</v>
      </c>
      <c r="S98" s="397">
        <f t="shared" si="22"/>
        <v>0</v>
      </c>
      <c r="T98" s="397">
        <f>$H98*Multipliers!L318</f>
        <v>0</v>
      </c>
      <c r="U98" s="397">
        <f>$H98*Multipliers!M318</f>
        <v>0</v>
      </c>
      <c r="V98" s="397">
        <f>$H98*Multipliers!N318</f>
        <v>0</v>
      </c>
      <c r="W98" s="397">
        <f t="shared" si="23"/>
        <v>0</v>
      </c>
      <c r="X98" s="397">
        <f>$H98*Multipliers!P318</f>
        <v>0</v>
      </c>
      <c r="Y98" s="397">
        <f>$H98*Multipliers!Q318</f>
        <v>0</v>
      </c>
      <c r="Z98" s="397">
        <f>$H98*Multipliers!R318</f>
        <v>0</v>
      </c>
      <c r="AA98" s="397">
        <f t="shared" si="24"/>
        <v>0</v>
      </c>
    </row>
    <row r="99" spans="3:27">
      <c r="C99" s="393" t="s">
        <v>394</v>
      </c>
      <c r="D99" s="5">
        <f>$D$147*DefaultData!O62+$D$148*DefaultData!O63+$D$149*DefaultData!O64+$D$150*DefaultData!O65+$D$151*DefaultData!O66+$D$152*DefaultData!O67+$D$153*DefaultData!O68+$D$154*DefaultData!O69+$D$155*DefaultData!O70+$D$156*DefaultData!O71+$D$157*DefaultData!O72+$D$158*DefaultData!O73+$D$159*DefaultData!O74+$D$160*DefaultData!O75+$D$161*DefaultData!O76+$D$162*DefaultData!O77+$D$163*DefaultData!O78+$D$164*DefaultData!O79+$D$165*DefaultData!O80+$D$166*DefaultData!O81+$D$167*DefaultData!O82+$D$168*DefaultData!O83</f>
        <v>8592.4643328000002</v>
      </c>
      <c r="E99" s="5"/>
      <c r="F99" s="5"/>
      <c r="G99" s="5">
        <f t="shared" si="20"/>
        <v>8592.4643328000002</v>
      </c>
      <c r="H99" s="14">
        <f t="shared" si="19"/>
        <v>1.0064353473008639E-2</v>
      </c>
      <c r="I99" s="5"/>
      <c r="J99" s="14"/>
      <c r="L99" s="396">
        <f>$H99*Multipliers!D319</f>
        <v>3.047510386075351E-2</v>
      </c>
      <c r="M99" s="396">
        <f>$H99*Multipliers!E319</f>
        <v>3.3344430907201329E-2</v>
      </c>
      <c r="N99" s="396">
        <f>$H99*Multipliers!F319</f>
        <v>4.3122956741576526E-2</v>
      </c>
      <c r="O99" s="396">
        <f t="shared" si="21"/>
        <v>0.10694249150953138</v>
      </c>
      <c r="P99" s="397">
        <f>$H99*Multipliers!H319</f>
        <v>2.7022789075028197E-3</v>
      </c>
      <c r="Q99" s="397">
        <f>$H99*Multipliers!I319</f>
        <v>1.956248641962581E-3</v>
      </c>
      <c r="R99" s="397">
        <f>$H99*Multipliers!J319</f>
        <v>2.1703677621008402E-3</v>
      </c>
      <c r="S99" s="397">
        <f t="shared" si="22"/>
        <v>6.8288953115662413E-3</v>
      </c>
      <c r="T99" s="397">
        <f>$H99*Multipliers!L319</f>
        <v>1.0064353473008639E-2</v>
      </c>
      <c r="U99" s="397">
        <f>$H99*Multipliers!M319</f>
        <v>6.1810931359225661E-3</v>
      </c>
      <c r="V99" s="397">
        <f>$H99*Multipliers!N319</f>
        <v>7.7829960208074594E-3</v>
      </c>
      <c r="W99" s="397">
        <f t="shared" si="23"/>
        <v>2.4028442629738665E-2</v>
      </c>
      <c r="X99" s="397">
        <f>$H99*Multipliers!P319</f>
        <v>5.9595263942142807E-3</v>
      </c>
      <c r="Y99" s="397">
        <f>$H99*Multipliers!Q319</f>
        <v>3.5999789798812983E-3</v>
      </c>
      <c r="Z99" s="397">
        <f>$H99*Multipliers!R319</f>
        <v>4.389084678286013E-3</v>
      </c>
      <c r="AA99" s="397">
        <f t="shared" si="24"/>
        <v>1.3948590052381592E-2</v>
      </c>
    </row>
    <row r="100" spans="3:27">
      <c r="C100" s="393" t="s">
        <v>395</v>
      </c>
      <c r="D100" s="5">
        <f>$D$147*DefaultData!P62+$D$148*DefaultData!P63+$D$149*DefaultData!P64+$D$150*DefaultData!P65+$D$151*DefaultData!P66+$D$152*DefaultData!P67+$D$153*DefaultData!P68+$D$154*DefaultData!P69+$D$155*DefaultData!P70+$D$156*DefaultData!P71+$D$157*DefaultData!P72+$D$158*DefaultData!P73+$D$159*DefaultData!P74+$D$160*DefaultData!P75+$D$161*DefaultData!P76+$D$162*DefaultData!P77+$D$163*DefaultData!P78+$D$164*DefaultData!P79+$D$165*DefaultData!P80+$D$166*DefaultData!P81+$D$167*DefaultData!P82+$D$168*DefaultData!P83</f>
        <v>0</v>
      </c>
      <c r="G100" s="5">
        <f t="shared" si="20"/>
        <v>0</v>
      </c>
      <c r="H100" s="14">
        <f t="shared" si="19"/>
        <v>0</v>
      </c>
      <c r="I100" s="5"/>
      <c r="J100" s="14"/>
      <c r="L100" s="396">
        <f>$H100*Multipliers!D320</f>
        <v>0</v>
      </c>
      <c r="M100" s="396">
        <f>$H100*Multipliers!E320</f>
        <v>0</v>
      </c>
      <c r="N100" s="396">
        <f>$H100*Multipliers!F320</f>
        <v>0</v>
      </c>
      <c r="O100" s="396">
        <f t="shared" si="21"/>
        <v>0</v>
      </c>
      <c r="P100" s="397">
        <f>$H100*Multipliers!H320</f>
        <v>0</v>
      </c>
      <c r="Q100" s="397">
        <f>$H100*Multipliers!I320</f>
        <v>0</v>
      </c>
      <c r="R100" s="397">
        <f>$H100*Multipliers!J320</f>
        <v>0</v>
      </c>
      <c r="S100" s="397">
        <f t="shared" si="22"/>
        <v>0</v>
      </c>
      <c r="T100" s="397">
        <f>$H100*Multipliers!L320</f>
        <v>0</v>
      </c>
      <c r="U100" s="397">
        <f>$H100*Multipliers!M320</f>
        <v>0</v>
      </c>
      <c r="V100" s="397">
        <f>$H100*Multipliers!N320</f>
        <v>0</v>
      </c>
      <c r="W100" s="397">
        <f t="shared" si="23"/>
        <v>0</v>
      </c>
      <c r="X100" s="397">
        <f>$H100*Multipliers!P320</f>
        <v>0</v>
      </c>
      <c r="Y100" s="397">
        <f>$H100*Multipliers!Q320</f>
        <v>0</v>
      </c>
      <c r="Z100" s="397">
        <f>$H100*Multipliers!R320</f>
        <v>0</v>
      </c>
      <c r="AA100" s="397">
        <f t="shared" si="24"/>
        <v>0</v>
      </c>
    </row>
    <row r="101" spans="3:27">
      <c r="C101" s="393" t="s">
        <v>396</v>
      </c>
      <c r="D101" s="5">
        <f>$D$147*DefaultData!Q62+$D$148*DefaultData!Q63+$D$149*DefaultData!Q64+$D$150*DefaultData!Q65+$D$151*DefaultData!Q66+$D$152*DefaultData!Q67+$D$153*DefaultData!Q68+$D$154*DefaultData!Q69+$D$155*DefaultData!Q70+$D$156*DefaultData!Q71+$D$157*DefaultData!Q72+$D$158*DefaultData!Q73+$D$159*DefaultData!Q74+$D$160*DefaultData!Q75+$D$161*DefaultData!Q76+$D$162*DefaultData!Q77+$D$163*DefaultData!Q78+$D$164*DefaultData!Q79+$D$165*DefaultData!Q80+$D$166*DefaultData!Q81+$D$167*DefaultData!Q82+$D$168*DefaultData!Q83</f>
        <v>3303.002333866667</v>
      </c>
      <c r="E101" s="5"/>
      <c r="F101" s="5"/>
      <c r="G101" s="5">
        <f t="shared" si="20"/>
        <v>3303.002333866667</v>
      </c>
      <c r="H101" s="14">
        <f t="shared" si="19"/>
        <v>3.8688066336580269E-3</v>
      </c>
      <c r="I101" s="5"/>
      <c r="J101" s="14"/>
      <c r="L101" s="396">
        <v>0</v>
      </c>
      <c r="M101" s="396">
        <f>$H101*Multipliers!E321</f>
        <v>1.3361407310167203E-2</v>
      </c>
      <c r="N101" s="396">
        <f>$H101*Multipliers!F321</f>
        <v>1.6758173108839345E-2</v>
      </c>
      <c r="O101" s="396">
        <f t="shared" si="21"/>
        <v>3.0119580419006548E-2</v>
      </c>
      <c r="P101" s="397">
        <v>0</v>
      </c>
      <c r="Q101" s="397">
        <f>$H101*Multipliers!I321</f>
        <v>8.1143189692353364E-4</v>
      </c>
      <c r="R101" s="397">
        <f>$H101*Multipliers!J321</f>
        <v>8.4354299198289521E-4</v>
      </c>
      <c r="S101" s="397">
        <f t="shared" si="22"/>
        <v>1.654974888906429E-3</v>
      </c>
      <c r="T101" s="397">
        <v>0</v>
      </c>
      <c r="U101" s="397">
        <f>$H101*Multipliers!M321</f>
        <v>3.0014666120715011E-3</v>
      </c>
      <c r="V101" s="397">
        <f>$H101*Multipliers!N321</f>
        <v>3.0236232676624608E-3</v>
      </c>
      <c r="W101" s="397">
        <f t="shared" si="23"/>
        <v>6.0250898797339619E-3</v>
      </c>
      <c r="X101" s="397">
        <v>0</v>
      </c>
      <c r="Y101" s="397">
        <f>$H101*Multipliers!Q321</f>
        <v>1.6073808296991677E-3</v>
      </c>
      <c r="Z101" s="397">
        <f>$H101*Multipliers!R321</f>
        <v>1.7053854393429928E-3</v>
      </c>
      <c r="AA101" s="397">
        <f t="shared" si="24"/>
        <v>3.3127662690421605E-3</v>
      </c>
    </row>
    <row r="102" spans="3:27">
      <c r="C102" s="393" t="s">
        <v>397</v>
      </c>
      <c r="D102" s="5">
        <f>$D$147*DefaultData!R62+$D$148*DefaultData!R63+$D$149*DefaultData!R64+$D$150*DefaultData!R65+$D$151*DefaultData!R66+$D$152*DefaultData!R67+$D$153*DefaultData!R68+$D$154*DefaultData!R69+$D$155*DefaultData!R70+$D$156*DefaultData!R71+$D$157*DefaultData!R72+$D$158*DefaultData!R73+$D$159*DefaultData!R74+$D$160*DefaultData!R75+$D$161*DefaultData!R76+$D$162*DefaultData!R77+$D$163*DefaultData!R78+$D$164*DefaultData!R79+$D$165*DefaultData!R80+$D$166*DefaultData!R81+$D$167*DefaultData!R82+$D$168*DefaultData!R83</f>
        <v>0</v>
      </c>
      <c r="G102" s="5">
        <f t="shared" si="20"/>
        <v>0</v>
      </c>
      <c r="H102" s="14">
        <f t="shared" si="19"/>
        <v>0</v>
      </c>
      <c r="L102" s="396">
        <v>0</v>
      </c>
      <c r="M102" s="396">
        <f>$H102*Multipliers!E322</f>
        <v>0</v>
      </c>
      <c r="N102" s="396">
        <f>$H102*Multipliers!F322</f>
        <v>0</v>
      </c>
      <c r="O102" s="396">
        <f t="shared" ref="O102:O109" si="25">+N102+M102+L102</f>
        <v>0</v>
      </c>
      <c r="P102" s="397">
        <v>0</v>
      </c>
      <c r="Q102" s="397">
        <f>$H102*Multipliers!I322</f>
        <v>0</v>
      </c>
      <c r="R102" s="397">
        <f>$H102*Multipliers!J322</f>
        <v>0</v>
      </c>
      <c r="S102" s="397">
        <f t="shared" ref="S102:S109" si="26">+R102+Q102+P102</f>
        <v>0</v>
      </c>
      <c r="T102" s="397">
        <v>0</v>
      </c>
      <c r="U102" s="397">
        <f>$H102*Multipliers!M322</f>
        <v>0</v>
      </c>
      <c r="V102" s="397">
        <f>$H102*Multipliers!N322</f>
        <v>0</v>
      </c>
      <c r="W102" s="397">
        <f t="shared" ref="W102:W109" si="27">+V102+U102+T102</f>
        <v>0</v>
      </c>
      <c r="X102" s="397">
        <v>0</v>
      </c>
      <c r="Y102" s="397">
        <f>$H102*Multipliers!Q322</f>
        <v>0</v>
      </c>
      <c r="Z102" s="397">
        <f>$H102*Multipliers!R322</f>
        <v>0</v>
      </c>
      <c r="AA102" s="397">
        <f t="shared" si="24"/>
        <v>0</v>
      </c>
    </row>
    <row r="103" spans="3:27">
      <c r="C103" s="393" t="s">
        <v>398</v>
      </c>
      <c r="D103" s="5">
        <f>$D$147*DefaultData!S62+$D$148*DefaultData!S63+$D$149*DefaultData!S64+$D$150*DefaultData!S65+$D$151*DefaultData!S66+$D$152*DefaultData!S67+$D$153*DefaultData!S68+$D$154*DefaultData!S69+$D$155*DefaultData!S70+$D$156*DefaultData!S71+$D$157*DefaultData!S72+$D$158*DefaultData!S73+$D$159*DefaultData!S74+$D$160*DefaultData!S75+$D$161*DefaultData!S76+$D$162*DefaultData!S77+$D$163*DefaultData!S78+$D$164*DefaultData!S79+$D$165*DefaultData!S80+$D$166*DefaultData!S81+$D$167*DefaultData!S82+$D$168*DefaultData!S83</f>
        <v>0</v>
      </c>
      <c r="E103" s="5"/>
      <c r="F103" s="5"/>
      <c r="G103" s="5">
        <f t="shared" si="20"/>
        <v>0</v>
      </c>
      <c r="H103" s="14">
        <f t="shared" si="19"/>
        <v>0</v>
      </c>
      <c r="I103" s="5"/>
      <c r="J103" s="14"/>
      <c r="L103" s="396">
        <v>0</v>
      </c>
      <c r="M103" s="396">
        <f>$H103*Multipliers!E323</f>
        <v>0</v>
      </c>
      <c r="N103" s="396">
        <f>$H103*Multipliers!F323</f>
        <v>0</v>
      </c>
      <c r="O103" s="396">
        <f t="shared" si="25"/>
        <v>0</v>
      </c>
      <c r="P103" s="397">
        <v>0</v>
      </c>
      <c r="Q103" s="397">
        <f>$H103*Multipliers!I323</f>
        <v>0</v>
      </c>
      <c r="R103" s="397">
        <f>$H103*Multipliers!J323</f>
        <v>0</v>
      </c>
      <c r="S103" s="397">
        <f t="shared" si="26"/>
        <v>0</v>
      </c>
      <c r="T103" s="397">
        <v>0</v>
      </c>
      <c r="U103" s="397">
        <f>$H103*Multipliers!M323</f>
        <v>0</v>
      </c>
      <c r="V103" s="397">
        <f>$H103*Multipliers!N323</f>
        <v>0</v>
      </c>
      <c r="W103" s="397">
        <f t="shared" si="27"/>
        <v>0</v>
      </c>
      <c r="X103" s="397">
        <v>0</v>
      </c>
      <c r="Y103" s="397">
        <f>$H103*Multipliers!Q323</f>
        <v>0</v>
      </c>
      <c r="Z103" s="397">
        <f>$H103*Multipliers!R323</f>
        <v>0</v>
      </c>
      <c r="AA103" s="397">
        <f t="shared" si="24"/>
        <v>0</v>
      </c>
    </row>
    <row r="104" spans="3:27">
      <c r="C104" s="393" t="s">
        <v>399</v>
      </c>
      <c r="D104" s="5">
        <f>$D$147*DefaultData!T62+$D$148*DefaultData!T63+$D$149*DefaultData!T64+$D$150*DefaultData!T65+$D$151*DefaultData!T66+$D$152*DefaultData!T67+$D$153*DefaultData!T68+$D$154*DefaultData!T69+$D$155*DefaultData!T70+$D$156*DefaultData!T71+$D$157*DefaultData!T72+$D$158*DefaultData!T73+$D$159*DefaultData!T74+$D$160*DefaultData!T75+$D$161*DefaultData!T76+$D$162*DefaultData!T77+$D$163*DefaultData!T78+$D$164*DefaultData!T79+$D$165*DefaultData!T80+$D$166*DefaultData!T81+$D$167*DefaultData!T82+$D$168*DefaultData!T83</f>
        <v>0</v>
      </c>
      <c r="E104" s="5"/>
      <c r="F104" s="5"/>
      <c r="G104" s="5">
        <f t="shared" si="20"/>
        <v>0</v>
      </c>
      <c r="H104" s="14">
        <f t="shared" si="19"/>
        <v>0</v>
      </c>
      <c r="I104" s="5"/>
      <c r="J104" s="14"/>
      <c r="L104" s="396">
        <v>0</v>
      </c>
      <c r="M104" s="396">
        <f>$H104*Multipliers!E324</f>
        <v>0</v>
      </c>
      <c r="N104" s="396">
        <f>$H104*Multipliers!F324</f>
        <v>0</v>
      </c>
      <c r="O104" s="396">
        <f t="shared" si="25"/>
        <v>0</v>
      </c>
      <c r="P104" s="397">
        <v>0</v>
      </c>
      <c r="Q104" s="397">
        <f>$H104*Multipliers!I324</f>
        <v>0</v>
      </c>
      <c r="R104" s="397">
        <f>$H104*Multipliers!J324</f>
        <v>0</v>
      </c>
      <c r="S104" s="397">
        <f t="shared" si="26"/>
        <v>0</v>
      </c>
      <c r="T104" s="397">
        <v>0</v>
      </c>
      <c r="U104" s="397">
        <f>$H104*Multipliers!M324</f>
        <v>0</v>
      </c>
      <c r="V104" s="397">
        <f>$H104*Multipliers!N324</f>
        <v>0</v>
      </c>
      <c r="W104" s="397">
        <f t="shared" si="27"/>
        <v>0</v>
      </c>
      <c r="X104" s="397">
        <v>0</v>
      </c>
      <c r="Y104" s="397">
        <f>$H104*Multipliers!Q324</f>
        <v>0</v>
      </c>
      <c r="Z104" s="397">
        <f>$H104*Multipliers!R324</f>
        <v>0</v>
      </c>
      <c r="AA104" s="397">
        <f t="shared" si="24"/>
        <v>0</v>
      </c>
    </row>
    <row r="105" spans="3:27">
      <c r="C105" s="393" t="s">
        <v>400</v>
      </c>
      <c r="D105" s="5">
        <f>$D$147*DefaultData!U62+$D$148*DefaultData!U63+$D$149*DefaultData!U64+$D$150*DefaultData!U65+$D$151*DefaultData!U66+$D$152*DefaultData!U67+$D$153*DefaultData!U68+$D$154*DefaultData!U69+$D$155*DefaultData!U70+$D$156*DefaultData!U71+$D$157*DefaultData!U72+$D$158*DefaultData!U73+$D$159*DefaultData!U74+$D$160*DefaultData!U75+$D$161*DefaultData!U76+$D$162*DefaultData!U77+$D$163*DefaultData!U78+$D$164*DefaultData!U79+$D$165*DefaultData!U80+$D$166*DefaultData!U81+$D$167*DefaultData!U82+$D$168*DefaultData!U83</f>
        <v>0</v>
      </c>
      <c r="E105" s="5"/>
      <c r="F105" s="5"/>
      <c r="G105" s="5">
        <f t="shared" si="20"/>
        <v>0</v>
      </c>
      <c r="H105" s="14">
        <f t="shared" si="19"/>
        <v>0</v>
      </c>
      <c r="I105" s="5"/>
      <c r="J105" s="14"/>
      <c r="L105" s="396">
        <v>0</v>
      </c>
      <c r="M105" s="396">
        <f>$H105*Multipliers!E325</f>
        <v>0</v>
      </c>
      <c r="N105" s="396">
        <f>$H105*Multipliers!F325</f>
        <v>0</v>
      </c>
      <c r="O105" s="396">
        <f t="shared" si="25"/>
        <v>0</v>
      </c>
      <c r="P105" s="397">
        <v>0</v>
      </c>
      <c r="Q105" s="397">
        <f>$H105*Multipliers!I325</f>
        <v>0</v>
      </c>
      <c r="R105" s="397">
        <f>$H105*Multipliers!J325</f>
        <v>0</v>
      </c>
      <c r="S105" s="397">
        <f t="shared" si="26"/>
        <v>0</v>
      </c>
      <c r="T105" s="397">
        <v>0</v>
      </c>
      <c r="U105" s="397">
        <f>$H105*Multipliers!M325</f>
        <v>0</v>
      </c>
      <c r="V105" s="397">
        <f>$H105*Multipliers!N325</f>
        <v>0</v>
      </c>
      <c r="W105" s="397">
        <f t="shared" si="27"/>
        <v>0</v>
      </c>
      <c r="X105" s="397">
        <v>0</v>
      </c>
      <c r="Y105" s="397">
        <f>$H105*Multipliers!Q325</f>
        <v>0</v>
      </c>
      <c r="Z105" s="397">
        <f>$H105*Multipliers!R325</f>
        <v>0</v>
      </c>
      <c r="AA105" s="397">
        <f t="shared" si="24"/>
        <v>0</v>
      </c>
    </row>
    <row r="106" spans="3:27">
      <c r="C106" s="393" t="s">
        <v>401</v>
      </c>
      <c r="D106" s="5">
        <f>$D$147*DefaultData!V62+$D$148*DefaultData!V63+$D$149*DefaultData!V64+$D$150*DefaultData!V65+$D$151*DefaultData!V66+$D$152*DefaultData!V67+$D$153*DefaultData!V68+$D$154*DefaultData!V69+$D$155*DefaultData!V70+$D$156*DefaultData!V71+$D$157*DefaultData!V72+$D$158*DefaultData!V73+$D$159*DefaultData!V74+$D$160*DefaultData!V75+$D$161*DefaultData!V76+$D$162*DefaultData!V77+$D$163*DefaultData!V78+$D$164*DefaultData!V79+$D$165*DefaultData!V80+$D$166*DefaultData!V81+$D$167*DefaultData!V82+$D$168*DefaultData!V83</f>
        <v>0</v>
      </c>
      <c r="E106" s="5"/>
      <c r="F106" s="5"/>
      <c r="G106" s="5">
        <f t="shared" si="20"/>
        <v>0</v>
      </c>
      <c r="H106" s="14">
        <f t="shared" si="19"/>
        <v>0</v>
      </c>
      <c r="I106" s="5"/>
      <c r="J106" s="14"/>
      <c r="L106" s="396">
        <v>0</v>
      </c>
      <c r="M106" s="396">
        <f>$H106*Multipliers!E326</f>
        <v>0</v>
      </c>
      <c r="N106" s="396">
        <f>$H106*Multipliers!F326</f>
        <v>0</v>
      </c>
      <c r="O106" s="396">
        <f t="shared" si="25"/>
        <v>0</v>
      </c>
      <c r="P106" s="397">
        <v>0</v>
      </c>
      <c r="Q106" s="397">
        <f>$H106*Multipliers!I326</f>
        <v>0</v>
      </c>
      <c r="R106" s="397">
        <f>$H106*Multipliers!J326</f>
        <v>0</v>
      </c>
      <c r="S106" s="397">
        <f t="shared" si="26"/>
        <v>0</v>
      </c>
      <c r="T106" s="397">
        <v>0</v>
      </c>
      <c r="U106" s="397">
        <f>$H106*Multipliers!M326</f>
        <v>0</v>
      </c>
      <c r="V106" s="397">
        <f>$H106*Multipliers!N326</f>
        <v>0</v>
      </c>
      <c r="W106" s="397">
        <f t="shared" si="27"/>
        <v>0</v>
      </c>
      <c r="X106" s="397">
        <v>0</v>
      </c>
      <c r="Y106" s="397">
        <f>$H106*Multipliers!Q326</f>
        <v>0</v>
      </c>
      <c r="Z106" s="397">
        <f>$H106*Multipliers!R326</f>
        <v>0</v>
      </c>
      <c r="AA106" s="397">
        <f t="shared" si="24"/>
        <v>0</v>
      </c>
    </row>
    <row r="107" spans="3:27">
      <c r="C107" s="393" t="s">
        <v>402</v>
      </c>
      <c r="D107" s="5">
        <f>$D$147*DefaultData!W62+$D$148*DefaultData!W63+$D$149*DefaultData!W64+$D$150*DefaultData!W65+$D$151*DefaultData!W66+$D$152*DefaultData!W67+$D$153*DefaultData!W68+$D$154*DefaultData!W69+$D$155*DefaultData!W70+$D$156*DefaultData!W71+$D$157*DefaultData!W72+$D$158*DefaultData!W73+$D$159*DefaultData!W74+$D$160*DefaultData!W75+$D$161*DefaultData!W76+$D$162*DefaultData!W77+$D$163*DefaultData!W78+$D$164*DefaultData!W79+$D$165*DefaultData!W80+$D$166*DefaultData!W81+$D$167*DefaultData!W82+$D$168*DefaultData!W83</f>
        <v>0</v>
      </c>
      <c r="E107" s="5"/>
      <c r="F107" s="5"/>
      <c r="G107" s="5">
        <f t="shared" si="20"/>
        <v>0</v>
      </c>
      <c r="H107" s="14">
        <f t="shared" si="19"/>
        <v>0</v>
      </c>
      <c r="I107" s="5"/>
      <c r="J107" s="14"/>
      <c r="L107" s="396">
        <v>0</v>
      </c>
      <c r="M107" s="396">
        <f>$H107*Multipliers!E327</f>
        <v>0</v>
      </c>
      <c r="N107" s="396">
        <f>$H107*Multipliers!F327</f>
        <v>0</v>
      </c>
      <c r="O107" s="396">
        <f t="shared" si="25"/>
        <v>0</v>
      </c>
      <c r="P107" s="397">
        <v>0</v>
      </c>
      <c r="Q107" s="397">
        <f>$H107*Multipliers!I327</f>
        <v>0</v>
      </c>
      <c r="R107" s="397">
        <f>$H107*Multipliers!J327</f>
        <v>0</v>
      </c>
      <c r="S107" s="397">
        <f t="shared" si="26"/>
        <v>0</v>
      </c>
      <c r="T107" s="397">
        <v>0</v>
      </c>
      <c r="U107" s="397">
        <f>$H107*Multipliers!M327</f>
        <v>0</v>
      </c>
      <c r="V107" s="397">
        <f>$H107*Multipliers!N327</f>
        <v>0</v>
      </c>
      <c r="W107" s="397">
        <f t="shared" si="27"/>
        <v>0</v>
      </c>
      <c r="X107" s="397">
        <v>0</v>
      </c>
      <c r="Y107" s="397">
        <f>$H107*Multipliers!Q327</f>
        <v>0</v>
      </c>
      <c r="Z107" s="397">
        <f>$H107*Multipliers!R327</f>
        <v>0</v>
      </c>
      <c r="AA107" s="397">
        <f t="shared" si="24"/>
        <v>0</v>
      </c>
    </row>
    <row r="108" spans="3:27">
      <c r="C108" s="393" t="s">
        <v>403</v>
      </c>
      <c r="D108" s="5">
        <f>$D$147*DefaultData!X62+$D$148*DefaultData!X63+$D$149*DefaultData!X64+$D$150*DefaultData!X65+$D$151*DefaultData!X66+$D$152*DefaultData!X67+$D$153*DefaultData!X68+$D$154*DefaultData!X69+$D$155*DefaultData!X70+$D$156*DefaultData!X71+$D$157*DefaultData!X72+$D$158*DefaultData!X73+$D$159*DefaultData!X74+$D$160*DefaultData!X75+$D$161*DefaultData!X76+$D$162*DefaultData!X77+$D$163*DefaultData!X78+$D$164*DefaultData!X79+$D$165*DefaultData!X80+$D$166*DefaultData!X81+$D$167*DefaultData!X82+$D$168*DefaultData!X83</f>
        <v>0</v>
      </c>
      <c r="F108" s="5"/>
      <c r="G108" s="5">
        <f t="shared" si="20"/>
        <v>0</v>
      </c>
      <c r="H108" s="14">
        <f t="shared" si="19"/>
        <v>0</v>
      </c>
      <c r="I108" s="5"/>
      <c r="J108" s="14"/>
      <c r="L108" s="396">
        <v>0</v>
      </c>
      <c r="M108" s="396">
        <f>$H108*Multipliers!E328</f>
        <v>0</v>
      </c>
      <c r="N108" s="396">
        <f>$H108*Multipliers!F328</f>
        <v>0</v>
      </c>
      <c r="O108" s="396">
        <f t="shared" si="25"/>
        <v>0</v>
      </c>
      <c r="P108" s="397">
        <v>0</v>
      </c>
      <c r="Q108" s="397">
        <f>$H108*Multipliers!I328</f>
        <v>0</v>
      </c>
      <c r="R108" s="397">
        <f>$H108*Multipliers!J328</f>
        <v>0</v>
      </c>
      <c r="S108" s="397">
        <f t="shared" si="26"/>
        <v>0</v>
      </c>
      <c r="T108" s="397">
        <v>0</v>
      </c>
      <c r="U108" s="397">
        <f>$H108*Multipliers!M328</f>
        <v>0</v>
      </c>
      <c r="V108" s="397">
        <f>$H108*Multipliers!N328</f>
        <v>0</v>
      </c>
      <c r="W108" s="397">
        <f t="shared" si="27"/>
        <v>0</v>
      </c>
      <c r="X108" s="397">
        <v>0</v>
      </c>
      <c r="Y108" s="397">
        <f>$H108*Multipliers!Q328</f>
        <v>0</v>
      </c>
      <c r="Z108" s="397">
        <f>$H108*Multipliers!R328</f>
        <v>0</v>
      </c>
      <c r="AA108" s="397">
        <f t="shared" si="24"/>
        <v>0</v>
      </c>
    </row>
    <row r="109" spans="3:27">
      <c r="C109" s="393" t="s">
        <v>404</v>
      </c>
      <c r="D109" s="5">
        <f>$D$147*DefaultData!Y62+$D$148*DefaultData!Y63+$D$149*DefaultData!Y64+$D$150*DefaultData!Y65+$D$151*DefaultData!Y66+$D$152*DefaultData!Y67+$D$153*DefaultData!Y68+$D$154*DefaultData!Y69+$D$155*DefaultData!Y70+$D$156*DefaultData!Y71+$D$157*DefaultData!Y72+$D$158*DefaultData!Y73+$D$159*DefaultData!Y74+$D$160*DefaultData!Y75+$D$161*DefaultData!Y76+$D$162*DefaultData!Y77+$D$163*DefaultData!Y78+$D$164*DefaultData!Y79+$D$165*DefaultData!Y80+$D$166*DefaultData!Y81+$D$167*DefaultData!Y82+$D$168*DefaultData!Y83</f>
        <v>0</v>
      </c>
      <c r="E109" s="5"/>
      <c r="F109" s="5"/>
      <c r="G109" s="5">
        <f t="shared" si="20"/>
        <v>0</v>
      </c>
      <c r="H109" s="14">
        <f t="shared" si="19"/>
        <v>0</v>
      </c>
      <c r="I109" s="5"/>
      <c r="J109" s="14"/>
      <c r="L109" s="396">
        <v>0</v>
      </c>
      <c r="M109" s="396">
        <f>$H109*Multipliers!E329</f>
        <v>0</v>
      </c>
      <c r="N109" s="396">
        <f>$H109*Multipliers!F329</f>
        <v>0</v>
      </c>
      <c r="O109" s="396">
        <f t="shared" si="25"/>
        <v>0</v>
      </c>
      <c r="P109" s="397">
        <v>0</v>
      </c>
      <c r="Q109" s="397">
        <f>$H109*Multipliers!I329</f>
        <v>0</v>
      </c>
      <c r="R109" s="397">
        <f>$H109*Multipliers!J329</f>
        <v>0</v>
      </c>
      <c r="S109" s="397">
        <f t="shared" si="26"/>
        <v>0</v>
      </c>
      <c r="T109" s="397">
        <v>0</v>
      </c>
      <c r="U109" s="397">
        <f>$H109*Multipliers!M329</f>
        <v>0</v>
      </c>
      <c r="V109" s="397">
        <f>$H109*Multipliers!N329</f>
        <v>0</v>
      </c>
      <c r="W109" s="397">
        <f t="shared" si="27"/>
        <v>0</v>
      </c>
      <c r="X109" s="397">
        <v>0</v>
      </c>
      <c r="Y109" s="397">
        <f>$H109*Multipliers!Q329</f>
        <v>0</v>
      </c>
      <c r="Z109" s="397">
        <f>$H109*Multipliers!R329</f>
        <v>0</v>
      </c>
      <c r="AA109" s="397">
        <f t="shared" si="24"/>
        <v>0</v>
      </c>
    </row>
    <row r="110" spans="3:27">
      <c r="C110" s="3" t="s">
        <v>133</v>
      </c>
      <c r="D110" s="5">
        <f>SUM(D88:D109)</f>
        <v>11895.466666666667</v>
      </c>
      <c r="E110" s="5"/>
      <c r="F110" s="5"/>
      <c r="G110" s="5">
        <f>SUM(G88:G109)</f>
        <v>11895.466666666667</v>
      </c>
      <c r="H110" s="16">
        <f>SUM(H88:H109)</f>
        <v>1.3933160106666665E-2</v>
      </c>
      <c r="I110" s="5"/>
      <c r="J110" s="14"/>
      <c r="K110" s="20" t="s">
        <v>133</v>
      </c>
      <c r="L110" s="396">
        <f>SUM(L88:L109)</f>
        <v>3.047510386075351E-2</v>
      </c>
      <c r="M110" s="396">
        <f>SUM(M88:M109)</f>
        <v>4.6705838217368532E-2</v>
      </c>
      <c r="N110" s="396">
        <f>SUM(N88:N109)</f>
        <v>5.9881129850415868E-2</v>
      </c>
      <c r="O110" s="396">
        <f>SUM(O88:O109)</f>
        <v>0.13706207192853792</v>
      </c>
      <c r="P110" s="397">
        <f>SUM(P88:P109)</f>
        <v>2.7022789075028197E-3</v>
      </c>
      <c r="Q110" s="397">
        <f t="shared" ref="Q110:W110" si="28">SUM(Q88:Q109)</f>
        <v>2.7676805388861148E-3</v>
      </c>
      <c r="R110" s="397">
        <f t="shared" si="28"/>
        <v>3.0139107540837354E-3</v>
      </c>
      <c r="S110" s="397">
        <f t="shared" si="28"/>
        <v>8.4838702004726707E-3</v>
      </c>
      <c r="T110" s="397">
        <f t="shared" si="28"/>
        <v>1.0064353473008639E-2</v>
      </c>
      <c r="U110" s="397">
        <f t="shared" si="28"/>
        <v>9.1825597479940676E-3</v>
      </c>
      <c r="V110" s="397">
        <f t="shared" si="28"/>
        <v>1.080661928846992E-2</v>
      </c>
      <c r="W110" s="397">
        <f t="shared" si="28"/>
        <v>3.0053532509472625E-2</v>
      </c>
      <c r="X110" s="397">
        <f t="shared" ref="X110:AA110" si="29">SUM(X88:X109)</f>
        <v>5.9595263942142807E-3</v>
      </c>
      <c r="Y110" s="397">
        <f t="shared" si="29"/>
        <v>5.207359809580466E-3</v>
      </c>
      <c r="Z110" s="397">
        <f t="shared" si="29"/>
        <v>6.0944701176290058E-3</v>
      </c>
      <c r="AA110" s="397">
        <f t="shared" si="29"/>
        <v>1.7261356321423754E-2</v>
      </c>
    </row>
    <row r="111" spans="3:27">
      <c r="C111" s="28"/>
      <c r="E111" s="5"/>
      <c r="L111" s="396"/>
      <c r="M111" s="396"/>
      <c r="N111" s="396"/>
      <c r="O111" s="396"/>
      <c r="P111" s="397"/>
      <c r="Q111" s="397"/>
      <c r="R111" s="397"/>
      <c r="S111" s="397"/>
      <c r="T111" s="397"/>
      <c r="U111" s="397"/>
      <c r="V111" s="397"/>
      <c r="W111" s="397"/>
      <c r="X111" s="397"/>
      <c r="Y111" s="397"/>
      <c r="Z111" s="397"/>
      <c r="AA111" s="397"/>
    </row>
    <row r="112" spans="3:27">
      <c r="C112" s="3" t="s">
        <v>560</v>
      </c>
      <c r="E112" s="19" t="s">
        <v>561</v>
      </c>
      <c r="G112" s="5">
        <f>G68</f>
        <v>17930.666666666664</v>
      </c>
      <c r="H112" s="14">
        <f>G112*G35/10^6</f>
        <v>2.1002189866666663E-2</v>
      </c>
      <c r="L112" s="304"/>
      <c r="M112" s="304"/>
      <c r="N112" s="304"/>
      <c r="O112" s="398"/>
      <c r="P112" s="397"/>
      <c r="Q112" s="397"/>
      <c r="R112" s="397"/>
      <c r="S112" s="397"/>
      <c r="T112" s="397"/>
      <c r="U112" s="397"/>
      <c r="V112" s="397"/>
      <c r="W112" s="397"/>
      <c r="X112" s="397"/>
      <c r="Y112" s="397"/>
      <c r="Z112" s="397"/>
      <c r="AA112" s="397"/>
    </row>
    <row r="113" spans="3:27">
      <c r="C113" s="3" t="s">
        <v>560</v>
      </c>
      <c r="E113" s="19" t="s">
        <v>562</v>
      </c>
      <c r="F113" s="69">
        <f>IF(ProjectData!B$26="y",Calculations!K22,Calculations!L22)</f>
        <v>7.1186945514116112E-2</v>
      </c>
      <c r="G113" s="82">
        <f>G$112*F113</f>
        <v>1276.4293910317779</v>
      </c>
      <c r="H113" s="71">
        <v>0</v>
      </c>
      <c r="O113" t="s">
        <v>563</v>
      </c>
      <c r="P113" s="1">
        <f>D35</f>
        <v>2010</v>
      </c>
      <c r="Q113" s="1" t="s">
        <v>539</v>
      </c>
      <c r="T113" s="1">
        <f>P113</f>
        <v>2010</v>
      </c>
      <c r="U113" s="1" t="s">
        <v>539</v>
      </c>
      <c r="X113" s="1">
        <f>T113</f>
        <v>2010</v>
      </c>
      <c r="Y113" s="1" t="s">
        <v>539</v>
      </c>
    </row>
    <row r="114" spans="3:27">
      <c r="C114" s="358" t="s">
        <v>147</v>
      </c>
      <c r="D114" s="18">
        <f>IF(ProjectData!B26="y",Calculations!H29,I29)</f>
        <v>0.29594071717289261</v>
      </c>
      <c r="E114" s="204" t="s">
        <v>564</v>
      </c>
      <c r="F114" s="69">
        <f>IF(ProjectData!B$26="y",Calculations!K23,Calculations!L23)</f>
        <v>0.38451305448588391</v>
      </c>
      <c r="G114" s="82">
        <f>G$112*F114</f>
        <v>6894.5754089682214</v>
      </c>
      <c r="H114" s="71">
        <f>IF(ProjectData!B12="MyCounty",0,IF(ProjectData!B12="MyRegion",0,1))</f>
        <v>1</v>
      </c>
      <c r="J114" s="26" t="s">
        <v>557</v>
      </c>
      <c r="L114" s="10">
        <f>L110</f>
        <v>3.047510386075351E-2</v>
      </c>
      <c r="M114" s="10">
        <f>M110</f>
        <v>4.6705838217368532E-2</v>
      </c>
      <c r="N114" s="10">
        <f>N110</f>
        <v>5.9881129850415868E-2</v>
      </c>
      <c r="O114" s="10">
        <f>O110</f>
        <v>0.13706207192853792</v>
      </c>
      <c r="P114" s="14">
        <f>P110*$G64</f>
        <v>2.3072057312259076E-3</v>
      </c>
      <c r="Q114" s="14">
        <f>Q110*$G64</f>
        <v>2.3630456441009647E-3</v>
      </c>
      <c r="R114" s="14">
        <f>R110*$G64</f>
        <v>2.5732770018366932E-3</v>
      </c>
      <c r="S114" s="397">
        <f>+R114+Q114+P114</f>
        <v>7.2435283771635651E-3</v>
      </c>
      <c r="T114" s="14">
        <f>T110*$G64</f>
        <v>8.5929449952547761E-3</v>
      </c>
      <c r="U114" s="14">
        <f>U110*$G64</f>
        <v>7.840069512837335E-3</v>
      </c>
      <c r="V114" s="14">
        <f>V110*$G64</f>
        <v>9.2266915484956174E-3</v>
      </c>
      <c r="W114" s="397">
        <f>+V114+U114+T114</f>
        <v>2.5659706056587728E-2</v>
      </c>
      <c r="X114" s="14">
        <f>X110*$G64</f>
        <v>5.0882436353801531E-3</v>
      </c>
      <c r="Y114" s="14">
        <f>Y110*$G64</f>
        <v>4.4460438054198023E-3</v>
      </c>
      <c r="Z114" s="14">
        <f>Z110*$G64</f>
        <v>5.2034585864316448E-3</v>
      </c>
      <c r="AA114" s="397">
        <f>+Z114+Y114+X114</f>
        <v>1.4737746027231602E-2</v>
      </c>
    </row>
    <row r="115" spans="3:27">
      <c r="C115" s="358"/>
      <c r="D115" s="27"/>
      <c r="E115" s="207" t="s">
        <v>565</v>
      </c>
      <c r="G115" s="246">
        <f>G112-G113-G114</f>
        <v>9759.6618666666636</v>
      </c>
      <c r="J115" s="26" t="s">
        <v>566</v>
      </c>
      <c r="L115" s="10">
        <f>L114+L143</f>
        <v>0.32641582103364614</v>
      </c>
      <c r="M115" s="10">
        <f>M114+M143</f>
        <v>0.10523812901072216</v>
      </c>
      <c r="N115" s="10">
        <f>N114+N143</f>
        <v>0.13060843730404842</v>
      </c>
      <c r="O115" s="10">
        <f>O114+O143</f>
        <v>0.26632167017552411</v>
      </c>
      <c r="P115" s="14">
        <f>(P110+P143)*$G64</f>
        <v>1.8962374644893989E-2</v>
      </c>
      <c r="Q115" s="14">
        <f>(Q110+Q143)*$G64</f>
        <v>5.2020369008208486E-3</v>
      </c>
      <c r="R115" s="14">
        <f>(R110+R143)*$G64</f>
        <v>5.6127327813347743E-3</v>
      </c>
      <c r="S115" s="397">
        <f>+R115+Q115+P115</f>
        <v>2.9777144327049612E-2</v>
      </c>
      <c r="T115" s="14">
        <f>(T110+T143)*$G64</f>
        <v>2.524811390892286E-2</v>
      </c>
      <c r="U115" s="14">
        <f>(U110+U143)*$G64</f>
        <v>1.8720039463510446E-2</v>
      </c>
      <c r="V115" s="14">
        <f>(V110+V143)*$G64</f>
        <v>2.0123828378160003E-2</v>
      </c>
      <c r="W115" s="397">
        <f>+V115+U115+T115</f>
        <v>6.4091981750593302E-2</v>
      </c>
      <c r="X115" s="14">
        <f>(X110+X143)*$G64</f>
        <v>2.1743412549048234E-2</v>
      </c>
      <c r="Y115" s="14">
        <f>(Y110+Y143)*$G64</f>
        <v>1.053047897008769E-2</v>
      </c>
      <c r="Z115" s="14">
        <f>(Z110+Z143)*$G64</f>
        <v>1.1349188172558013E-2</v>
      </c>
      <c r="AA115" s="397">
        <f>+Z115+Y115+X115</f>
        <v>4.3623079691693933E-2</v>
      </c>
    </row>
    <row r="116" spans="3:27">
      <c r="C116" s="358"/>
      <c r="D116" s="27"/>
    </row>
    <row r="117" spans="3:27">
      <c r="C117" s="360" t="s">
        <v>476</v>
      </c>
      <c r="D117" s="18">
        <f>SUM(D114:D116)</f>
        <v>0.29594071717289261</v>
      </c>
    </row>
    <row r="118" spans="3:27">
      <c r="C118" s="360"/>
      <c r="D118" s="18"/>
      <c r="L118" s="1" t="s">
        <v>567</v>
      </c>
    </row>
    <row r="119" spans="3:27">
      <c r="C119" s="19" t="s">
        <v>568</v>
      </c>
      <c r="F119" s="7" t="s">
        <v>569</v>
      </c>
      <c r="H119" s="26" t="s">
        <v>559</v>
      </c>
      <c r="I119" s="15"/>
      <c r="L119" s="8" t="s">
        <v>302</v>
      </c>
      <c r="M119" s="8"/>
      <c r="N119" s="8"/>
      <c r="O119" s="8"/>
      <c r="P119" s="8" t="s">
        <v>303</v>
      </c>
      <c r="Q119" s="8"/>
      <c r="R119" s="8"/>
      <c r="S119" s="8"/>
      <c r="T119" s="8" t="s">
        <v>304</v>
      </c>
      <c r="X119" s="8" t="s">
        <v>305</v>
      </c>
    </row>
    <row r="120" spans="3:27">
      <c r="F120" s="7" t="s">
        <v>570</v>
      </c>
      <c r="H120" s="15">
        <f>H87</f>
        <v>2019</v>
      </c>
      <c r="I120" s="26" t="s">
        <v>539</v>
      </c>
      <c r="L120" s="8" t="s">
        <v>543</v>
      </c>
      <c r="M120" s="8" t="s">
        <v>544</v>
      </c>
      <c r="N120" s="8" t="s">
        <v>545</v>
      </c>
      <c r="O120" s="8" t="s">
        <v>133</v>
      </c>
      <c r="P120" s="8" t="s">
        <v>543</v>
      </c>
      <c r="Q120" s="8" t="s">
        <v>544</v>
      </c>
      <c r="R120" s="8" t="s">
        <v>545</v>
      </c>
      <c r="S120" s="8" t="s">
        <v>133</v>
      </c>
      <c r="T120" s="8" t="s">
        <v>543</v>
      </c>
      <c r="U120" s="8" t="s">
        <v>544</v>
      </c>
      <c r="V120" s="8" t="s">
        <v>545</v>
      </c>
      <c r="W120" s="8" t="s">
        <v>133</v>
      </c>
      <c r="X120" s="8" t="s">
        <v>543</v>
      </c>
      <c r="Y120" s="8" t="s">
        <v>544</v>
      </c>
      <c r="Z120" s="8" t="s">
        <v>545</v>
      </c>
      <c r="AA120" s="8" t="s">
        <v>133</v>
      </c>
    </row>
    <row r="121" spans="3:27">
      <c r="C121" s="393" t="s">
        <v>383</v>
      </c>
      <c r="F121" s="5">
        <f>G$115*Multipliers!U308</f>
        <v>44.739258515427728</v>
      </c>
      <c r="H121" s="14">
        <f t="shared" ref="H121:H134" si="30">F121*G$35/10^6</f>
        <v>5.2403093499120501E-5</v>
      </c>
      <c r="L121" s="8"/>
      <c r="M121" s="396">
        <f>$H121*Multipliers!E308</f>
        <v>2.0791257485265103E-4</v>
      </c>
      <c r="N121" s="396">
        <f>$H121*Multipliers!F308</f>
        <v>2.1820737218292727E-4</v>
      </c>
      <c r="O121" s="396">
        <f>N121+M121</f>
        <v>4.261199470355783E-4</v>
      </c>
      <c r="P121" s="8"/>
      <c r="Q121" s="397">
        <f>$H121*Multipliers!I308</f>
        <v>9.9784398548220294E-6</v>
      </c>
      <c r="R121" s="397">
        <f>$H121*Multipliers!J308</f>
        <v>1.0985050877846634E-5</v>
      </c>
      <c r="S121" s="397">
        <f>R121+Q121</f>
        <v>2.0963490732668662E-5</v>
      </c>
      <c r="T121" s="397">
        <f>$H121*Multipliers!L308</f>
        <v>5.2403093499120501E-5</v>
      </c>
      <c r="U121" s="397">
        <f>$H121*Multipliers!M308</f>
        <v>4.8062335652214358E-5</v>
      </c>
      <c r="V121" s="397">
        <f>$H121*Multipliers!N308</f>
        <v>3.9358181822010435E-5</v>
      </c>
      <c r="W121" s="397">
        <f>V121+U121</f>
        <v>8.7420517474224793E-5</v>
      </c>
      <c r="X121" s="397"/>
      <c r="Y121" s="397">
        <f>$H121*Multipliers!Q308</f>
        <v>2.3111755550665106E-5</v>
      </c>
      <c r="Z121" s="397">
        <f>$H121*Multipliers!R308</f>
        <v>2.2202247459894371E-5</v>
      </c>
      <c r="AA121" s="397">
        <f>Z121+Y121</f>
        <v>4.5314003010559474E-5</v>
      </c>
    </row>
    <row r="122" spans="3:27">
      <c r="C122" s="393" t="s">
        <v>384</v>
      </c>
      <c r="D122" s="5"/>
      <c r="F122" s="5">
        <f>G$115*Multipliers!U309</f>
        <v>5.422592907362028</v>
      </c>
      <c r="H122" s="14">
        <f t="shared" si="30"/>
        <v>6.3514830723931441E-6</v>
      </c>
      <c r="J122" s="399"/>
      <c r="K122" s="399"/>
      <c r="L122" s="399"/>
      <c r="M122" s="396">
        <f>$H122*Multipliers!E309</f>
        <v>2.254329981439577E-5</v>
      </c>
      <c r="N122" s="396">
        <f>$H122*Multipliers!F309</f>
        <v>2.7864654901726686E-5</v>
      </c>
      <c r="O122" s="396">
        <f t="shared" ref="O122:O134" si="31">N122+M122</f>
        <v>5.0407954716122457E-5</v>
      </c>
      <c r="P122" s="397"/>
      <c r="Q122" s="397">
        <f>$H122*Multipliers!I309</f>
        <v>1.3930898367172055E-6</v>
      </c>
      <c r="R122" s="397">
        <f>$H122*Multipliers!J309</f>
        <v>1.4027504424703154E-6</v>
      </c>
      <c r="S122" s="397">
        <f t="shared" ref="S122:S134" si="32">R122+Q122</f>
        <v>2.7958402791875209E-6</v>
      </c>
      <c r="T122" s="397">
        <f>$H122*Multipliers!L309</f>
        <v>6.3514830723931441E-6</v>
      </c>
      <c r="U122" s="397">
        <f>$H122*Multipliers!M309</f>
        <v>4.9131452702682101E-6</v>
      </c>
      <c r="V122" s="397">
        <f>$H122*Multipliers!N309</f>
        <v>5.0261889659906626E-6</v>
      </c>
      <c r="W122" s="397">
        <f t="shared" ref="W122:W134" si="33">V122+U122</f>
        <v>9.9393342362588727E-6</v>
      </c>
      <c r="X122" s="397"/>
      <c r="Y122" s="397">
        <f>$H122*Multipliers!Q309</f>
        <v>2.6133558190345934E-6</v>
      </c>
      <c r="Z122" s="397">
        <f>$H122*Multipliers!R309</f>
        <v>2.8352512316517203E-6</v>
      </c>
      <c r="AA122" s="397">
        <f t="shared" ref="AA122:AA142" si="34">Z122+Y122</f>
        <v>5.4486070506863141E-6</v>
      </c>
    </row>
    <row r="123" spans="3:27">
      <c r="C123" s="393" t="s">
        <v>385</v>
      </c>
      <c r="D123" s="5"/>
      <c r="F123" s="5">
        <f>G$115*Multipliers!U310</f>
        <v>0</v>
      </c>
      <c r="H123" s="14">
        <f t="shared" si="30"/>
        <v>0</v>
      </c>
      <c r="J123" s="399"/>
      <c r="K123" s="399"/>
      <c r="L123" s="399"/>
      <c r="M123" s="396">
        <f>$H123*Multipliers!E310</f>
        <v>0</v>
      </c>
      <c r="N123" s="396">
        <f>$H123*Multipliers!F310</f>
        <v>0</v>
      </c>
      <c r="O123" s="396">
        <f t="shared" si="31"/>
        <v>0</v>
      </c>
      <c r="P123" s="397"/>
      <c r="Q123" s="397">
        <f>$H123*Multipliers!I310</f>
        <v>0</v>
      </c>
      <c r="R123" s="397">
        <f>$H123*Multipliers!J310</f>
        <v>0</v>
      </c>
      <c r="S123" s="397">
        <f t="shared" si="32"/>
        <v>0</v>
      </c>
      <c r="T123" s="397">
        <f>$H123*Multipliers!L310</f>
        <v>0</v>
      </c>
      <c r="U123" s="397">
        <f>$H123*Multipliers!M310</f>
        <v>0</v>
      </c>
      <c r="V123" s="397">
        <f>$H123*Multipliers!N310</f>
        <v>0</v>
      </c>
      <c r="W123" s="397">
        <f t="shared" si="33"/>
        <v>0</v>
      </c>
      <c r="X123" s="397"/>
      <c r="Y123" s="397">
        <f>$H123*Multipliers!Q310</f>
        <v>0</v>
      </c>
      <c r="Z123" s="397">
        <f>$H123*Multipliers!R310</f>
        <v>0</v>
      </c>
      <c r="AA123" s="397">
        <f t="shared" si="34"/>
        <v>0</v>
      </c>
    </row>
    <row r="124" spans="3:27">
      <c r="C124" s="393" t="s">
        <v>386</v>
      </c>
      <c r="D124" s="5"/>
      <c r="F124" s="5">
        <f>G$115*Multipliers!U311</f>
        <v>0</v>
      </c>
      <c r="H124" s="14">
        <f t="shared" si="30"/>
        <v>0</v>
      </c>
      <c r="J124" s="399"/>
      <c r="K124" s="399"/>
      <c r="L124" s="399"/>
      <c r="M124" s="396">
        <f>$H124*Multipliers!E311</f>
        <v>0</v>
      </c>
      <c r="N124" s="396">
        <f>$H124*Multipliers!F311</f>
        <v>0</v>
      </c>
      <c r="O124" s="396">
        <f t="shared" si="31"/>
        <v>0</v>
      </c>
      <c r="P124" s="397"/>
      <c r="Q124" s="397">
        <f>$H124*Multipliers!I311</f>
        <v>0</v>
      </c>
      <c r="R124" s="397">
        <f>$H124*Multipliers!J311</f>
        <v>0</v>
      </c>
      <c r="S124" s="397">
        <f t="shared" si="32"/>
        <v>0</v>
      </c>
      <c r="T124" s="397">
        <f>$H124*Multipliers!L311</f>
        <v>0</v>
      </c>
      <c r="U124" s="397">
        <f>$H124*Multipliers!M311</f>
        <v>0</v>
      </c>
      <c r="V124" s="397">
        <f>$H124*Multipliers!N311</f>
        <v>0</v>
      </c>
      <c r="W124" s="397">
        <f t="shared" si="33"/>
        <v>0</v>
      </c>
      <c r="X124" s="397"/>
      <c r="Y124" s="397">
        <f>$H124*Multipliers!Q311</f>
        <v>0</v>
      </c>
      <c r="Z124" s="397">
        <f>$H124*Multipliers!R311</f>
        <v>0</v>
      </c>
      <c r="AA124" s="397">
        <f t="shared" si="34"/>
        <v>0</v>
      </c>
    </row>
    <row r="125" spans="3:27">
      <c r="C125" s="393" t="s">
        <v>387</v>
      </c>
      <c r="D125" s="5"/>
      <c r="F125" s="5">
        <f>G$115*Multipliers!U312</f>
        <v>0</v>
      </c>
      <c r="H125" s="14">
        <f t="shared" si="30"/>
        <v>0</v>
      </c>
      <c r="J125" s="399"/>
      <c r="K125" s="399"/>
      <c r="L125" s="399"/>
      <c r="M125" s="396">
        <f>$H125*Multipliers!E312</f>
        <v>0</v>
      </c>
      <c r="N125" s="396">
        <f>$H125*Multipliers!F312</f>
        <v>0</v>
      </c>
      <c r="O125" s="396">
        <f t="shared" si="31"/>
        <v>0</v>
      </c>
      <c r="P125" s="397"/>
      <c r="Q125" s="397">
        <f>$H125*Multipliers!I312</f>
        <v>0</v>
      </c>
      <c r="R125" s="397">
        <f>$H125*Multipliers!J312</f>
        <v>0</v>
      </c>
      <c r="S125" s="397">
        <f t="shared" si="32"/>
        <v>0</v>
      </c>
      <c r="T125" s="397">
        <f>$H125*Multipliers!L312</f>
        <v>0</v>
      </c>
      <c r="U125" s="397">
        <f>$H125*Multipliers!M312</f>
        <v>0</v>
      </c>
      <c r="V125" s="397">
        <f>$H125*Multipliers!N312</f>
        <v>0</v>
      </c>
      <c r="W125" s="397">
        <f t="shared" si="33"/>
        <v>0</v>
      </c>
      <c r="X125" s="397"/>
      <c r="Y125" s="397">
        <f>$H125*Multipliers!Q312</f>
        <v>0</v>
      </c>
      <c r="Z125" s="397">
        <f>$H125*Multipliers!R312</f>
        <v>0</v>
      </c>
      <c r="AA125" s="397">
        <f t="shared" si="34"/>
        <v>0</v>
      </c>
    </row>
    <row r="126" spans="3:27">
      <c r="C126" s="393" t="s">
        <v>388</v>
      </c>
      <c r="D126" s="5"/>
      <c r="F126" s="5">
        <f>G$115*Multipliers!U313</f>
        <v>994.91585125770428</v>
      </c>
      <c r="G126" s="14"/>
      <c r="H126" s="14">
        <f t="shared" si="30"/>
        <v>1.1653449365781488E-3</v>
      </c>
      <c r="I126" s="399"/>
      <c r="J126" s="399"/>
      <c r="K126" s="399"/>
      <c r="L126" s="399"/>
      <c r="M126" s="396">
        <f>$H126*Multipliers!E313</f>
        <v>4.6539331921678605E-3</v>
      </c>
      <c r="N126" s="396">
        <f>$H126*Multipliers!F313</f>
        <v>4.3868652663275635E-3</v>
      </c>
      <c r="O126" s="396">
        <f t="shared" si="31"/>
        <v>9.0407984584954248E-3</v>
      </c>
      <c r="P126" s="397"/>
      <c r="Q126" s="397">
        <f>$H126*Multipliers!I313</f>
        <v>2.9017671593264195E-4</v>
      </c>
      <c r="R126" s="397">
        <f>$H126*Multipliers!J313</f>
        <v>2.2079324375371553E-4</v>
      </c>
      <c r="S126" s="397">
        <f t="shared" si="32"/>
        <v>5.1096995968635752E-4</v>
      </c>
      <c r="T126" s="397">
        <f>$H126*Multipliers!L313</f>
        <v>1.1653449365781488E-3</v>
      </c>
      <c r="U126" s="397">
        <f>$H126*Multipliers!M313</f>
        <v>1.2488349092143539E-3</v>
      </c>
      <c r="V126" s="397">
        <f>$H126*Multipliers!N313</f>
        <v>7.9172486180676511E-4</v>
      </c>
      <c r="W126" s="397">
        <f t="shared" si="33"/>
        <v>2.0405597710211189E-3</v>
      </c>
      <c r="X126" s="397"/>
      <c r="Y126" s="397">
        <f>$H126*Multipliers!Q313</f>
        <v>5.8185090010878684E-4</v>
      </c>
      <c r="Z126" s="397">
        <f>$H126*Multipliers!R313</f>
        <v>4.4648792831067873E-4</v>
      </c>
      <c r="AA126" s="397">
        <f t="shared" si="34"/>
        <v>1.0283388284194656E-3</v>
      </c>
    </row>
    <row r="127" spans="3:27">
      <c r="C127" s="393" t="s">
        <v>389</v>
      </c>
      <c r="D127" s="5"/>
      <c r="F127" s="5">
        <f>G$115*Multipliers!U314</f>
        <v>0.45417259552599687</v>
      </c>
      <c r="G127" s="14"/>
      <c r="H127" s="14">
        <f t="shared" si="30"/>
        <v>5.3197236113960009E-7</v>
      </c>
      <c r="I127" s="399"/>
      <c r="J127" s="399"/>
      <c r="K127" s="399"/>
      <c r="L127" s="399"/>
      <c r="M127" s="396">
        <f>$H127*Multipliers!E314</f>
        <v>2.127960196882432E-6</v>
      </c>
      <c r="N127" s="396">
        <f>$H127*Multipliers!F314</f>
        <v>2.3576669263672337E-6</v>
      </c>
      <c r="O127" s="396">
        <f t="shared" si="31"/>
        <v>4.4856271232496656E-6</v>
      </c>
      <c r="P127" s="397"/>
      <c r="Q127" s="397">
        <f>$H127*Multipliers!I314</f>
        <v>1.3596681578367039E-7</v>
      </c>
      <c r="R127" s="397">
        <f>$H127*Multipliers!J314</f>
        <v>1.1865856304163236E-7</v>
      </c>
      <c r="S127" s="397">
        <f t="shared" si="32"/>
        <v>2.5462537882530275E-7</v>
      </c>
      <c r="T127" s="397">
        <f>$H127*Multipliers!L314</f>
        <v>5.3197236113960009E-7</v>
      </c>
      <c r="U127" s="397">
        <f>$H127*Multipliers!M314</f>
        <v>5.6429766166424782E-7</v>
      </c>
      <c r="V127" s="397">
        <f>$H127*Multipliers!N314</f>
        <v>4.2554011887403915E-7</v>
      </c>
      <c r="W127" s="397">
        <f t="shared" si="33"/>
        <v>9.8983778053828697E-7</v>
      </c>
      <c r="X127" s="397"/>
      <c r="Y127" s="397">
        <f>$H127*Multipliers!Q314</f>
        <v>2.5942376952278195E-7</v>
      </c>
      <c r="Z127" s="397">
        <f>$H127*Multipliers!R314</f>
        <v>2.3997007224826789E-7</v>
      </c>
      <c r="AA127" s="397">
        <f t="shared" si="34"/>
        <v>4.9939384177104989E-7</v>
      </c>
    </row>
    <row r="128" spans="3:27">
      <c r="C128" s="393" t="s">
        <v>390</v>
      </c>
      <c r="D128" s="5"/>
      <c r="F128" s="5">
        <f>G$115*Multipliers!U315</f>
        <v>0.23352162598368253</v>
      </c>
      <c r="G128" s="14"/>
      <c r="H128" s="14">
        <f t="shared" si="30"/>
        <v>2.7352388051468736E-7</v>
      </c>
      <c r="I128" s="399"/>
      <c r="J128" s="399"/>
      <c r="K128" s="399"/>
      <c r="L128" s="399"/>
      <c r="M128" s="396">
        <f>$H128*Multipliers!E315</f>
        <v>1.0254218813779269E-6</v>
      </c>
      <c r="N128" s="396">
        <f>$H128*Multipliers!F315</f>
        <v>1.2619032433261517E-6</v>
      </c>
      <c r="O128" s="396">
        <f t="shared" si="31"/>
        <v>2.2873251247040785E-6</v>
      </c>
      <c r="P128" s="397"/>
      <c r="Q128" s="397">
        <f>$H128*Multipliers!I315</f>
        <v>6.7734633199015628E-8</v>
      </c>
      <c r="R128" s="397">
        <f>$H128*Multipliers!J315</f>
        <v>6.3509236292824742E-8</v>
      </c>
      <c r="S128" s="397">
        <f t="shared" si="32"/>
        <v>1.3124386949184038E-7</v>
      </c>
      <c r="T128" s="397">
        <f>$H128*Multipliers!L315</f>
        <v>2.7352388051468736E-7</v>
      </c>
      <c r="U128" s="397">
        <f>$H128*Multipliers!M315</f>
        <v>2.6477904853075228E-7</v>
      </c>
      <c r="V128" s="397">
        <f>$H128*Multipliers!N315</f>
        <v>2.2777181454487612E-7</v>
      </c>
      <c r="W128" s="397">
        <f t="shared" si="33"/>
        <v>4.925508630756284E-7</v>
      </c>
      <c r="X128" s="397"/>
      <c r="Y128" s="397">
        <f>$H128*Multipliers!Q315</f>
        <v>1.2789511662269907E-7</v>
      </c>
      <c r="Z128" s="397">
        <f>$H128*Multipliers!R315</f>
        <v>1.2844243790760896E-7</v>
      </c>
      <c r="AA128" s="397">
        <f t="shared" si="34"/>
        <v>2.56337554530308E-7</v>
      </c>
    </row>
    <row r="129" spans="3:27">
      <c r="C129" s="393" t="s">
        <v>391</v>
      </c>
      <c r="D129" s="5"/>
      <c r="F129" s="5">
        <f>G$115*Multipliers!U316</f>
        <v>0.58050073231128152</v>
      </c>
      <c r="G129" s="14"/>
      <c r="H129" s="14">
        <f t="shared" si="30"/>
        <v>6.7994050775620404E-7</v>
      </c>
      <c r="I129" s="399"/>
      <c r="J129" s="399"/>
      <c r="K129" s="399"/>
      <c r="L129" s="399"/>
      <c r="M129" s="396">
        <f>$H129*Multipliers!E316</f>
        <v>2.2069196228117301E-6</v>
      </c>
      <c r="N129" s="396">
        <f>$H129*Multipliers!F316</f>
        <v>2.8808392573717535E-6</v>
      </c>
      <c r="O129" s="396">
        <f t="shared" si="31"/>
        <v>5.0877588801834832E-6</v>
      </c>
      <c r="P129" s="397"/>
      <c r="Q129" s="397">
        <f>$H129*Multipliers!I316</f>
        <v>1.5263100535958942E-7</v>
      </c>
      <c r="R129" s="397">
        <f>$H129*Multipliers!J316</f>
        <v>1.4498643423088642E-7</v>
      </c>
      <c r="S129" s="397">
        <f t="shared" si="32"/>
        <v>2.9761743959047584E-7</v>
      </c>
      <c r="T129" s="397">
        <f>$H129*Multipliers!L316</f>
        <v>6.7994050775620404E-7</v>
      </c>
      <c r="U129" s="397">
        <f>$H129*Multipliers!M316</f>
        <v>6.3516370555842704E-7</v>
      </c>
      <c r="V129" s="397">
        <f>$H129*Multipliers!N316</f>
        <v>5.1998858294960353E-7</v>
      </c>
      <c r="W129" s="397">
        <f t="shared" si="33"/>
        <v>1.1551522885080306E-6</v>
      </c>
      <c r="X129" s="397"/>
      <c r="Y129" s="397">
        <f>$H129*Multipliers!Q316</f>
        <v>2.9738150023428441E-7</v>
      </c>
      <c r="Z129" s="397">
        <f>$H129*Multipliers!R316</f>
        <v>2.9322570385087855E-7</v>
      </c>
      <c r="AA129" s="397">
        <f t="shared" si="34"/>
        <v>5.9060720408516301E-7</v>
      </c>
    </row>
    <row r="130" spans="3:27">
      <c r="C130" s="393" t="s">
        <v>392</v>
      </c>
      <c r="D130" s="5"/>
      <c r="F130" s="5">
        <f>G$115*Multipliers!U317</f>
        <v>1.3766073266497012</v>
      </c>
      <c r="G130" s="14"/>
      <c r="H130" s="14">
        <f t="shared" si="30"/>
        <v>1.6124201617047951E-6</v>
      </c>
      <c r="I130" s="399"/>
      <c r="J130" s="399"/>
      <c r="K130" s="399"/>
      <c r="L130" s="399"/>
      <c r="M130" s="396">
        <f>$H130*Multipliers!E317</f>
        <v>5.5019726346763783E-6</v>
      </c>
      <c r="N130" s="396">
        <f>$H130*Multipliers!F317</f>
        <v>6.9335937360693772E-6</v>
      </c>
      <c r="O130" s="396">
        <f t="shared" si="31"/>
        <v>1.2435566370745756E-5</v>
      </c>
      <c r="P130" s="397"/>
      <c r="Q130" s="397">
        <f>$H130*Multipliers!I317</f>
        <v>3.6198993872288821E-7</v>
      </c>
      <c r="R130" s="397">
        <f>$H130*Multipliers!J317</f>
        <v>3.4895513413566662E-7</v>
      </c>
      <c r="S130" s="397">
        <f t="shared" si="32"/>
        <v>7.1094507285855478E-7</v>
      </c>
      <c r="T130" s="397">
        <f>$H130*Multipliers!L317</f>
        <v>1.6124201617047951E-6</v>
      </c>
      <c r="U130" s="397">
        <f>$H130*Multipliers!M317</f>
        <v>1.5976326564018003E-6</v>
      </c>
      <c r="V130" s="397">
        <f>$H130*Multipliers!N317</f>
        <v>1.2514863581878235E-6</v>
      </c>
      <c r="W130" s="397">
        <f t="shared" si="33"/>
        <v>2.849119014589624E-6</v>
      </c>
      <c r="X130" s="397"/>
      <c r="Y130" s="397">
        <f>$H130*Multipliers!Q317</f>
        <v>7.1888624215495099E-7</v>
      </c>
      <c r="Z130" s="397">
        <f>$H130*Multipliers!R317</f>
        <v>7.0572889363543984E-7</v>
      </c>
      <c r="AA130" s="397">
        <f t="shared" si="34"/>
        <v>1.4246151357903908E-6</v>
      </c>
    </row>
    <row r="131" spans="3:27">
      <c r="C131" s="393" t="s">
        <v>393</v>
      </c>
      <c r="D131" s="5"/>
      <c r="F131" s="5">
        <f>(G$115*Multipliers!U318)</f>
        <v>0.10632265706062581</v>
      </c>
      <c r="G131" s="14"/>
      <c r="H131" s="14">
        <f t="shared" si="30"/>
        <v>1.2453572821511102E-7</v>
      </c>
      <c r="I131" s="399"/>
      <c r="J131" s="399"/>
      <c r="K131" s="399"/>
      <c r="L131" s="399"/>
      <c r="M131" s="396">
        <f>$H131*Multipliers!E318</f>
        <v>4.2636238715317732E-7</v>
      </c>
      <c r="N131" s="396">
        <f>$H131*Multipliers!F318</f>
        <v>4.5937008377367968E-7</v>
      </c>
      <c r="O131" s="396">
        <f t="shared" si="31"/>
        <v>8.8573247092685701E-7</v>
      </c>
      <c r="P131" s="397"/>
      <c r="Q131" s="397">
        <f>$H131*Multipliers!I318</f>
        <v>2.9170999905651174E-8</v>
      </c>
      <c r="R131" s="397">
        <f>$H131*Multipliers!J318</f>
        <v>2.3119435264494286E-8</v>
      </c>
      <c r="S131" s="397">
        <f t="shared" si="32"/>
        <v>5.2290435170145457E-8</v>
      </c>
      <c r="T131" s="397">
        <f>$H131*Multipliers!L318</f>
        <v>1.2453572821511102E-7</v>
      </c>
      <c r="U131" s="397">
        <f>$H131*Multipliers!M318</f>
        <v>1.343674503505094E-7</v>
      </c>
      <c r="V131" s="397">
        <f>$H131*Multipliers!N318</f>
        <v>8.2913023523871971E-8</v>
      </c>
      <c r="W131" s="397">
        <f t="shared" si="33"/>
        <v>2.1728047387438138E-7</v>
      </c>
      <c r="X131" s="397"/>
      <c r="Y131" s="397">
        <f>$H131*Multipliers!Q318</f>
        <v>5.8295049841765255E-8</v>
      </c>
      <c r="Z131" s="397">
        <f>$H131*Multipliers!R318</f>
        <v>4.6756067408265933E-8</v>
      </c>
      <c r="AA131" s="397">
        <f t="shared" si="34"/>
        <v>1.0505111725003119E-7</v>
      </c>
    </row>
    <row r="132" spans="3:27">
      <c r="C132" s="393" t="s">
        <v>394</v>
      </c>
      <c r="D132" s="5"/>
      <c r="F132" s="5">
        <f>G$115*Multipliers!U319</f>
        <v>426.39829351910259</v>
      </c>
      <c r="G132" s="14"/>
      <c r="H132" s="14">
        <f t="shared" si="30"/>
        <v>4.9944032119892485E-4</v>
      </c>
      <c r="I132" s="399"/>
      <c r="J132" s="399"/>
      <c r="K132" s="399"/>
      <c r="L132" s="399"/>
      <c r="M132" s="396">
        <f>$H132*Multipliers!E319</f>
        <v>1.6547067158512244E-3</v>
      </c>
      <c r="N132" s="396">
        <f>$H132*Multipliers!F319</f>
        <v>2.1399629319280998E-3</v>
      </c>
      <c r="O132" s="396">
        <f t="shared" si="31"/>
        <v>3.7946696477793242E-3</v>
      </c>
      <c r="P132" s="397"/>
      <c r="Q132" s="397">
        <f>$H132*Multipliers!I319</f>
        <v>9.707821299271981E-5</v>
      </c>
      <c r="R132" s="397">
        <f>$H132*Multipliers!J319</f>
        <v>1.0770380582622695E-4</v>
      </c>
      <c r="S132" s="397">
        <f t="shared" si="32"/>
        <v>2.0478201881894676E-4</v>
      </c>
      <c r="T132" s="397">
        <f>$H132*Multipliers!L319</f>
        <v>4.9944032119892485E-4</v>
      </c>
      <c r="U132" s="397">
        <f>$H132*Multipliers!M319</f>
        <v>3.0673476934656808E-4</v>
      </c>
      <c r="V132" s="397">
        <f>$H132*Multipliers!N319</f>
        <v>3.8622868751051614E-4</v>
      </c>
      <c r="W132" s="397">
        <f t="shared" si="33"/>
        <v>6.9296345685708428E-4</v>
      </c>
      <c r="X132" s="397"/>
      <c r="Y132" s="397">
        <f>$H132*Multipliers!Q319</f>
        <v>1.7864780513157064E-4</v>
      </c>
      <c r="Z132" s="397">
        <f>$H132*Multipliers!R319</f>
        <v>2.1780692295549352E-4</v>
      </c>
      <c r="AA132" s="397">
        <f t="shared" si="34"/>
        <v>3.9645472808706413E-4</v>
      </c>
    </row>
    <row r="133" spans="3:27">
      <c r="C133" s="393" t="s">
        <v>395</v>
      </c>
      <c r="D133" s="5"/>
      <c r="F133" s="5">
        <f>G$115*Multipliers!U320</f>
        <v>1057.6845066881806</v>
      </c>
      <c r="G133" s="14"/>
      <c r="H133" s="14">
        <f t="shared" si="30"/>
        <v>1.238865862683866E-3</v>
      </c>
      <c r="I133" s="399"/>
      <c r="J133" s="399"/>
      <c r="K133" s="399"/>
      <c r="L133" s="399"/>
      <c r="M133" s="396">
        <f>$H133*Multipliers!E320</f>
        <v>3.9156312998186631E-3</v>
      </c>
      <c r="N133" s="396">
        <f>$H133*Multipliers!F320</f>
        <v>6.0346444591828302E-3</v>
      </c>
      <c r="O133" s="396">
        <f t="shared" si="31"/>
        <v>9.9502757590014933E-3</v>
      </c>
      <c r="P133" s="397"/>
      <c r="Q133" s="397">
        <f>$H133*Multipliers!I320</f>
        <v>2.1624031973388076E-4</v>
      </c>
      <c r="R133" s="397">
        <f>$H133*Multipliers!J320</f>
        <v>3.0373274355420342E-4</v>
      </c>
      <c r="S133" s="397">
        <f t="shared" si="32"/>
        <v>5.1997306328808415E-4</v>
      </c>
      <c r="T133" s="397">
        <f>$H133*Multipliers!L320</f>
        <v>1.238865862683866E-3</v>
      </c>
      <c r="U133" s="397">
        <f>$H133*Multipliers!M320</f>
        <v>7.4029544603950825E-4</v>
      </c>
      <c r="V133" s="397">
        <f>$H133*Multipliers!N320</f>
        <v>1.0890671580315837E-3</v>
      </c>
      <c r="W133" s="397">
        <f t="shared" si="33"/>
        <v>1.8293626040710919E-3</v>
      </c>
      <c r="X133" s="397"/>
      <c r="Y133" s="397">
        <f>$H133*Multipliers!Q320</f>
        <v>4.2697140297640632E-4</v>
      </c>
      <c r="Z133" s="397">
        <f>$H133*Multipliers!R320</f>
        <v>6.1418509554760406E-4</v>
      </c>
      <c r="AA133" s="397">
        <f t="shared" si="34"/>
        <v>1.0411564985240104E-3</v>
      </c>
    </row>
    <row r="134" spans="3:27">
      <c r="C134" s="393" t="s">
        <v>396</v>
      </c>
      <c r="D134" s="5"/>
      <c r="F134" s="5">
        <f>(G$115*Multipliers!U321)</f>
        <v>320.9659473097181</v>
      </c>
      <c r="G134" s="14"/>
      <c r="H134" s="14">
        <f t="shared" si="30"/>
        <v>3.7594741408387283E-4</v>
      </c>
      <c r="I134" s="399"/>
      <c r="J134" s="399"/>
      <c r="K134" s="399"/>
      <c r="L134" s="399"/>
      <c r="M134" s="396">
        <f>$H134*Multipliers!E321</f>
        <v>1.2983813879654154E-3</v>
      </c>
      <c r="N134" s="396">
        <f>$H134*Multipliers!F321</f>
        <v>1.6284587061620867E-3</v>
      </c>
      <c r="O134" s="396">
        <f t="shared" si="31"/>
        <v>2.9268400941275018E-3</v>
      </c>
      <c r="P134" s="397"/>
      <c r="Q134" s="397">
        <f>$H134*Multipliers!I321</f>
        <v>7.8850082787709243E-5</v>
      </c>
      <c r="R134" s="397">
        <f>$H134*Multipliers!J321</f>
        <v>8.1970446324605383E-5</v>
      </c>
      <c r="S134" s="397">
        <f t="shared" si="32"/>
        <v>1.6082052911231461E-4</v>
      </c>
      <c r="T134" s="397">
        <f>$H134*Multipliers!L321</f>
        <v>3.7594741408387283E-4</v>
      </c>
      <c r="U134" s="397">
        <f>$H134*Multipliers!M321</f>
        <v>2.9166451521523752E-4</v>
      </c>
      <c r="V134" s="397">
        <f>$H134*Multipliers!N321</f>
        <v>2.938175660556959E-4</v>
      </c>
      <c r="W134" s="397">
        <f t="shared" si="33"/>
        <v>5.8548208127093336E-4</v>
      </c>
      <c r="X134" s="397"/>
      <c r="Y134" s="397">
        <f>$H134*Multipliers!Q321</f>
        <v>1.5619562402425483E-4</v>
      </c>
      <c r="Z134" s="397">
        <f>$H134*Multipliers!R321</f>
        <v>1.6571912391782746E-4</v>
      </c>
      <c r="AA134" s="397">
        <f t="shared" si="34"/>
        <v>3.2191474794208226E-4</v>
      </c>
    </row>
    <row r="135" spans="3:27">
      <c r="C135" s="393" t="s">
        <v>397</v>
      </c>
      <c r="D135" s="5"/>
      <c r="F135" s="5">
        <f>G$115*Multipliers!U322+(G114*H114)</f>
        <v>8971.5471366467682</v>
      </c>
      <c r="G135" s="14"/>
      <c r="H135" s="14">
        <f t="shared" ref="H135:H142" si="35">F135*G$35/10^6</f>
        <v>1.0508373161154359E-2</v>
      </c>
      <c r="I135" s="399"/>
      <c r="J135" s="399"/>
      <c r="K135" s="399"/>
      <c r="L135" s="399"/>
      <c r="M135" s="396">
        <f>$H135*Multipliers!E322</f>
        <v>2.9240567633108634E-2</v>
      </c>
      <c r="N135" s="396">
        <f>$H135*Multipliers!F322</f>
        <v>2.55226841919459E-2</v>
      </c>
      <c r="O135" s="396">
        <f t="shared" ref="O135:O142" si="36">N135+M135</f>
        <v>5.4763251825054537E-2</v>
      </c>
      <c r="P135" s="397"/>
      <c r="Q135" s="397">
        <f>$H135*Multipliers!I322</f>
        <v>1.6347035456954944E-3</v>
      </c>
      <c r="R135" s="397">
        <f>$H135*Multipliers!J322</f>
        <v>1.284690652443765E-3</v>
      </c>
      <c r="S135" s="397">
        <f t="shared" ref="S135:S142" si="37">R135+Q135</f>
        <v>2.9193941981392594E-3</v>
      </c>
      <c r="T135" s="397">
        <f>$H135*Multipliers!L322</f>
        <v>1.0508373161154359E-2</v>
      </c>
      <c r="U135" s="397">
        <f>$H135*Multipliers!M322</f>
        <v>6.759731711748926E-3</v>
      </c>
      <c r="V135" s="397">
        <f>$H135*Multipliers!N322</f>
        <v>4.6051999625174476E-3</v>
      </c>
      <c r="W135" s="397">
        <f t="shared" ref="W135:W142" si="38">V135+U135</f>
        <v>1.1364931674266374E-2</v>
      </c>
      <c r="X135" s="397"/>
      <c r="Y135" s="397">
        <f>$H135*Multipliers!Q322</f>
        <v>3.8715053484056497E-3</v>
      </c>
      <c r="Z135" s="397">
        <f>$H135*Multipliers!R322</f>
        <v>2.5973651026156841E-3</v>
      </c>
      <c r="AA135" s="397">
        <f t="shared" si="34"/>
        <v>6.4688704510213338E-3</v>
      </c>
    </row>
    <row r="136" spans="3:27">
      <c r="C136" s="393" t="s">
        <v>398</v>
      </c>
      <c r="D136" s="5"/>
      <c r="F136" s="5">
        <f>G$115*Multipliers!U323</f>
        <v>460.11786355252809</v>
      </c>
      <c r="G136" s="14"/>
      <c r="H136" s="14">
        <f t="shared" si="35"/>
        <v>5.3893605357907624E-4</v>
      </c>
      <c r="I136" s="399"/>
      <c r="J136" s="399"/>
      <c r="K136" s="399"/>
      <c r="L136" s="399"/>
      <c r="M136" s="396">
        <f>$H136*Multipliers!E323</f>
        <v>1.8780762754715612E-3</v>
      </c>
      <c r="N136" s="396">
        <f>$H136*Multipliers!F323</f>
        <v>2.6636989899193344E-3</v>
      </c>
      <c r="O136" s="396">
        <f t="shared" si="36"/>
        <v>4.5417752653908955E-3</v>
      </c>
      <c r="P136" s="397"/>
      <c r="Q136" s="397">
        <f>$H136*Multipliers!I323</f>
        <v>1.1394347725584903E-4</v>
      </c>
      <c r="R136" s="397">
        <f>$H136*Multipliers!J323</f>
        <v>1.3406465481622385E-4</v>
      </c>
      <c r="S136" s="397">
        <f t="shared" si="37"/>
        <v>2.4800813207207287E-4</v>
      </c>
      <c r="T136" s="397">
        <f>$H136*Multipliers!L323</f>
        <v>5.3893605357907624E-4</v>
      </c>
      <c r="U136" s="397">
        <f>$H136*Multipliers!M323</f>
        <v>3.5507209060398499E-4</v>
      </c>
      <c r="V136" s="397">
        <f>$H136*Multipliers!N323</f>
        <v>4.8074227744966116E-4</v>
      </c>
      <c r="W136" s="397">
        <f t="shared" si="38"/>
        <v>8.358143680536462E-4</v>
      </c>
      <c r="X136" s="397"/>
      <c r="Y136" s="397">
        <f>$H136*Multipliers!Q323</f>
        <v>2.0905221731121654E-4</v>
      </c>
      <c r="Z136" s="397">
        <f>$H136*Multipliers!R323</f>
        <v>2.7110962600873997E-4</v>
      </c>
      <c r="AA136" s="397">
        <f t="shared" si="34"/>
        <v>4.8016184331995651E-4</v>
      </c>
    </row>
    <row r="137" spans="3:27">
      <c r="C137" s="393" t="s">
        <v>399</v>
      </c>
      <c r="D137" s="5"/>
      <c r="F137" s="5">
        <f>G$115*Multipliers!U324</f>
        <v>119.56318050793776</v>
      </c>
      <c r="G137" s="14"/>
      <c r="H137" s="14">
        <f t="shared" si="35"/>
        <v>1.4004435332894748E-4</v>
      </c>
      <c r="I137" s="399"/>
      <c r="J137" s="399"/>
      <c r="K137" s="399"/>
      <c r="L137" s="399"/>
      <c r="M137" s="396">
        <f>$H137*Multipliers!E324</f>
        <v>4.1212000217806668E-4</v>
      </c>
      <c r="N137" s="396">
        <f>$H137*Multipliers!F324</f>
        <v>8.2511472138702613E-4</v>
      </c>
      <c r="O137" s="396">
        <f t="shared" si="36"/>
        <v>1.2372347235650929E-3</v>
      </c>
      <c r="P137" s="397"/>
      <c r="Q137" s="397">
        <f>$H137*Multipliers!I324</f>
        <v>2.4933636711039141E-5</v>
      </c>
      <c r="R137" s="397">
        <f>$H137*Multipliers!J324</f>
        <v>4.1528332403106098E-5</v>
      </c>
      <c r="S137" s="397">
        <f t="shared" si="37"/>
        <v>6.6461969114145242E-5</v>
      </c>
      <c r="T137" s="397">
        <f>$H137*Multipliers!L324</f>
        <v>1.4004435332894748E-4</v>
      </c>
      <c r="U137" s="397">
        <f>$H137*Multipliers!M324</f>
        <v>7.8205808495604125E-5</v>
      </c>
      <c r="V137" s="397">
        <f>$H137*Multipliers!N324</f>
        <v>1.4891476266880302E-4</v>
      </c>
      <c r="W137" s="397">
        <f t="shared" si="38"/>
        <v>2.2712057116440715E-4</v>
      </c>
      <c r="X137" s="397"/>
      <c r="Y137" s="397">
        <f>$H137*Multipliers!Q324</f>
        <v>4.5997847939599463E-5</v>
      </c>
      <c r="Z137" s="397">
        <f>$H137*Multipliers!R324</f>
        <v>8.3979136961589981E-5</v>
      </c>
      <c r="AA137" s="397">
        <f t="shared" si="34"/>
        <v>1.2997698490118943E-4</v>
      </c>
    </row>
    <row r="138" spans="3:27">
      <c r="C138" s="393" t="s">
        <v>400</v>
      </c>
      <c r="D138" s="5"/>
      <c r="F138" s="5">
        <f>G$115*Multipliers!U325</f>
        <v>14.506569505156929</v>
      </c>
      <c r="G138" s="14"/>
      <c r="H138" s="14">
        <f t="shared" si="35"/>
        <v>1.699154486139031E-5</v>
      </c>
      <c r="I138" s="399"/>
      <c r="J138" s="399"/>
      <c r="K138" s="399"/>
      <c r="L138" s="399"/>
      <c r="M138" s="396">
        <f>$H138*Multipliers!E325</f>
        <v>4.0208859726173477E-5</v>
      </c>
      <c r="N138" s="396">
        <f>$H138*Multipliers!F325</f>
        <v>9.5077463637774086E-5</v>
      </c>
      <c r="O138" s="396">
        <f t="shared" si="36"/>
        <v>1.3528632336394758E-4</v>
      </c>
      <c r="P138" s="397"/>
      <c r="Q138" s="397">
        <f>$H138*Multipliers!I325</f>
        <v>2.2515835926725526E-6</v>
      </c>
      <c r="R138" s="397">
        <f>$H138*Multipliers!J325</f>
        <v>4.785634627120858E-6</v>
      </c>
      <c r="S138" s="397">
        <f t="shared" si="37"/>
        <v>7.0372182197934101E-6</v>
      </c>
      <c r="T138" s="397">
        <f>$H138*Multipliers!L325</f>
        <v>1.699154486139031E-5</v>
      </c>
      <c r="U138" s="397">
        <f>$H138*Multipliers!M325</f>
        <v>7.1786558392196246E-6</v>
      </c>
      <c r="V138" s="397">
        <f>$H138*Multipliers!N325</f>
        <v>1.7156243905731766E-5</v>
      </c>
      <c r="W138" s="397">
        <f t="shared" si="38"/>
        <v>2.433489974495139E-5</v>
      </c>
      <c r="X138" s="397"/>
      <c r="Y138" s="397">
        <f>$H138*Multipliers!Q325</f>
        <v>4.2385578572186746E-6</v>
      </c>
      <c r="Z138" s="397">
        <f>$H138*Multipliers!R325</f>
        <v>9.6759881452224646E-6</v>
      </c>
      <c r="AA138" s="397">
        <f t="shared" si="34"/>
        <v>1.3914546002441138E-5</v>
      </c>
    </row>
    <row r="139" spans="3:27">
      <c r="C139" s="393" t="s">
        <v>401</v>
      </c>
      <c r="D139" s="5"/>
      <c r="F139" s="5">
        <f>G$115*Multipliers!U326</f>
        <v>2.9056108748919871</v>
      </c>
      <c r="G139" s="14"/>
      <c r="H139" s="14">
        <f t="shared" si="35"/>
        <v>3.4033420177609845E-6</v>
      </c>
      <c r="I139" s="399"/>
      <c r="J139" s="399"/>
      <c r="K139" s="399"/>
      <c r="L139" s="399"/>
      <c r="M139" s="396">
        <f>$H139*Multipliers!E326</f>
        <v>1.0457452421316195E-5</v>
      </c>
      <c r="N139" s="396">
        <f>$H139*Multipliers!F326</f>
        <v>2.1040559633270144E-5</v>
      </c>
      <c r="O139" s="396">
        <f t="shared" si="36"/>
        <v>3.1498012054586335E-5</v>
      </c>
      <c r="P139" s="397"/>
      <c r="Q139" s="397">
        <f>$H139*Multipliers!I326</f>
        <v>6.2219558434504546E-7</v>
      </c>
      <c r="R139" s="397">
        <f>$H139*Multipliers!J326</f>
        <v>1.0590519690868631E-6</v>
      </c>
      <c r="S139" s="397">
        <f t="shared" si="37"/>
        <v>1.6812475534319086E-6</v>
      </c>
      <c r="T139" s="397">
        <f>$H139*Multipliers!L326</f>
        <v>3.4033420177609845E-6</v>
      </c>
      <c r="U139" s="397">
        <f>$H139*Multipliers!M326</f>
        <v>1.9842947400614177E-6</v>
      </c>
      <c r="V139" s="397">
        <f>$H139*Multipliers!N326</f>
        <v>3.7967002881737991E-6</v>
      </c>
      <c r="W139" s="397">
        <f t="shared" si="38"/>
        <v>5.7809950282352172E-6</v>
      </c>
      <c r="X139" s="397"/>
      <c r="Y139" s="397">
        <f>$H139*Multipliers!Q326</f>
        <v>1.1196552803971329E-6</v>
      </c>
      <c r="Z139" s="397">
        <f>$H139*Multipliers!R326</f>
        <v>2.1412977140247674E-6</v>
      </c>
      <c r="AA139" s="397">
        <f t="shared" si="34"/>
        <v>3.2609529944219005E-6</v>
      </c>
    </row>
    <row r="140" spans="3:27">
      <c r="C140" s="393" t="s">
        <v>402</v>
      </c>
      <c r="D140" s="5"/>
      <c r="F140" s="5">
        <f>G$115*Multipliers!U327</f>
        <v>4111.2913300413475</v>
      </c>
      <c r="G140" s="14"/>
      <c r="H140" s="14">
        <f t="shared" si="35"/>
        <v>4.8155555348774306E-3</v>
      </c>
      <c r="I140" s="399"/>
      <c r="J140" s="399"/>
      <c r="K140" s="399"/>
      <c r="L140" s="399"/>
      <c r="M140" s="396">
        <f>$H140*Multipliers!E327</f>
        <v>1.5113486210657841E-2</v>
      </c>
      <c r="N140" s="396">
        <f>$H140*Multipliers!F327</f>
        <v>2.6239422767327214E-2</v>
      </c>
      <c r="O140" s="396">
        <f t="shared" si="36"/>
        <v>4.1352908977985055E-2</v>
      </c>
      <c r="P140" s="397"/>
      <c r="Q140" s="397">
        <f>$H140*Multipliers!I327</f>
        <v>8.4993110523926181E-4</v>
      </c>
      <c r="R140" s="397">
        <f>$H140*Multipliers!J327</f>
        <v>1.3206853676622748E-3</v>
      </c>
      <c r="S140" s="397">
        <f t="shared" si="37"/>
        <v>2.1706164729015367E-3</v>
      </c>
      <c r="T140" s="397">
        <f>$H140*Multipliers!L327</f>
        <v>4.8155555348774306E-3</v>
      </c>
      <c r="U140" s="397">
        <f>$H140*Multipliers!M327</f>
        <v>2.8808531276295389E-3</v>
      </c>
      <c r="V140" s="397">
        <f>$H140*Multipliers!N327</f>
        <v>4.7352176218890705E-3</v>
      </c>
      <c r="W140" s="397">
        <f t="shared" si="38"/>
        <v>7.6160707495186095E-3</v>
      </c>
      <c r="X140" s="397"/>
      <c r="Y140" s="397">
        <f>$H140*Multipliers!Q327</f>
        <v>1.6151999286198437E-3</v>
      </c>
      <c r="Z140" s="397">
        <f>$H140*Multipliers!R327</f>
        <v>2.6705000307550232E-3</v>
      </c>
      <c r="AA140" s="397">
        <f t="shared" si="34"/>
        <v>4.2856999593748665E-3</v>
      </c>
    </row>
    <row r="141" spans="3:27">
      <c r="C141" s="393" t="s">
        <v>403</v>
      </c>
      <c r="D141" s="5"/>
      <c r="F141" s="5">
        <f>G$115*Multipliers!U328+(G113*H113)</f>
        <v>121.06597874142645</v>
      </c>
      <c r="G141" s="14"/>
      <c r="H141" s="14">
        <f t="shared" si="35"/>
        <v>1.4180458089983281E-4</v>
      </c>
      <c r="I141" s="399"/>
      <c r="J141" s="399"/>
      <c r="K141" s="399"/>
      <c r="L141" s="399"/>
      <c r="M141" s="396">
        <f>$H141*Multipliers!E328</f>
        <v>7.1526088801294774E-5</v>
      </c>
      <c r="N141" s="396">
        <f>$H141*Multipliers!F328</f>
        <v>9.084374398491056E-4</v>
      </c>
      <c r="O141" s="396">
        <f t="shared" si="36"/>
        <v>9.7996352865040029E-4</v>
      </c>
      <c r="P141" s="397"/>
      <c r="Q141" s="397">
        <f>$H141*Multipliers!I328</f>
        <v>4.1716071609112818E-6</v>
      </c>
      <c r="R141" s="397">
        <f>$H141*Multipliers!J328</f>
        <v>4.5717087859201593E-5</v>
      </c>
      <c r="S141" s="397">
        <f t="shared" si="37"/>
        <v>4.9888695020112874E-5</v>
      </c>
      <c r="T141" s="397">
        <f>$H141*Multipliers!L328</f>
        <v>1.4180458089983281E-4</v>
      </c>
      <c r="U141" s="397">
        <f>$H141*Multipliers!M328</f>
        <v>1.5935715192361411E-5</v>
      </c>
      <c r="V141" s="397">
        <f>$H141*Multipliers!N328</f>
        <v>1.6399529615568584E-4</v>
      </c>
      <c r="W141" s="397">
        <f t="shared" si="38"/>
        <v>1.7993101134804724E-4</v>
      </c>
      <c r="X141" s="397"/>
      <c r="Y141" s="397">
        <f>$H141*Multipliers!Q328</f>
        <v>8.1556068612920846E-6</v>
      </c>
      <c r="Z141" s="397">
        <f>$H141*Multipliers!R328</f>
        <v>9.2471618032266372E-5</v>
      </c>
      <c r="AA141" s="397">
        <f t="shared" si="34"/>
        <v>1.0062722489355846E-4</v>
      </c>
    </row>
    <row r="142" spans="3:27">
      <c r="C142" s="393" t="s">
        <v>404</v>
      </c>
      <c r="D142" s="5"/>
      <c r="F142" s="5">
        <f>G$115*Multipliers!U329</f>
        <v>0.36203062980218309</v>
      </c>
      <c r="G142" s="14"/>
      <c r="H142" s="14">
        <f t="shared" si="35"/>
        <v>4.2404647668729706E-7</v>
      </c>
      <c r="I142" s="399"/>
      <c r="J142" s="399"/>
      <c r="K142" s="399"/>
      <c r="L142" s="399"/>
      <c r="M142" s="396">
        <f>$H142*Multipliers!E329</f>
        <v>1.4511637956362109E-6</v>
      </c>
      <c r="N142" s="396">
        <f>$H142*Multipliers!F329</f>
        <v>1.9345560007823719E-6</v>
      </c>
      <c r="O142" s="396">
        <f t="shared" si="36"/>
        <v>3.3857197964185828E-6</v>
      </c>
      <c r="P142" s="397"/>
      <c r="Q142" s="397">
        <f>$H142*Multipliers!I329</f>
        <v>1.0294576314537511E-7</v>
      </c>
      <c r="R142" s="397">
        <f>$H142*Multipliers!J329</f>
        <v>9.7361495093880092E-8</v>
      </c>
      <c r="S142" s="397">
        <f t="shared" si="37"/>
        <v>2.0030725823925521E-7</v>
      </c>
      <c r="T142" s="397">
        <f>$H142*Multipliers!L329</f>
        <v>4.2404647668729706E-7</v>
      </c>
      <c r="U142" s="397">
        <f>$H142*Multipliers!M329</f>
        <v>3.3319451905704366E-7</v>
      </c>
      <c r="V142" s="397">
        <f>$H142*Multipliers!N329</f>
        <v>3.491916723900719E-7</v>
      </c>
      <c r="W142" s="397">
        <f t="shared" si="38"/>
        <v>6.8238619144711556E-7</v>
      </c>
      <c r="X142" s="397"/>
      <c r="Y142" s="397">
        <f>$H142*Multipliers!Q329</f>
        <v>1.7837557446498818E-7</v>
      </c>
      <c r="Z142" s="397">
        <f>$H142*Multipliers!R329</f>
        <v>1.9691022191451327E-7</v>
      </c>
      <c r="AA142" s="397">
        <f t="shared" si="34"/>
        <v>3.7528579637950143E-7</v>
      </c>
    </row>
    <row r="143" spans="3:27">
      <c r="C143" s="3" t="s">
        <v>133</v>
      </c>
      <c r="D143" s="5"/>
      <c r="F143" s="5">
        <f>SUM(F121:F142)</f>
        <v>16654.237275634885</v>
      </c>
      <c r="G143" s="14"/>
      <c r="H143" s="14">
        <f>SUM(H121:H142)</f>
        <v>1.950710812095114E-2</v>
      </c>
      <c r="I143" s="399"/>
      <c r="J143" s="399"/>
      <c r="K143" s="399"/>
      <c r="L143" s="399">
        <f>IF(L145=0,0,D117)</f>
        <v>0.29594071717289261</v>
      </c>
      <c r="M143" s="396">
        <f>SUM(M121:M142)</f>
        <v>5.8532290793353627E-2</v>
      </c>
      <c r="N143" s="396">
        <f>SUM(N121:N142)</f>
        <v>7.0727307453632551E-2</v>
      </c>
      <c r="O143" s="396">
        <f>SUM(O121:O142)</f>
        <v>0.12925959824698618</v>
      </c>
      <c r="P143" s="397">
        <f>H143</f>
        <v>1.950710812095114E-2</v>
      </c>
      <c r="Q143" s="397">
        <f>SUM(Q121:Q142)</f>
        <v>3.3251244515341808E-3</v>
      </c>
      <c r="R143" s="397">
        <f t="shared" ref="R143:W143" si="39">SUM(R121:R142)</f>
        <v>3.5599154128579075E-3</v>
      </c>
      <c r="S143" s="397">
        <f t="shared" si="39"/>
        <v>6.8850398643920873E-3</v>
      </c>
      <c r="T143" s="397">
        <f t="shared" si="39"/>
        <v>1.950710812095114E-2</v>
      </c>
      <c r="U143" s="397">
        <f t="shared" si="39"/>
        <v>1.2742995960029412E-2</v>
      </c>
      <c r="V143" s="397">
        <f t="shared" si="39"/>
        <v>1.2763102400637603E-2</v>
      </c>
      <c r="W143" s="397">
        <f t="shared" si="39"/>
        <v>2.5506098360667022E-2</v>
      </c>
      <c r="X143" s="397">
        <f>H143</f>
        <v>1.950710812095114E-2</v>
      </c>
      <c r="Y143" s="397">
        <f t="shared" ref="Y143:AA143" si="40">SUM(Y121:Y142)</f>
        <v>7.1263002631387767E-3</v>
      </c>
      <c r="Z143" s="397">
        <f t="shared" si="40"/>
        <v>7.1980904030526666E-3</v>
      </c>
      <c r="AA143" s="397">
        <f t="shared" si="40"/>
        <v>1.4324390666191443E-2</v>
      </c>
    </row>
    <row r="144" spans="3:27">
      <c r="C144" s="3"/>
      <c r="D144" s="5"/>
      <c r="F144" s="69"/>
      <c r="G144" s="16"/>
      <c r="I144" s="12"/>
      <c r="J144" s="12"/>
      <c r="K144" s="12"/>
      <c r="L144" s="12"/>
      <c r="M144" s="56"/>
      <c r="N144" s="56"/>
      <c r="O144" t="s">
        <v>563</v>
      </c>
      <c r="P144" s="1">
        <f>P113</f>
        <v>2010</v>
      </c>
      <c r="Q144" s="1" t="s">
        <v>539</v>
      </c>
      <c r="R144" s="56"/>
      <c r="S144" s="56"/>
      <c r="T144" s="56"/>
      <c r="X144" s="56"/>
    </row>
    <row r="145" spans="3:27">
      <c r="C145" s="13" t="s">
        <v>571</v>
      </c>
      <c r="E145" s="13" t="s">
        <v>572</v>
      </c>
      <c r="F145" s="7"/>
      <c r="L145" s="269">
        <f>SUM(M150:M171)</f>
        <v>0.10523812901072216</v>
      </c>
      <c r="P145" s="14">
        <f t="shared" ref="P145:W145" si="41">P143*$G64</f>
        <v>1.6655168913668084E-2</v>
      </c>
      <c r="Q145" s="14">
        <f t="shared" si="41"/>
        <v>2.8389912567198835E-3</v>
      </c>
      <c r="R145" s="14">
        <f t="shared" si="41"/>
        <v>3.0394557794980815E-3</v>
      </c>
      <c r="S145" s="14">
        <f t="shared" si="41"/>
        <v>5.8784470362179646E-3</v>
      </c>
      <c r="T145" s="14">
        <f t="shared" si="41"/>
        <v>1.6655168913668084E-2</v>
      </c>
      <c r="U145" s="14">
        <f t="shared" si="41"/>
        <v>1.0879969950673111E-2</v>
      </c>
      <c r="V145" s="14">
        <f t="shared" si="41"/>
        <v>1.0897136829664386E-2</v>
      </c>
      <c r="W145" s="63">
        <f t="shared" si="41"/>
        <v>2.1777106780337504E-2</v>
      </c>
      <c r="X145" s="14">
        <f t="shared" ref="X145:AA145" si="42">X143*$G64</f>
        <v>1.6655168913668084E-2</v>
      </c>
      <c r="Y145" s="14">
        <f t="shared" si="42"/>
        <v>6.0844351646678878E-3</v>
      </c>
      <c r="Z145" s="14">
        <f t="shared" si="42"/>
        <v>6.145729586126367E-3</v>
      </c>
      <c r="AA145" s="63">
        <f t="shared" si="42"/>
        <v>1.2230164750794255E-2</v>
      </c>
    </row>
    <row r="146" spans="3:27">
      <c r="D146" s="7" t="s">
        <v>540</v>
      </c>
      <c r="E146" s="7" t="s">
        <v>540</v>
      </c>
      <c r="F146" s="304"/>
    </row>
    <row r="147" spans="3:27">
      <c r="C147" s="393" t="s">
        <v>383</v>
      </c>
      <c r="D147" s="5">
        <v>0</v>
      </c>
      <c r="E147" s="5">
        <v>0</v>
      </c>
      <c r="L147" s="1" t="s">
        <v>566</v>
      </c>
    </row>
    <row r="148" spans="3:27">
      <c r="C148" s="393" t="s">
        <v>384</v>
      </c>
      <c r="D148" s="5">
        <v>0</v>
      </c>
      <c r="E148" s="5">
        <v>0</v>
      </c>
      <c r="L148" s="8" t="s">
        <v>302</v>
      </c>
      <c r="M148" s="8"/>
      <c r="N148" s="8"/>
      <c r="O148" s="8"/>
      <c r="P148" s="8" t="s">
        <v>303</v>
      </c>
      <c r="Q148" s="8"/>
      <c r="R148" s="8"/>
      <c r="S148" s="8"/>
      <c r="T148" s="8" t="s">
        <v>304</v>
      </c>
      <c r="X148" s="8" t="s">
        <v>305</v>
      </c>
    </row>
    <row r="149" spans="3:27">
      <c r="C149" s="393" t="s">
        <v>385</v>
      </c>
      <c r="D149" s="5">
        <v>0</v>
      </c>
      <c r="E149" s="5">
        <v>0</v>
      </c>
      <c r="L149" s="8" t="s">
        <v>543</v>
      </c>
      <c r="M149" s="8" t="s">
        <v>544</v>
      </c>
      <c r="N149" s="8" t="s">
        <v>545</v>
      </c>
      <c r="O149" s="8" t="s">
        <v>133</v>
      </c>
      <c r="P149" s="8" t="s">
        <v>543</v>
      </c>
      <c r="Q149" s="8" t="s">
        <v>544</v>
      </c>
      <c r="R149" s="8" t="s">
        <v>545</v>
      </c>
      <c r="S149" s="8" t="s">
        <v>133</v>
      </c>
      <c r="T149" s="8" t="s">
        <v>543</v>
      </c>
      <c r="U149" s="8" t="s">
        <v>544</v>
      </c>
      <c r="V149" s="8" t="s">
        <v>545</v>
      </c>
      <c r="W149" s="8" t="s">
        <v>133</v>
      </c>
      <c r="X149" s="8" t="s">
        <v>543</v>
      </c>
      <c r="Y149" s="8" t="s">
        <v>544</v>
      </c>
      <c r="Z149" s="8" t="s">
        <v>545</v>
      </c>
      <c r="AA149" s="8" t="s">
        <v>133</v>
      </c>
    </row>
    <row r="150" spans="3:27">
      <c r="C150" s="393" t="s">
        <v>386</v>
      </c>
      <c r="D150" s="5">
        <v>0</v>
      </c>
      <c r="E150" s="5">
        <f>IF(DefaultData!F$2=2,Calculations!G$13,0)</f>
        <v>261070.92266981862</v>
      </c>
      <c r="F150" s="267"/>
      <c r="J150" s="393" t="s">
        <v>383</v>
      </c>
      <c r="L150" s="10">
        <f>L88+L121</f>
        <v>0</v>
      </c>
      <c r="M150" s="10">
        <f t="shared" ref="M150:V150" si="43">M88+M121</f>
        <v>2.0791257485265103E-4</v>
      </c>
      <c r="N150" s="10">
        <f t="shared" si="43"/>
        <v>2.1820737218292727E-4</v>
      </c>
      <c r="O150" s="10">
        <f>N150+M150+L150</f>
        <v>4.261199470355783E-4</v>
      </c>
      <c r="P150" s="14">
        <f t="shared" si="43"/>
        <v>0</v>
      </c>
      <c r="Q150" s="14">
        <f t="shared" si="43"/>
        <v>9.9784398548220294E-6</v>
      </c>
      <c r="R150" s="14">
        <f t="shared" si="43"/>
        <v>1.0985050877846634E-5</v>
      </c>
      <c r="S150" s="14">
        <f>R150+Q150+P150</f>
        <v>2.0963490732668662E-5</v>
      </c>
      <c r="T150" s="14">
        <f t="shared" si="43"/>
        <v>5.2403093499120501E-5</v>
      </c>
      <c r="U150" s="14">
        <f t="shared" si="43"/>
        <v>4.8062335652214358E-5</v>
      </c>
      <c r="V150" s="14">
        <f t="shared" si="43"/>
        <v>3.9358181822010435E-5</v>
      </c>
      <c r="W150" s="14">
        <f>V150+U150+T150</f>
        <v>1.3982361097334529E-4</v>
      </c>
      <c r="X150" s="14">
        <f t="shared" ref="X150:Z150" si="44">X88+X121</f>
        <v>0</v>
      </c>
      <c r="Y150" s="14">
        <f t="shared" si="44"/>
        <v>2.3111755550665106E-5</v>
      </c>
      <c r="Z150" s="14">
        <f t="shared" si="44"/>
        <v>2.2202247459894371E-5</v>
      </c>
      <c r="AA150" s="14">
        <f>Z150+Y150+X150</f>
        <v>4.5314003010559474E-5</v>
      </c>
    </row>
    <row r="151" spans="3:27">
      <c r="C151" s="393" t="s">
        <v>387</v>
      </c>
      <c r="D151" s="5">
        <v>0</v>
      </c>
      <c r="E151" s="5">
        <f>IF(DefaultData!F$2=1,Calculations!G$13,0)</f>
        <v>0</v>
      </c>
      <c r="J151" s="393" t="s">
        <v>384</v>
      </c>
      <c r="L151" s="10">
        <f t="shared" ref="L151:V151" si="45">L89+L122</f>
        <v>0</v>
      </c>
      <c r="M151" s="10">
        <f t="shared" si="45"/>
        <v>2.254329981439577E-5</v>
      </c>
      <c r="N151" s="10">
        <f t="shared" si="45"/>
        <v>2.7864654901726686E-5</v>
      </c>
      <c r="O151" s="10">
        <f t="shared" ref="O151:O173" si="46">N151+M151+L151</f>
        <v>5.0407954716122457E-5</v>
      </c>
      <c r="P151" s="14">
        <f t="shared" si="45"/>
        <v>0</v>
      </c>
      <c r="Q151" s="14">
        <f t="shared" si="45"/>
        <v>1.3930898367172055E-6</v>
      </c>
      <c r="R151" s="14">
        <f t="shared" si="45"/>
        <v>1.4027504424703154E-6</v>
      </c>
      <c r="S151" s="14">
        <f t="shared" ref="S151:S172" si="47">R151+Q151+P151</f>
        <v>2.7958402791875209E-6</v>
      </c>
      <c r="T151" s="14">
        <f t="shared" si="45"/>
        <v>6.3514830723931441E-6</v>
      </c>
      <c r="U151" s="14">
        <f t="shared" si="45"/>
        <v>4.9131452702682101E-6</v>
      </c>
      <c r="V151" s="14">
        <f t="shared" si="45"/>
        <v>5.0261889659906626E-6</v>
      </c>
      <c r="W151" s="14">
        <f t="shared" ref="W151:W172" si="48">V151+U151+T151</f>
        <v>1.6290817308652016E-5</v>
      </c>
      <c r="X151" s="14">
        <f t="shared" ref="X151:Z151" si="49">X89+X122</f>
        <v>0</v>
      </c>
      <c r="Y151" s="14">
        <f t="shared" si="49"/>
        <v>2.6133558190345934E-6</v>
      </c>
      <c r="Z151" s="14">
        <f t="shared" si="49"/>
        <v>2.8352512316517203E-6</v>
      </c>
      <c r="AA151" s="14">
        <f t="shared" ref="AA151:AA172" si="50">Z151+Y151+X151</f>
        <v>5.4486070506863141E-6</v>
      </c>
    </row>
    <row r="152" spans="3:27" ht="12" customHeight="1">
      <c r="C152" s="393" t="s">
        <v>388</v>
      </c>
      <c r="D152" s="5">
        <v>0</v>
      </c>
      <c r="E152" s="5">
        <v>0</v>
      </c>
      <c r="J152" s="393" t="s">
        <v>385</v>
      </c>
      <c r="L152" s="10">
        <f t="shared" ref="L152:V152" si="51">L90+L123</f>
        <v>0</v>
      </c>
      <c r="M152" s="10">
        <f t="shared" si="51"/>
        <v>0</v>
      </c>
      <c r="N152" s="10">
        <f t="shared" si="51"/>
        <v>0</v>
      </c>
      <c r="O152" s="10">
        <f t="shared" si="46"/>
        <v>0</v>
      </c>
      <c r="P152" s="14">
        <f t="shared" si="51"/>
        <v>0</v>
      </c>
      <c r="Q152" s="14">
        <f t="shared" si="51"/>
        <v>0</v>
      </c>
      <c r="R152" s="14">
        <f t="shared" si="51"/>
        <v>0</v>
      </c>
      <c r="S152" s="14">
        <f t="shared" si="47"/>
        <v>0</v>
      </c>
      <c r="T152" s="14">
        <f t="shared" si="51"/>
        <v>0</v>
      </c>
      <c r="U152" s="14">
        <f t="shared" si="51"/>
        <v>0</v>
      </c>
      <c r="V152" s="14">
        <f t="shared" si="51"/>
        <v>0</v>
      </c>
      <c r="W152" s="14">
        <f t="shared" si="48"/>
        <v>0</v>
      </c>
      <c r="X152" s="14">
        <f t="shared" ref="X152:Z152" si="52">X90+X123</f>
        <v>0</v>
      </c>
      <c r="Y152" s="14">
        <f t="shared" si="52"/>
        <v>0</v>
      </c>
      <c r="Z152" s="14">
        <f t="shared" si="52"/>
        <v>0</v>
      </c>
      <c r="AA152" s="14">
        <f t="shared" si="50"/>
        <v>0</v>
      </c>
    </row>
    <row r="153" spans="3:27">
      <c r="C153" s="393" t="s">
        <v>389</v>
      </c>
      <c r="D153" s="5">
        <v>0</v>
      </c>
      <c r="E153" s="5">
        <f>J7</f>
        <v>0</v>
      </c>
      <c r="J153" s="393" t="s">
        <v>386</v>
      </c>
      <c r="L153" s="10">
        <f t="shared" ref="L153:V153" si="53">L91+L124</f>
        <v>0</v>
      </c>
      <c r="M153" s="10">
        <f t="shared" si="53"/>
        <v>0</v>
      </c>
      <c r="N153" s="10">
        <f t="shared" si="53"/>
        <v>0</v>
      </c>
      <c r="O153" s="10">
        <f t="shared" si="46"/>
        <v>0</v>
      </c>
      <c r="P153" s="14">
        <f t="shared" si="53"/>
        <v>0</v>
      </c>
      <c r="Q153" s="14">
        <f t="shared" si="53"/>
        <v>0</v>
      </c>
      <c r="R153" s="14">
        <f t="shared" si="53"/>
        <v>0</v>
      </c>
      <c r="S153" s="14">
        <f t="shared" si="47"/>
        <v>0</v>
      </c>
      <c r="T153" s="14">
        <f t="shared" si="53"/>
        <v>0</v>
      </c>
      <c r="U153" s="14">
        <f t="shared" si="53"/>
        <v>0</v>
      </c>
      <c r="V153" s="14">
        <f t="shared" si="53"/>
        <v>0</v>
      </c>
      <c r="W153" s="14">
        <f t="shared" si="48"/>
        <v>0</v>
      </c>
      <c r="X153" s="14">
        <f t="shared" ref="X153:Z153" si="54">X91+X124</f>
        <v>0</v>
      </c>
      <c r="Y153" s="14">
        <f t="shared" si="54"/>
        <v>0</v>
      </c>
      <c r="Z153" s="14">
        <f t="shared" si="54"/>
        <v>0</v>
      </c>
      <c r="AA153" s="14">
        <f t="shared" si="50"/>
        <v>0</v>
      </c>
    </row>
    <row r="154" spans="3:27" ht="14.25" customHeight="1">
      <c r="C154" s="393" t="s">
        <v>390</v>
      </c>
      <c r="D154" s="5">
        <v>0</v>
      </c>
      <c r="E154" s="5">
        <v>0</v>
      </c>
      <c r="J154" s="393" t="s">
        <v>387</v>
      </c>
      <c r="L154" s="10">
        <f t="shared" ref="L154:V154" si="55">L92+L125</f>
        <v>0</v>
      </c>
      <c r="M154" s="10">
        <f t="shared" si="55"/>
        <v>0</v>
      </c>
      <c r="N154" s="10">
        <f t="shared" si="55"/>
        <v>0</v>
      </c>
      <c r="O154" s="10">
        <f t="shared" si="46"/>
        <v>0</v>
      </c>
      <c r="P154" s="14">
        <f t="shared" si="55"/>
        <v>0</v>
      </c>
      <c r="Q154" s="14">
        <f t="shared" si="55"/>
        <v>0</v>
      </c>
      <c r="R154" s="14">
        <f t="shared" si="55"/>
        <v>0</v>
      </c>
      <c r="S154" s="14">
        <f t="shared" si="47"/>
        <v>0</v>
      </c>
      <c r="T154" s="14">
        <f t="shared" si="55"/>
        <v>0</v>
      </c>
      <c r="U154" s="14">
        <f t="shared" si="55"/>
        <v>0</v>
      </c>
      <c r="V154" s="14">
        <f t="shared" si="55"/>
        <v>0</v>
      </c>
      <c r="W154" s="14">
        <f t="shared" si="48"/>
        <v>0</v>
      </c>
      <c r="X154" s="14">
        <f t="shared" ref="X154:Z154" si="56">X92+X125</f>
        <v>0</v>
      </c>
      <c r="Y154" s="14">
        <f t="shared" si="56"/>
        <v>0</v>
      </c>
      <c r="Z154" s="14">
        <f t="shared" si="56"/>
        <v>0</v>
      </c>
      <c r="AA154" s="14">
        <f t="shared" si="50"/>
        <v>0</v>
      </c>
    </row>
    <row r="155" spans="3:27">
      <c r="C155" s="393" t="s">
        <v>391</v>
      </c>
      <c r="D155" s="5">
        <f>J71</f>
        <v>0</v>
      </c>
      <c r="E155" s="5">
        <f>J10</f>
        <v>0</v>
      </c>
      <c r="J155" s="393" t="s">
        <v>388</v>
      </c>
      <c r="L155" s="10">
        <f t="shared" ref="L155:V155" si="57">L93+L126</f>
        <v>0</v>
      </c>
      <c r="M155" s="10">
        <f t="shared" si="57"/>
        <v>4.6539331921678605E-3</v>
      </c>
      <c r="N155" s="10">
        <f t="shared" si="57"/>
        <v>4.3868652663275635E-3</v>
      </c>
      <c r="O155" s="10">
        <f t="shared" si="46"/>
        <v>9.0407984584954248E-3</v>
      </c>
      <c r="P155" s="14">
        <f t="shared" si="57"/>
        <v>0</v>
      </c>
      <c r="Q155" s="14">
        <f t="shared" si="57"/>
        <v>2.9017671593264195E-4</v>
      </c>
      <c r="R155" s="14">
        <f t="shared" si="57"/>
        <v>2.2079324375371553E-4</v>
      </c>
      <c r="S155" s="14">
        <f t="shared" si="47"/>
        <v>5.1096995968635752E-4</v>
      </c>
      <c r="T155" s="14">
        <f t="shared" si="57"/>
        <v>1.1653449365781488E-3</v>
      </c>
      <c r="U155" s="14">
        <f t="shared" si="57"/>
        <v>1.2488349092143539E-3</v>
      </c>
      <c r="V155" s="14">
        <f t="shared" si="57"/>
        <v>7.9172486180676511E-4</v>
      </c>
      <c r="W155" s="14">
        <f t="shared" si="48"/>
        <v>3.2059047075992677E-3</v>
      </c>
      <c r="X155" s="14">
        <f t="shared" ref="X155:Z155" si="58">X93+X126</f>
        <v>0</v>
      </c>
      <c r="Y155" s="14">
        <f t="shared" si="58"/>
        <v>5.8185090010878684E-4</v>
      </c>
      <c r="Z155" s="14">
        <f t="shared" si="58"/>
        <v>4.4648792831067873E-4</v>
      </c>
      <c r="AA155" s="14">
        <f t="shared" si="50"/>
        <v>1.0283388284194656E-3</v>
      </c>
    </row>
    <row r="156" spans="3:27" ht="15" customHeight="1">
      <c r="C156" s="393" t="s">
        <v>392</v>
      </c>
      <c r="D156" s="5">
        <v>0</v>
      </c>
      <c r="E156" s="5">
        <v>0</v>
      </c>
      <c r="J156" s="393" t="s">
        <v>389</v>
      </c>
      <c r="L156" s="10">
        <f t="shared" ref="L156:V156" si="59">L94+L127</f>
        <v>0</v>
      </c>
      <c r="M156" s="10">
        <f t="shared" si="59"/>
        <v>2.127960196882432E-6</v>
      </c>
      <c r="N156" s="10">
        <f t="shared" si="59"/>
        <v>2.3576669263672337E-6</v>
      </c>
      <c r="O156" s="10">
        <f t="shared" si="46"/>
        <v>4.4856271232496656E-6</v>
      </c>
      <c r="P156" s="14">
        <f t="shared" si="59"/>
        <v>0</v>
      </c>
      <c r="Q156" s="14">
        <f t="shared" si="59"/>
        <v>1.3596681578367039E-7</v>
      </c>
      <c r="R156" s="14">
        <f t="shared" si="59"/>
        <v>1.1865856304163236E-7</v>
      </c>
      <c r="S156" s="14">
        <f t="shared" si="47"/>
        <v>2.5462537882530275E-7</v>
      </c>
      <c r="T156" s="14">
        <f t="shared" si="59"/>
        <v>5.3197236113960009E-7</v>
      </c>
      <c r="U156" s="14">
        <f t="shared" si="59"/>
        <v>5.6429766166424782E-7</v>
      </c>
      <c r="V156" s="14">
        <f t="shared" si="59"/>
        <v>4.2554011887403915E-7</v>
      </c>
      <c r="W156" s="14">
        <f t="shared" si="48"/>
        <v>1.5218101416778871E-6</v>
      </c>
      <c r="X156" s="14">
        <f t="shared" ref="X156:Z156" si="60">X94+X127</f>
        <v>0</v>
      </c>
      <c r="Y156" s="14">
        <f t="shared" si="60"/>
        <v>2.5942376952278195E-7</v>
      </c>
      <c r="Z156" s="14">
        <f t="shared" si="60"/>
        <v>2.3997007224826789E-7</v>
      </c>
      <c r="AA156" s="14">
        <f t="shared" si="50"/>
        <v>4.9939384177104989E-7</v>
      </c>
    </row>
    <row r="157" spans="3:27">
      <c r="C157" s="393" t="s">
        <v>393</v>
      </c>
      <c r="D157" s="5">
        <v>0</v>
      </c>
      <c r="E157" s="5">
        <f>J9</f>
        <v>0</v>
      </c>
      <c r="J157" s="393" t="s">
        <v>390</v>
      </c>
      <c r="L157" s="10">
        <f t="shared" ref="L157:V157" si="61">L95+L128</f>
        <v>0</v>
      </c>
      <c r="M157" s="10">
        <f t="shared" si="61"/>
        <v>1.0254218813779269E-6</v>
      </c>
      <c r="N157" s="10">
        <f t="shared" si="61"/>
        <v>1.2619032433261517E-6</v>
      </c>
      <c r="O157" s="10">
        <f t="shared" si="46"/>
        <v>2.2873251247040785E-6</v>
      </c>
      <c r="P157" s="14">
        <f t="shared" si="61"/>
        <v>0</v>
      </c>
      <c r="Q157" s="14">
        <f t="shared" si="61"/>
        <v>6.7734633199015628E-8</v>
      </c>
      <c r="R157" s="14">
        <f t="shared" si="61"/>
        <v>6.3509236292824742E-8</v>
      </c>
      <c r="S157" s="14">
        <f t="shared" si="47"/>
        <v>1.3124386949184038E-7</v>
      </c>
      <c r="T157" s="14">
        <f t="shared" si="61"/>
        <v>2.7352388051468736E-7</v>
      </c>
      <c r="U157" s="14">
        <f t="shared" si="61"/>
        <v>2.6477904853075228E-7</v>
      </c>
      <c r="V157" s="14">
        <f t="shared" si="61"/>
        <v>2.2777181454487612E-7</v>
      </c>
      <c r="W157" s="14">
        <f t="shared" si="48"/>
        <v>7.6607474359031582E-7</v>
      </c>
      <c r="X157" s="14">
        <f t="shared" ref="X157:Z157" si="62">X95+X128</f>
        <v>0</v>
      </c>
      <c r="Y157" s="14">
        <f t="shared" si="62"/>
        <v>1.2789511662269907E-7</v>
      </c>
      <c r="Z157" s="14">
        <f t="shared" si="62"/>
        <v>1.2844243790760896E-7</v>
      </c>
      <c r="AA157" s="14">
        <f t="shared" si="50"/>
        <v>2.56337554530308E-7</v>
      </c>
    </row>
    <row r="158" spans="3:27" ht="12.75" customHeight="1">
      <c r="C158" s="393" t="s">
        <v>394</v>
      </c>
      <c r="D158" s="5">
        <f>I71</f>
        <v>11895.466666666667</v>
      </c>
      <c r="E158" s="5">
        <f>I7+I8+I9+I10</f>
        <v>154902.08078409234</v>
      </c>
      <c r="J158" s="393" t="s">
        <v>391</v>
      </c>
      <c r="L158" s="10">
        <f t="shared" ref="L158:V158" si="63">L96+L129</f>
        <v>0</v>
      </c>
      <c r="M158" s="10">
        <f t="shared" si="63"/>
        <v>2.2069196228117301E-6</v>
      </c>
      <c r="N158" s="10">
        <f t="shared" si="63"/>
        <v>2.8808392573717535E-6</v>
      </c>
      <c r="O158" s="10">
        <f t="shared" si="46"/>
        <v>5.0877588801834832E-6</v>
      </c>
      <c r="P158" s="14">
        <f t="shared" si="63"/>
        <v>0</v>
      </c>
      <c r="Q158" s="14">
        <f t="shared" si="63"/>
        <v>1.5263100535958942E-7</v>
      </c>
      <c r="R158" s="14">
        <f t="shared" si="63"/>
        <v>1.4498643423088642E-7</v>
      </c>
      <c r="S158" s="14">
        <f t="shared" si="47"/>
        <v>2.9761743959047584E-7</v>
      </c>
      <c r="T158" s="14">
        <f t="shared" si="63"/>
        <v>6.7994050775620404E-7</v>
      </c>
      <c r="U158" s="14">
        <f t="shared" si="63"/>
        <v>6.3516370555842704E-7</v>
      </c>
      <c r="V158" s="14">
        <f t="shared" si="63"/>
        <v>5.1998858294960353E-7</v>
      </c>
      <c r="W158" s="14">
        <f t="shared" si="48"/>
        <v>1.8350927962642346E-6</v>
      </c>
      <c r="X158" s="14">
        <f t="shared" ref="X158:Z158" si="64">X96+X129</f>
        <v>0</v>
      </c>
      <c r="Y158" s="14">
        <f t="shared" si="64"/>
        <v>2.9738150023428441E-7</v>
      </c>
      <c r="Z158" s="14">
        <f t="shared" si="64"/>
        <v>2.9322570385087855E-7</v>
      </c>
      <c r="AA158" s="14">
        <f t="shared" si="50"/>
        <v>5.9060720408516301E-7</v>
      </c>
    </row>
    <row r="159" spans="3:27" ht="12.75" customHeight="1">
      <c r="C159" s="393" t="s">
        <v>395</v>
      </c>
      <c r="D159" s="5">
        <v>0</v>
      </c>
      <c r="E159" s="5">
        <v>0</v>
      </c>
      <c r="J159" s="393" t="s">
        <v>392</v>
      </c>
      <c r="L159" s="10">
        <f t="shared" ref="L159:V159" si="65">L97+L130</f>
        <v>0</v>
      </c>
      <c r="M159" s="10">
        <f t="shared" si="65"/>
        <v>5.5019726346763783E-6</v>
      </c>
      <c r="N159" s="10">
        <f t="shared" si="65"/>
        <v>6.9335937360693772E-6</v>
      </c>
      <c r="O159" s="10">
        <f t="shared" si="46"/>
        <v>1.2435566370745756E-5</v>
      </c>
      <c r="P159" s="14">
        <f t="shared" si="65"/>
        <v>0</v>
      </c>
      <c r="Q159" s="14">
        <f t="shared" si="65"/>
        <v>3.6198993872288821E-7</v>
      </c>
      <c r="R159" s="14">
        <f t="shared" si="65"/>
        <v>3.4895513413566662E-7</v>
      </c>
      <c r="S159" s="14">
        <f t="shared" si="47"/>
        <v>7.1094507285855478E-7</v>
      </c>
      <c r="T159" s="14">
        <f t="shared" si="65"/>
        <v>1.6124201617047951E-6</v>
      </c>
      <c r="U159" s="14">
        <f t="shared" si="65"/>
        <v>1.5976326564018003E-6</v>
      </c>
      <c r="V159" s="14">
        <f t="shared" si="65"/>
        <v>1.2514863581878235E-6</v>
      </c>
      <c r="W159" s="14">
        <f t="shared" si="48"/>
        <v>4.4615391762944187E-6</v>
      </c>
      <c r="X159" s="14">
        <f t="shared" ref="X159:Z159" si="66">X97+X130</f>
        <v>0</v>
      </c>
      <c r="Y159" s="14">
        <f t="shared" si="66"/>
        <v>7.1888624215495099E-7</v>
      </c>
      <c r="Z159" s="14">
        <f t="shared" si="66"/>
        <v>7.0572889363543984E-7</v>
      </c>
      <c r="AA159" s="14">
        <f t="shared" si="50"/>
        <v>1.4246151357903908E-6</v>
      </c>
    </row>
    <row r="160" spans="3:27" ht="12.75" customHeight="1">
      <c r="C160" s="393" t="s">
        <v>396</v>
      </c>
      <c r="D160" s="5">
        <v>0</v>
      </c>
      <c r="E160" s="5">
        <v>0</v>
      </c>
      <c r="J160" s="393" t="s">
        <v>393</v>
      </c>
      <c r="L160" s="10">
        <f t="shared" ref="L160:V160" si="67">L98+L131</f>
        <v>0</v>
      </c>
      <c r="M160" s="10">
        <f t="shared" si="67"/>
        <v>4.2636238715317732E-7</v>
      </c>
      <c r="N160" s="10">
        <f t="shared" si="67"/>
        <v>4.5937008377367968E-7</v>
      </c>
      <c r="O160" s="10">
        <f t="shared" si="46"/>
        <v>8.8573247092685701E-7</v>
      </c>
      <c r="P160" s="14">
        <f t="shared" si="67"/>
        <v>0</v>
      </c>
      <c r="Q160" s="14">
        <f t="shared" si="67"/>
        <v>2.9170999905651174E-8</v>
      </c>
      <c r="R160" s="14">
        <f t="shared" si="67"/>
        <v>2.3119435264494286E-8</v>
      </c>
      <c r="S160" s="14">
        <f t="shared" si="47"/>
        <v>5.2290435170145457E-8</v>
      </c>
      <c r="T160" s="14">
        <f t="shared" si="67"/>
        <v>1.2453572821511102E-7</v>
      </c>
      <c r="U160" s="14">
        <f t="shared" si="67"/>
        <v>1.343674503505094E-7</v>
      </c>
      <c r="V160" s="14">
        <f t="shared" si="67"/>
        <v>8.2913023523871971E-8</v>
      </c>
      <c r="W160" s="14">
        <f t="shared" si="48"/>
        <v>3.4181620208949238E-7</v>
      </c>
      <c r="X160" s="14">
        <f t="shared" ref="X160:Z160" si="68">X98+X131</f>
        <v>0</v>
      </c>
      <c r="Y160" s="14">
        <f t="shared" si="68"/>
        <v>5.8295049841765255E-8</v>
      </c>
      <c r="Z160" s="14">
        <f t="shared" si="68"/>
        <v>4.6756067408265933E-8</v>
      </c>
      <c r="AA160" s="14">
        <f t="shared" si="50"/>
        <v>1.0505111725003119E-7</v>
      </c>
    </row>
    <row r="161" spans="3:27" ht="12.75" customHeight="1">
      <c r="C161" s="393" t="s">
        <v>397</v>
      </c>
      <c r="D161" s="5">
        <v>0</v>
      </c>
      <c r="E161" s="5">
        <v>0</v>
      </c>
      <c r="J161" s="393" t="s">
        <v>394</v>
      </c>
      <c r="L161" s="10">
        <f t="shared" ref="L161:N171" si="69">L99+L132</f>
        <v>3.047510386075351E-2</v>
      </c>
      <c r="M161" s="10">
        <f t="shared" si="69"/>
        <v>3.4999137623052554E-2</v>
      </c>
      <c r="N161" s="10">
        <f t="shared" si="69"/>
        <v>4.5262919673504626E-2</v>
      </c>
      <c r="O161" s="10">
        <f t="shared" ref="O161:O171" si="70">N161+M161+L161</f>
        <v>0.11073716115731069</v>
      </c>
      <c r="P161" s="14">
        <f t="shared" ref="P161:R171" si="71">P99+P132</f>
        <v>2.7022789075028197E-3</v>
      </c>
      <c r="Q161" s="14">
        <f t="shared" si="71"/>
        <v>2.0533268549553008E-3</v>
      </c>
      <c r="R161" s="14">
        <f t="shared" si="71"/>
        <v>2.2780715679270674E-3</v>
      </c>
      <c r="S161" s="14">
        <f t="shared" ref="S161:S171" si="72">R161+Q161+P161</f>
        <v>7.0336773303851883E-3</v>
      </c>
      <c r="T161" s="14">
        <f t="shared" ref="T161:V171" si="73">T99+T132</f>
        <v>1.0563793794207564E-2</v>
      </c>
      <c r="U161" s="14">
        <f t="shared" si="73"/>
        <v>6.4878279052691338E-3</v>
      </c>
      <c r="V161" s="14">
        <f t="shared" si="73"/>
        <v>8.1692247083179764E-3</v>
      </c>
      <c r="W161" s="14">
        <f t="shared" ref="W161:W171" si="74">V161+U161+T161</f>
        <v>2.5220846407794675E-2</v>
      </c>
      <c r="X161" s="14">
        <f t="shared" ref="X161:Z161" si="75">X99+X132</f>
        <v>5.9595263942142807E-3</v>
      </c>
      <c r="Y161" s="14">
        <f t="shared" si="75"/>
        <v>3.7786267850128687E-3</v>
      </c>
      <c r="Z161" s="14">
        <f t="shared" si="75"/>
        <v>4.6068916012415063E-3</v>
      </c>
      <c r="AA161" s="14">
        <f t="shared" si="50"/>
        <v>1.4345044780468656E-2</v>
      </c>
    </row>
    <row r="162" spans="3:27" ht="12.75" customHeight="1">
      <c r="C162" s="393" t="s">
        <v>398</v>
      </c>
      <c r="D162" s="5">
        <f>H75</f>
        <v>0</v>
      </c>
      <c r="E162" s="5">
        <v>0</v>
      </c>
      <c r="J162" s="393" t="s">
        <v>395</v>
      </c>
      <c r="L162" s="10">
        <f t="shared" si="69"/>
        <v>0</v>
      </c>
      <c r="M162" s="10">
        <f t="shared" si="69"/>
        <v>3.9156312998186631E-3</v>
      </c>
      <c r="N162" s="10">
        <f t="shared" si="69"/>
        <v>6.0346444591828302E-3</v>
      </c>
      <c r="O162" s="10">
        <f t="shared" si="70"/>
        <v>9.9502757590014933E-3</v>
      </c>
      <c r="P162" s="14">
        <f t="shared" si="71"/>
        <v>0</v>
      </c>
      <c r="Q162" s="14">
        <f t="shared" si="71"/>
        <v>2.1624031973388076E-4</v>
      </c>
      <c r="R162" s="14">
        <f t="shared" si="71"/>
        <v>3.0373274355420342E-4</v>
      </c>
      <c r="S162" s="14">
        <f t="shared" si="72"/>
        <v>5.1997306328808415E-4</v>
      </c>
      <c r="T162" s="14">
        <f t="shared" si="73"/>
        <v>1.238865862683866E-3</v>
      </c>
      <c r="U162" s="14">
        <f t="shared" si="73"/>
        <v>7.4029544603950825E-4</v>
      </c>
      <c r="V162" s="14">
        <f t="shared" si="73"/>
        <v>1.0890671580315837E-3</v>
      </c>
      <c r="W162" s="14">
        <f t="shared" si="74"/>
        <v>3.0682284667549577E-3</v>
      </c>
      <c r="X162" s="14">
        <f t="shared" ref="X162:Z162" si="76">X100+X133</f>
        <v>0</v>
      </c>
      <c r="Y162" s="14">
        <f t="shared" si="76"/>
        <v>4.2697140297640632E-4</v>
      </c>
      <c r="Z162" s="14">
        <f t="shared" si="76"/>
        <v>6.1418509554760406E-4</v>
      </c>
      <c r="AA162" s="14">
        <f t="shared" si="50"/>
        <v>1.0411564985240104E-3</v>
      </c>
    </row>
    <row r="163" spans="3:27" ht="12.75" customHeight="1">
      <c r="C163" s="393" t="s">
        <v>399</v>
      </c>
      <c r="D163" s="5">
        <v>0</v>
      </c>
      <c r="E163" s="5">
        <v>0</v>
      </c>
      <c r="J163" s="393" t="s">
        <v>396</v>
      </c>
      <c r="L163" s="10">
        <f t="shared" si="69"/>
        <v>0</v>
      </c>
      <c r="M163" s="10">
        <f t="shared" si="69"/>
        <v>1.4659788698132618E-2</v>
      </c>
      <c r="N163" s="10">
        <f t="shared" si="69"/>
        <v>1.8386631815001431E-2</v>
      </c>
      <c r="O163" s="10">
        <f t="shared" si="70"/>
        <v>3.3046420513134049E-2</v>
      </c>
      <c r="P163" s="14">
        <f t="shared" si="71"/>
        <v>0</v>
      </c>
      <c r="Q163" s="14">
        <f t="shared" si="71"/>
        <v>8.9028197971124283E-4</v>
      </c>
      <c r="R163" s="14">
        <f t="shared" si="71"/>
        <v>9.2551343830750063E-4</v>
      </c>
      <c r="S163" s="14">
        <f t="shared" si="72"/>
        <v>1.8157954180187436E-3</v>
      </c>
      <c r="T163" s="14">
        <f t="shared" si="73"/>
        <v>3.7594741408387283E-4</v>
      </c>
      <c r="U163" s="14">
        <f t="shared" si="73"/>
        <v>3.2931311272867388E-3</v>
      </c>
      <c r="V163" s="14">
        <f t="shared" si="73"/>
        <v>3.3174408337181566E-3</v>
      </c>
      <c r="W163" s="14">
        <f t="shared" si="74"/>
        <v>6.9865193750887683E-3</v>
      </c>
      <c r="X163" s="14">
        <f t="shared" ref="X163:Z163" si="77">X101+X134</f>
        <v>0</v>
      </c>
      <c r="Y163" s="14">
        <f t="shared" si="77"/>
        <v>1.7635764537234225E-3</v>
      </c>
      <c r="Z163" s="14">
        <f t="shared" si="77"/>
        <v>1.8711045632608203E-3</v>
      </c>
      <c r="AA163" s="14">
        <f t="shared" si="50"/>
        <v>3.6346810169842429E-3</v>
      </c>
    </row>
    <row r="164" spans="3:27" ht="12.75" customHeight="1">
      <c r="C164" s="393" t="s">
        <v>400</v>
      </c>
      <c r="D164" s="5">
        <f>G72</f>
        <v>0</v>
      </c>
      <c r="E164" s="5">
        <f>(G18+G19)*0.5</f>
        <v>617867.85031857085</v>
      </c>
      <c r="J164" s="393" t="s">
        <v>397</v>
      </c>
      <c r="L164" s="10">
        <f t="shared" si="69"/>
        <v>0</v>
      </c>
      <c r="M164" s="10">
        <f t="shared" si="69"/>
        <v>2.9240567633108634E-2</v>
      </c>
      <c r="N164" s="10">
        <f t="shared" si="69"/>
        <v>2.55226841919459E-2</v>
      </c>
      <c r="O164" s="10">
        <f t="shared" si="70"/>
        <v>5.4763251825054537E-2</v>
      </c>
      <c r="P164" s="14">
        <f t="shared" si="71"/>
        <v>0</v>
      </c>
      <c r="Q164" s="14">
        <f t="shared" si="71"/>
        <v>1.6347035456954944E-3</v>
      </c>
      <c r="R164" s="14">
        <f t="shared" si="71"/>
        <v>1.284690652443765E-3</v>
      </c>
      <c r="S164" s="14">
        <f t="shared" si="72"/>
        <v>2.9193941981392594E-3</v>
      </c>
      <c r="T164" s="14">
        <f t="shared" si="73"/>
        <v>1.0508373161154359E-2</v>
      </c>
      <c r="U164" s="14">
        <f t="shared" si="73"/>
        <v>6.759731711748926E-3</v>
      </c>
      <c r="V164" s="14">
        <f t="shared" si="73"/>
        <v>4.6051999625174476E-3</v>
      </c>
      <c r="W164" s="14">
        <f t="shared" si="74"/>
        <v>2.1873304835420732E-2</v>
      </c>
      <c r="X164" s="14">
        <f t="shared" ref="X164:Z164" si="78">X102+X135</f>
        <v>0</v>
      </c>
      <c r="Y164" s="14">
        <f t="shared" si="78"/>
        <v>3.8715053484056497E-3</v>
      </c>
      <c r="Z164" s="14">
        <f t="shared" si="78"/>
        <v>2.5973651026156841E-3</v>
      </c>
      <c r="AA164" s="14">
        <f t="shared" si="50"/>
        <v>6.4688704510213338E-3</v>
      </c>
    </row>
    <row r="165" spans="3:27" ht="12.75" customHeight="1">
      <c r="C165" s="393" t="s">
        <v>401</v>
      </c>
      <c r="D165" s="5">
        <v>0</v>
      </c>
      <c r="E165" s="5">
        <f>G17*0.8</f>
        <v>278475.65084780654</v>
      </c>
      <c r="J165" s="393" t="s">
        <v>398</v>
      </c>
      <c r="L165" s="10">
        <f t="shared" si="69"/>
        <v>0</v>
      </c>
      <c r="M165" s="10">
        <f t="shared" si="69"/>
        <v>1.8780762754715612E-3</v>
      </c>
      <c r="N165" s="10">
        <f t="shared" si="69"/>
        <v>2.6636989899193344E-3</v>
      </c>
      <c r="O165" s="10">
        <f t="shared" si="70"/>
        <v>4.5417752653908955E-3</v>
      </c>
      <c r="P165" s="14">
        <f t="shared" si="71"/>
        <v>0</v>
      </c>
      <c r="Q165" s="14">
        <f t="shared" si="71"/>
        <v>1.1394347725584903E-4</v>
      </c>
      <c r="R165" s="14">
        <f t="shared" si="71"/>
        <v>1.3406465481622385E-4</v>
      </c>
      <c r="S165" s="14">
        <f t="shared" si="72"/>
        <v>2.4800813207207287E-4</v>
      </c>
      <c r="T165" s="14">
        <f t="shared" si="73"/>
        <v>5.3893605357907624E-4</v>
      </c>
      <c r="U165" s="14">
        <f t="shared" si="73"/>
        <v>3.5507209060398499E-4</v>
      </c>
      <c r="V165" s="14">
        <f t="shared" si="73"/>
        <v>4.8074227744966116E-4</v>
      </c>
      <c r="W165" s="14">
        <f t="shared" si="74"/>
        <v>1.3747504216327223E-3</v>
      </c>
      <c r="X165" s="14">
        <f t="shared" ref="X165:Z165" si="79">X103+X136</f>
        <v>0</v>
      </c>
      <c r="Y165" s="14">
        <f t="shared" si="79"/>
        <v>2.0905221731121654E-4</v>
      </c>
      <c r="Z165" s="14">
        <f t="shared" si="79"/>
        <v>2.7110962600873997E-4</v>
      </c>
      <c r="AA165" s="14">
        <f t="shared" si="50"/>
        <v>4.8016184331995651E-4</v>
      </c>
    </row>
    <row r="166" spans="3:27" ht="12.75" customHeight="1">
      <c r="C166" s="393" t="s">
        <v>402</v>
      </c>
      <c r="D166" s="5">
        <v>0</v>
      </c>
      <c r="E166" s="5">
        <f>(G18+G19)-E164</f>
        <v>617867.85031857085</v>
      </c>
      <c r="J166" s="393" t="s">
        <v>399</v>
      </c>
      <c r="L166" s="10">
        <f t="shared" si="69"/>
        <v>0</v>
      </c>
      <c r="M166" s="10">
        <f t="shared" si="69"/>
        <v>4.1212000217806668E-4</v>
      </c>
      <c r="N166" s="10">
        <f t="shared" si="69"/>
        <v>8.2511472138702613E-4</v>
      </c>
      <c r="O166" s="10">
        <f t="shared" si="70"/>
        <v>1.2372347235650929E-3</v>
      </c>
      <c r="P166" s="14">
        <f t="shared" si="71"/>
        <v>0</v>
      </c>
      <c r="Q166" s="14">
        <f t="shared" si="71"/>
        <v>2.4933636711039141E-5</v>
      </c>
      <c r="R166" s="14">
        <f t="shared" si="71"/>
        <v>4.1528332403106098E-5</v>
      </c>
      <c r="S166" s="14">
        <f t="shared" si="72"/>
        <v>6.6461969114145242E-5</v>
      </c>
      <c r="T166" s="14">
        <f t="shared" si="73"/>
        <v>1.4004435332894748E-4</v>
      </c>
      <c r="U166" s="14">
        <f t="shared" si="73"/>
        <v>7.8205808495604125E-5</v>
      </c>
      <c r="V166" s="14">
        <f t="shared" si="73"/>
        <v>1.4891476266880302E-4</v>
      </c>
      <c r="W166" s="14">
        <f t="shared" si="74"/>
        <v>3.671649244933546E-4</v>
      </c>
      <c r="X166" s="14">
        <f t="shared" ref="X166:Z166" si="80">X104+X137</f>
        <v>0</v>
      </c>
      <c r="Y166" s="14">
        <f t="shared" si="80"/>
        <v>4.5997847939599463E-5</v>
      </c>
      <c r="Z166" s="14">
        <f t="shared" si="80"/>
        <v>8.3979136961589981E-5</v>
      </c>
      <c r="AA166" s="14">
        <f t="shared" si="50"/>
        <v>1.2997698490118943E-4</v>
      </c>
    </row>
    <row r="167" spans="3:27" ht="12.75" customHeight="1">
      <c r="C167" s="393" t="s">
        <v>403</v>
      </c>
      <c r="D167" s="5">
        <f>G76+G74</f>
        <v>0</v>
      </c>
      <c r="E167" s="5">
        <f>(G17-E165)+G22</f>
        <v>118025.81295698052</v>
      </c>
      <c r="J167" s="393" t="s">
        <v>400</v>
      </c>
      <c r="L167" s="10">
        <f t="shared" si="69"/>
        <v>0</v>
      </c>
      <c r="M167" s="10">
        <f t="shared" si="69"/>
        <v>4.0208859726173477E-5</v>
      </c>
      <c r="N167" s="10">
        <f t="shared" si="69"/>
        <v>9.5077463637774086E-5</v>
      </c>
      <c r="O167" s="10">
        <f t="shared" si="70"/>
        <v>1.3528632336394758E-4</v>
      </c>
      <c r="P167" s="14">
        <f t="shared" si="71"/>
        <v>0</v>
      </c>
      <c r="Q167" s="14">
        <f t="shared" si="71"/>
        <v>2.2515835926725526E-6</v>
      </c>
      <c r="R167" s="14">
        <f t="shared" si="71"/>
        <v>4.785634627120858E-6</v>
      </c>
      <c r="S167" s="14">
        <f t="shared" si="72"/>
        <v>7.0372182197934101E-6</v>
      </c>
      <c r="T167" s="14">
        <f t="shared" si="73"/>
        <v>1.699154486139031E-5</v>
      </c>
      <c r="U167" s="14">
        <f t="shared" si="73"/>
        <v>7.1786558392196246E-6</v>
      </c>
      <c r="V167" s="14">
        <f t="shared" si="73"/>
        <v>1.7156243905731766E-5</v>
      </c>
      <c r="W167" s="14">
        <f t="shared" si="74"/>
        <v>4.1326444606341696E-5</v>
      </c>
      <c r="X167" s="14">
        <f t="shared" ref="X167:Z167" si="81">X105+X138</f>
        <v>0</v>
      </c>
      <c r="Y167" s="14">
        <f t="shared" si="81"/>
        <v>4.2385578572186746E-6</v>
      </c>
      <c r="Z167" s="14">
        <f t="shared" si="81"/>
        <v>9.6759881452224646E-6</v>
      </c>
      <c r="AA167" s="14">
        <f t="shared" si="50"/>
        <v>1.3914546002441138E-5</v>
      </c>
    </row>
    <row r="168" spans="3:27" ht="12.75" customHeight="1">
      <c r="C168" s="393" t="s">
        <v>404</v>
      </c>
      <c r="D168" s="5">
        <v>0</v>
      </c>
      <c r="E168" s="5">
        <f>J8</f>
        <v>0</v>
      </c>
      <c r="J168" s="393" t="s">
        <v>401</v>
      </c>
      <c r="L168" s="10">
        <f t="shared" si="69"/>
        <v>0</v>
      </c>
      <c r="M168" s="10">
        <f t="shared" si="69"/>
        <v>1.0457452421316195E-5</v>
      </c>
      <c r="N168" s="10">
        <f t="shared" si="69"/>
        <v>2.1040559633270144E-5</v>
      </c>
      <c r="O168" s="10">
        <f t="shared" si="70"/>
        <v>3.1498012054586335E-5</v>
      </c>
      <c r="P168" s="14">
        <f t="shared" si="71"/>
        <v>0</v>
      </c>
      <c r="Q168" s="14">
        <f t="shared" si="71"/>
        <v>6.2219558434504546E-7</v>
      </c>
      <c r="R168" s="14">
        <f t="shared" si="71"/>
        <v>1.0590519690868631E-6</v>
      </c>
      <c r="S168" s="14">
        <f t="shared" si="72"/>
        <v>1.6812475534319086E-6</v>
      </c>
      <c r="T168" s="14">
        <f t="shared" si="73"/>
        <v>3.4033420177609845E-6</v>
      </c>
      <c r="U168" s="14">
        <f t="shared" si="73"/>
        <v>1.9842947400614177E-6</v>
      </c>
      <c r="V168" s="14">
        <f t="shared" si="73"/>
        <v>3.7967002881737991E-6</v>
      </c>
      <c r="W168" s="14">
        <f t="shared" si="74"/>
        <v>9.1843370459962021E-6</v>
      </c>
      <c r="X168" s="14">
        <f t="shared" ref="X168:Z168" si="82">X106+X139</f>
        <v>0</v>
      </c>
      <c r="Y168" s="14">
        <f t="shared" si="82"/>
        <v>1.1196552803971329E-6</v>
      </c>
      <c r="Z168" s="14">
        <f t="shared" si="82"/>
        <v>2.1412977140247674E-6</v>
      </c>
      <c r="AA168" s="14">
        <f t="shared" si="50"/>
        <v>3.2609529944219005E-6</v>
      </c>
    </row>
    <row r="169" spans="3:27">
      <c r="C169" s="3" t="s">
        <v>133</v>
      </c>
      <c r="D169" s="5">
        <f>SUM(D147:D168)</f>
        <v>11895.466666666667</v>
      </c>
      <c r="E169" s="5">
        <f>SUM(E147:E168)</f>
        <v>2048210.1678958395</v>
      </c>
      <c r="J169" s="393" t="s">
        <v>402</v>
      </c>
      <c r="L169" s="10">
        <f t="shared" si="69"/>
        <v>0</v>
      </c>
      <c r="M169" s="10">
        <f t="shared" si="69"/>
        <v>1.5113486210657841E-2</v>
      </c>
      <c r="N169" s="10">
        <f t="shared" si="69"/>
        <v>2.6239422767327214E-2</v>
      </c>
      <c r="O169" s="10">
        <f t="shared" si="70"/>
        <v>4.1352908977985055E-2</v>
      </c>
      <c r="P169" s="14">
        <f t="shared" si="71"/>
        <v>0</v>
      </c>
      <c r="Q169" s="14">
        <f t="shared" si="71"/>
        <v>8.4993110523926181E-4</v>
      </c>
      <c r="R169" s="14">
        <f t="shared" si="71"/>
        <v>1.3206853676622748E-3</v>
      </c>
      <c r="S169" s="14">
        <f t="shared" si="72"/>
        <v>2.1706164729015367E-3</v>
      </c>
      <c r="T169" s="14">
        <f t="shared" si="73"/>
        <v>4.8155555348774306E-3</v>
      </c>
      <c r="U169" s="14">
        <f t="shared" si="73"/>
        <v>2.8808531276295389E-3</v>
      </c>
      <c r="V169" s="14">
        <f t="shared" si="73"/>
        <v>4.7352176218890705E-3</v>
      </c>
      <c r="W169" s="14">
        <f t="shared" si="74"/>
        <v>1.2431626284396039E-2</v>
      </c>
      <c r="X169" s="14">
        <f t="shared" ref="X169:Z169" si="83">X107+X140</f>
        <v>0</v>
      </c>
      <c r="Y169" s="14">
        <f t="shared" si="83"/>
        <v>1.6151999286198437E-3</v>
      </c>
      <c r="Z169" s="14">
        <f t="shared" si="83"/>
        <v>2.6705000307550232E-3</v>
      </c>
      <c r="AA169" s="14">
        <f t="shared" si="50"/>
        <v>4.2856999593748665E-3</v>
      </c>
    </row>
    <row r="170" spans="3:27" ht="12.75" customHeight="1">
      <c r="J170" s="393" t="s">
        <v>403</v>
      </c>
      <c r="L170" s="10">
        <f t="shared" si="69"/>
        <v>0</v>
      </c>
      <c r="M170" s="10">
        <f t="shared" si="69"/>
        <v>7.1526088801294774E-5</v>
      </c>
      <c r="N170" s="10">
        <f t="shared" si="69"/>
        <v>9.084374398491056E-4</v>
      </c>
      <c r="O170" s="10">
        <f t="shared" si="70"/>
        <v>9.7996352865040029E-4</v>
      </c>
      <c r="P170" s="14">
        <f t="shared" si="71"/>
        <v>0</v>
      </c>
      <c r="Q170" s="14">
        <f t="shared" si="71"/>
        <v>4.1716071609112818E-6</v>
      </c>
      <c r="R170" s="14">
        <f t="shared" si="71"/>
        <v>4.5717087859201593E-5</v>
      </c>
      <c r="S170" s="14">
        <f t="shared" si="72"/>
        <v>4.9888695020112874E-5</v>
      </c>
      <c r="T170" s="14">
        <f t="shared" si="73"/>
        <v>1.4180458089983281E-4</v>
      </c>
      <c r="U170" s="14">
        <f t="shared" si="73"/>
        <v>1.5935715192361411E-5</v>
      </c>
      <c r="V170" s="14">
        <f t="shared" si="73"/>
        <v>1.6399529615568584E-4</v>
      </c>
      <c r="W170" s="14">
        <f t="shared" si="74"/>
        <v>3.2173559224788005E-4</v>
      </c>
      <c r="X170" s="14">
        <f t="shared" ref="X170:Z170" si="84">X108+X141</f>
        <v>0</v>
      </c>
      <c r="Y170" s="14">
        <f t="shared" si="84"/>
        <v>8.1556068612920846E-6</v>
      </c>
      <c r="Z170" s="14">
        <f t="shared" si="84"/>
        <v>9.2471618032266372E-5</v>
      </c>
      <c r="AA170" s="14">
        <f t="shared" si="50"/>
        <v>1.0062722489355846E-4</v>
      </c>
    </row>
    <row r="171" spans="3:27" ht="12.75" customHeight="1">
      <c r="J171" s="393" t="s">
        <v>404</v>
      </c>
      <c r="L171" s="10">
        <f t="shared" si="69"/>
        <v>0</v>
      </c>
      <c r="M171" s="10">
        <f t="shared" si="69"/>
        <v>1.4511637956362109E-6</v>
      </c>
      <c r="N171" s="10">
        <f t="shared" si="69"/>
        <v>1.9345560007823719E-6</v>
      </c>
      <c r="O171" s="10">
        <f t="shared" si="70"/>
        <v>3.3857197964185828E-6</v>
      </c>
      <c r="P171" s="14">
        <f t="shared" si="71"/>
        <v>0</v>
      </c>
      <c r="Q171" s="14">
        <f t="shared" si="71"/>
        <v>1.0294576314537511E-7</v>
      </c>
      <c r="R171" s="14">
        <f t="shared" si="71"/>
        <v>9.7361495093880092E-8</v>
      </c>
      <c r="S171" s="14">
        <f t="shared" si="72"/>
        <v>2.0030725823925521E-7</v>
      </c>
      <c r="T171" s="14">
        <f t="shared" si="73"/>
        <v>4.2404647668729706E-7</v>
      </c>
      <c r="U171" s="14">
        <f t="shared" si="73"/>
        <v>3.3319451905704366E-7</v>
      </c>
      <c r="V171" s="14">
        <f t="shared" si="73"/>
        <v>3.491916723900719E-7</v>
      </c>
      <c r="W171" s="14">
        <f t="shared" si="74"/>
        <v>1.1064326681344127E-6</v>
      </c>
      <c r="X171" s="14">
        <f t="shared" ref="X171:Z171" si="85">X109+X142</f>
        <v>0</v>
      </c>
      <c r="Y171" s="14">
        <f t="shared" si="85"/>
        <v>1.7837557446498818E-7</v>
      </c>
      <c r="Z171" s="14">
        <f t="shared" si="85"/>
        <v>1.9691022191451327E-7</v>
      </c>
      <c r="AA171" s="14">
        <f t="shared" si="50"/>
        <v>3.7528579637950143E-7</v>
      </c>
    </row>
    <row r="172" spans="3:27" ht="12.75" customHeight="1">
      <c r="J172" s="3" t="s">
        <v>560</v>
      </c>
      <c r="L172" s="10">
        <f>L143</f>
        <v>0.29594071717289261</v>
      </c>
      <c r="M172" s="10"/>
      <c r="N172" s="10"/>
      <c r="O172" s="10">
        <f t="shared" si="46"/>
        <v>0.29594071717289261</v>
      </c>
      <c r="P172" s="14">
        <f>P143</f>
        <v>1.950710812095114E-2</v>
      </c>
      <c r="Q172" s="14"/>
      <c r="R172" s="14"/>
      <c r="S172" s="14">
        <f t="shared" si="47"/>
        <v>1.950710812095114E-2</v>
      </c>
      <c r="T172" s="14"/>
      <c r="U172" s="14"/>
      <c r="V172" s="14"/>
      <c r="W172" s="14">
        <f t="shared" si="48"/>
        <v>0</v>
      </c>
      <c r="X172" s="14">
        <f>X143</f>
        <v>1.950710812095114E-2</v>
      </c>
      <c r="Y172" s="14"/>
      <c r="Z172" s="14"/>
      <c r="AA172" s="14">
        <f t="shared" si="50"/>
        <v>1.950710812095114E-2</v>
      </c>
    </row>
    <row r="173" spans="3:27" ht="12.75" customHeight="1">
      <c r="J173" s="3" t="s">
        <v>133</v>
      </c>
      <c r="L173" s="10">
        <f>SUM(L150:L172)</f>
        <v>0.32641582103364614</v>
      </c>
      <c r="M173" s="10">
        <f t="shared" ref="M173:W173" si="86">SUM(M150:M172)</f>
        <v>0.10523812901072216</v>
      </c>
      <c r="N173" s="10">
        <f t="shared" si="86"/>
        <v>0.13060843730404842</v>
      </c>
      <c r="O173" s="10">
        <f t="shared" si="46"/>
        <v>0.56226238734841671</v>
      </c>
      <c r="P173" s="14">
        <f t="shared" si="86"/>
        <v>2.2209387028453959E-2</v>
      </c>
      <c r="Q173" s="14">
        <f t="shared" si="86"/>
        <v>6.0928049904202955E-3</v>
      </c>
      <c r="R173" s="14">
        <f t="shared" si="86"/>
        <v>6.5738261669416416E-3</v>
      </c>
      <c r="S173" s="14">
        <f t="shared" si="86"/>
        <v>3.4876018185815899E-2</v>
      </c>
      <c r="T173" s="14">
        <f t="shared" si="86"/>
        <v>2.9571461593959777E-2</v>
      </c>
      <c r="U173" s="14">
        <f t="shared" si="86"/>
        <v>2.1925555708023476E-2</v>
      </c>
      <c r="V173" s="14">
        <f t="shared" si="86"/>
        <v>2.356972168910753E-2</v>
      </c>
      <c r="W173" s="14">
        <f t="shared" si="86"/>
        <v>7.5066738991090787E-2</v>
      </c>
      <c r="X173" s="14">
        <f t="shared" ref="X173:AA173" si="87">SUM(X150:X172)</f>
        <v>2.5466634515165419E-2</v>
      </c>
      <c r="Y173" s="14">
        <f t="shared" si="87"/>
        <v>1.2333660072719244E-2</v>
      </c>
      <c r="Z173" s="14">
        <f t="shared" si="87"/>
        <v>1.329256052068167E-2</v>
      </c>
      <c r="AA173" s="14">
        <f t="shared" si="87"/>
        <v>5.1092855108566336E-2</v>
      </c>
    </row>
    <row r="174" spans="3:27" ht="12.75" customHeight="1">
      <c r="J174" s="111" t="s">
        <v>563</v>
      </c>
      <c r="K174" s="1">
        <f>P144</f>
        <v>2010</v>
      </c>
      <c r="L174" s="1" t="s">
        <v>539</v>
      </c>
      <c r="P174" s="14">
        <f t="shared" ref="P174:W174" si="88">P173*$G64</f>
        <v>1.8962374644893989E-2</v>
      </c>
      <c r="Q174" s="14">
        <f t="shared" si="88"/>
        <v>5.2020369008208486E-3</v>
      </c>
      <c r="R174" s="14">
        <f t="shared" si="88"/>
        <v>5.6127327813347734E-3</v>
      </c>
      <c r="S174" s="14">
        <f t="shared" si="88"/>
        <v>2.9777144327049615E-2</v>
      </c>
      <c r="T174" s="14">
        <f t="shared" si="88"/>
        <v>2.524811390892286E-2</v>
      </c>
      <c r="U174" s="14">
        <f t="shared" si="88"/>
        <v>1.8720039463510443E-2</v>
      </c>
      <c r="V174" s="14">
        <f t="shared" si="88"/>
        <v>2.012382837816001E-2</v>
      </c>
      <c r="W174" s="14">
        <f t="shared" si="88"/>
        <v>6.4091981750593316E-2</v>
      </c>
      <c r="X174" s="14">
        <f t="shared" ref="X174:AA174" si="89">X173*$G64</f>
        <v>2.1743412549048234E-2</v>
      </c>
      <c r="Y174" s="14">
        <f t="shared" si="89"/>
        <v>1.053047897008769E-2</v>
      </c>
      <c r="Z174" s="14">
        <f t="shared" si="89"/>
        <v>1.1349188172558009E-2</v>
      </c>
      <c r="AA174" s="14">
        <f t="shared" si="89"/>
        <v>4.362307969169394E-2</v>
      </c>
    </row>
    <row r="175" spans="3:27" ht="12.75" customHeight="1">
      <c r="L175" s="197"/>
      <c r="M175" s="10"/>
      <c r="N175" s="10"/>
      <c r="O175" s="10"/>
      <c r="P175" s="29"/>
      <c r="Q175" s="29"/>
      <c r="R175" s="29"/>
      <c r="S175" s="29"/>
      <c r="T175" s="29"/>
      <c r="U175" s="29"/>
      <c r="V175" s="29"/>
      <c r="W175" s="29"/>
      <c r="X175" s="29"/>
      <c r="Y175" s="29"/>
      <c r="Z175" s="29"/>
      <c r="AA175" s="29"/>
    </row>
    <row r="176" spans="3:27">
      <c r="C176" t="s">
        <v>528</v>
      </c>
    </row>
    <row r="177" spans="3:43">
      <c r="C177" t="s">
        <v>573</v>
      </c>
    </row>
    <row r="178" spans="3:43">
      <c r="C178" s="19" t="s">
        <v>574</v>
      </c>
      <c r="H178" s="19"/>
      <c r="M178" s="19"/>
    </row>
    <row r="179" spans="3:43">
      <c r="C179" t="s">
        <v>537</v>
      </c>
      <c r="D179" t="s">
        <v>575</v>
      </c>
      <c r="E179" t="s">
        <v>576</v>
      </c>
      <c r="F179" t="s">
        <v>577</v>
      </c>
    </row>
    <row r="180" spans="3:43">
      <c r="C180">
        <v>1</v>
      </c>
      <c r="D180" s="68">
        <f>IF(C180&lt;=DefaultData!D$48,-ISPMT(DefaultData!D$49,C180,DefaultData!D$48,DefaultData!D$30*DefaultData!D$47),0)</f>
        <v>188597.63453667701</v>
      </c>
      <c r="E180" s="68">
        <f>IF(C180&lt;=DefaultData!D$48,-PPMT(DefaultData!D$49,C180,DefaultData!D$48,DefaultData!D$47*DefaultData!D$30),0)</f>
        <v>131484.81169901564</v>
      </c>
      <c r="F180" s="68">
        <f t="shared" ref="F180:F211" si="90">E180+D180</f>
        <v>320082.44623569265</v>
      </c>
      <c r="I180" s="68"/>
      <c r="J180" s="68"/>
      <c r="K180" s="68"/>
      <c r="N180" s="68"/>
      <c r="O180" s="68"/>
      <c r="P180" s="68"/>
    </row>
    <row r="181" spans="3:43">
      <c r="C181">
        <v>2</v>
      </c>
      <c r="D181" s="68">
        <f>IF(C181&lt;=DefaultData!D$48,-ISPMT(DefaultData!D$49,C181,DefaultData!D$48,DefaultData!D$30*DefaultData!D$47),0)</f>
        <v>167642.34181037956</v>
      </c>
      <c r="E181" s="68">
        <f>IF(C181&lt;=DefaultData!D$48,-PPMT(DefaultData!D$49,C181,DefaultData!D$48,DefaultData!D$47*DefaultData!D$30),0)</f>
        <v>144633.2928689172</v>
      </c>
      <c r="F181" s="68">
        <f t="shared" si="90"/>
        <v>312275.63467929675</v>
      </c>
      <c r="I181" s="68"/>
      <c r="J181" s="68"/>
      <c r="K181" s="68"/>
      <c r="N181" s="68"/>
      <c r="O181" s="68"/>
      <c r="P181" s="68"/>
      <c r="AC181" s="10"/>
      <c r="AD181" s="10"/>
      <c r="AE181" s="10"/>
      <c r="AF181" s="10"/>
      <c r="AG181" s="10"/>
      <c r="AH181" s="10"/>
      <c r="AI181" s="10"/>
      <c r="AJ181" s="10"/>
      <c r="AK181" s="10"/>
      <c r="AL181" s="10"/>
      <c r="AM181" s="10"/>
      <c r="AN181" s="10"/>
      <c r="AO181" s="10"/>
      <c r="AP181" s="10"/>
      <c r="AQ181" s="10"/>
    </row>
    <row r="182" spans="3:43">
      <c r="C182">
        <v>3</v>
      </c>
      <c r="D182" s="68">
        <f>IF(C182&lt;=DefaultData!D$48,-ISPMT(DefaultData!D$49,C182,DefaultData!D$48,DefaultData!D$30*DefaultData!D$47),0)</f>
        <v>146687.0490840821</v>
      </c>
      <c r="E182" s="68">
        <f>IF(C182&lt;=DefaultData!D$48,-PPMT(DefaultData!D$49,C182,DefaultData!D$48,DefaultData!D$47*DefaultData!D$30),0)</f>
        <v>159096.62215580896</v>
      </c>
      <c r="F182" s="68">
        <f t="shared" si="90"/>
        <v>305783.67123989109</v>
      </c>
      <c r="I182" s="68"/>
      <c r="J182" s="68"/>
      <c r="K182" s="68"/>
      <c r="N182" s="68"/>
      <c r="O182" s="68"/>
      <c r="P182" s="68"/>
    </row>
    <row r="183" spans="3:43">
      <c r="C183">
        <v>4</v>
      </c>
      <c r="D183" s="68">
        <f>IF(C183&lt;=DefaultData!D$48,-ISPMT(DefaultData!D$49,C183,DefaultData!D$48,DefaultData!D$30*DefaultData!D$47),0)</f>
        <v>125731.75635778466</v>
      </c>
      <c r="E183" s="68">
        <f>IF(C183&lt;=DefaultData!D$48,-PPMT(DefaultData!D$49,C183,DefaultData!D$48,DefaultData!D$47*DefaultData!D$30),0)</f>
        <v>175006.28437138983</v>
      </c>
      <c r="F183" s="68">
        <f t="shared" si="90"/>
        <v>300738.04072917451</v>
      </c>
      <c r="I183" s="68"/>
      <c r="J183" s="68"/>
      <c r="K183" s="68"/>
      <c r="N183" s="68"/>
      <c r="O183" s="68"/>
      <c r="P183" s="68"/>
      <c r="AB183" s="10"/>
    </row>
    <row r="184" spans="3:43">
      <c r="C184">
        <v>5</v>
      </c>
      <c r="D184" s="68">
        <f>IF(C184&lt;=DefaultData!D$48,-ISPMT(DefaultData!D$49,C184,DefaultData!D$48,DefaultData!D$30*DefaultData!D$47),0)</f>
        <v>104776.46363148723</v>
      </c>
      <c r="E184" s="68">
        <f>IF(C184&lt;=DefaultData!D$48,-PPMT(DefaultData!D$49,C184,DefaultData!D$48,DefaultData!D$47*DefaultData!D$30),0)</f>
        <v>192506.91280852881</v>
      </c>
      <c r="F184" s="68">
        <f t="shared" si="90"/>
        <v>297283.37644001603</v>
      </c>
      <c r="I184" s="68"/>
      <c r="J184" s="68"/>
      <c r="K184" s="68"/>
      <c r="N184" s="68"/>
      <c r="O184" s="68"/>
      <c r="P184" s="68"/>
    </row>
    <row r="185" spans="3:43">
      <c r="C185">
        <v>6</v>
      </c>
      <c r="D185" s="68">
        <f>IF(C185&lt;=DefaultData!D$48,-ISPMT(DefaultData!D$49,C185,DefaultData!D$48,DefaultData!D$30*DefaultData!D$47),0)</f>
        <v>83821.170905189778</v>
      </c>
      <c r="E185" s="68">
        <f>IF(C185&lt;=DefaultData!D$48,-PPMT(DefaultData!D$49,C185,DefaultData!D$48,DefaultData!D$47*DefaultData!D$30),0)</f>
        <v>211757.6040893817</v>
      </c>
      <c r="F185" s="68">
        <f t="shared" si="90"/>
        <v>295578.77499457146</v>
      </c>
      <c r="I185" s="68"/>
      <c r="J185" s="68"/>
      <c r="K185" s="68"/>
      <c r="N185" s="68"/>
      <c r="O185" s="68"/>
      <c r="P185" s="68"/>
    </row>
    <row r="186" spans="3:43">
      <c r="C186">
        <v>7</v>
      </c>
      <c r="D186" s="68">
        <f>IF(C186&lt;=DefaultData!D$48,-ISPMT(DefaultData!D$49,C186,DefaultData!D$48,DefaultData!D$30*DefaultData!D$47),0)</f>
        <v>62865.87817889233</v>
      </c>
      <c r="E186" s="68">
        <f>IF(C186&lt;=DefaultData!D$48,-PPMT(DefaultData!D$49,C186,DefaultData!D$48,DefaultData!D$47*DefaultData!D$30),0)</f>
        <v>232933.36449831986</v>
      </c>
      <c r="F186" s="68">
        <f t="shared" si="90"/>
        <v>295799.24267721217</v>
      </c>
      <c r="I186" s="68"/>
      <c r="J186" s="68"/>
      <c r="K186" s="68"/>
      <c r="N186" s="68"/>
      <c r="O186" s="68"/>
      <c r="P186" s="68"/>
    </row>
    <row r="187" spans="3:43">
      <c r="C187">
        <v>8</v>
      </c>
      <c r="D187" s="68">
        <f>IF(C187&lt;=DefaultData!D$48,-ISPMT(DefaultData!D$49,C187,DefaultData!D$48,DefaultData!D$30*DefaultData!D$47),0)</f>
        <v>41910.585452594889</v>
      </c>
      <c r="E187" s="68">
        <f>IF(C187&lt;=DefaultData!D$48,-PPMT(DefaultData!D$49,C187,DefaultData!D$48,DefaultData!D$47*DefaultData!D$30),0)</f>
        <v>256226.70094815182</v>
      </c>
      <c r="F187" s="68">
        <f t="shared" si="90"/>
        <v>298137.28640074673</v>
      </c>
      <c r="I187" s="68"/>
      <c r="J187" s="68"/>
      <c r="K187" s="68"/>
      <c r="N187" s="68"/>
      <c r="O187" s="68"/>
      <c r="P187" s="68"/>
    </row>
    <row r="188" spans="3:43">
      <c r="C188">
        <v>9</v>
      </c>
      <c r="D188" s="68">
        <f>IF(C188&lt;=DefaultData!D$48,-ISPMT(DefaultData!D$49,C188,DefaultData!D$48,DefaultData!D$30*DefaultData!D$47),0)</f>
        <v>20955.292726297444</v>
      </c>
      <c r="E188" s="68">
        <f>IF(C188&lt;=DefaultData!D$48,-PPMT(DefaultData!D$49,C188,DefaultData!D$48,DefaultData!D$47*DefaultData!D$30),0)</f>
        <v>281849.37104296702</v>
      </c>
      <c r="F188" s="68">
        <f t="shared" si="90"/>
        <v>302804.66376926447</v>
      </c>
      <c r="I188" s="68"/>
      <c r="J188" s="68"/>
      <c r="K188" s="68"/>
      <c r="N188" s="68"/>
      <c r="O188" s="68"/>
      <c r="P188" s="68"/>
    </row>
    <row r="189" spans="3:43">
      <c r="C189">
        <v>10</v>
      </c>
      <c r="D189" s="68">
        <f>IF(C189&lt;=DefaultData!D$48,-ISPMT(DefaultData!D$49,C189,DefaultData!D$48,DefaultData!D$30*DefaultData!D$47),0)</f>
        <v>0</v>
      </c>
      <c r="E189" s="68">
        <f>IF(C189&lt;=DefaultData!D$48,-PPMT(DefaultData!D$49,C189,DefaultData!D$48,DefaultData!D$47*DefaultData!D$30),0)</f>
        <v>310034.30814726371</v>
      </c>
      <c r="F189" s="68">
        <f t="shared" si="90"/>
        <v>310034.30814726371</v>
      </c>
      <c r="I189" s="68"/>
      <c r="J189" s="68"/>
      <c r="K189" s="68"/>
      <c r="N189" s="68"/>
      <c r="O189" s="68"/>
      <c r="P189" s="68"/>
    </row>
    <row r="190" spans="3:43">
      <c r="C190">
        <v>11</v>
      </c>
      <c r="D190" s="68">
        <f>IF(C190&lt;=DefaultData!D$48,-ISPMT(DefaultData!D$49,C190,DefaultData!D$48,DefaultData!D$30*DefaultData!D$47),0)</f>
        <v>0</v>
      </c>
      <c r="E190" s="68">
        <f>IF(C190&lt;=DefaultData!D$48,-PPMT(DefaultData!D$49,C190,DefaultData!D$48,DefaultData!D$47*DefaultData!D$30),0)</f>
        <v>0</v>
      </c>
      <c r="F190" s="68">
        <f t="shared" si="90"/>
        <v>0</v>
      </c>
      <c r="I190" s="68"/>
      <c r="J190" s="68"/>
      <c r="K190" s="68"/>
      <c r="N190" s="68"/>
      <c r="O190" s="68"/>
      <c r="P190" s="68"/>
    </row>
    <row r="191" spans="3:43">
      <c r="C191">
        <v>12</v>
      </c>
      <c r="D191" s="68">
        <f>IF(C191&lt;=DefaultData!D$48,-ISPMT(DefaultData!D$49,C191,DefaultData!D$48,DefaultData!D$30*DefaultData!D$47),0)</f>
        <v>0</v>
      </c>
      <c r="E191" s="68">
        <f>IF(C191&lt;=DefaultData!D$48,-PPMT(DefaultData!D$49,C191,DefaultData!D$48,DefaultData!D$47*DefaultData!D$30),0)</f>
        <v>0</v>
      </c>
      <c r="F191" s="68">
        <f t="shared" si="90"/>
        <v>0</v>
      </c>
      <c r="I191" s="68"/>
      <c r="J191" s="68"/>
      <c r="K191" s="68"/>
      <c r="N191" s="68"/>
      <c r="O191" s="68"/>
      <c r="P191" s="68"/>
    </row>
    <row r="192" spans="3:43">
      <c r="C192">
        <v>13</v>
      </c>
      <c r="D192" s="68">
        <f>IF(C192&lt;=DefaultData!D$48,-ISPMT(DefaultData!D$49,C192,DefaultData!D$48,DefaultData!D$30*DefaultData!D$47),0)</f>
        <v>0</v>
      </c>
      <c r="E192" s="68">
        <f>IF(C192&lt;=DefaultData!D$48,-PPMT(DefaultData!D$49,C192,DefaultData!D$48,DefaultData!D$47*DefaultData!D$30),0)</f>
        <v>0</v>
      </c>
      <c r="F192" s="68">
        <f t="shared" si="90"/>
        <v>0</v>
      </c>
      <c r="I192" s="68"/>
      <c r="J192" s="68"/>
      <c r="K192" s="68"/>
      <c r="N192" s="68"/>
      <c r="O192" s="68"/>
      <c r="P192" s="68"/>
    </row>
    <row r="193" spans="3:16">
      <c r="C193">
        <v>14</v>
      </c>
      <c r="D193" s="68">
        <f>IF(C193&lt;=DefaultData!D$48,-ISPMT(DefaultData!D$49,C193,DefaultData!D$48,DefaultData!D$30*DefaultData!D$47),0)</f>
        <v>0</v>
      </c>
      <c r="E193" s="68">
        <f>IF(C193&lt;=DefaultData!D$48,-PPMT(DefaultData!D$49,C193,DefaultData!D$48,DefaultData!D$47*DefaultData!D$30),0)</f>
        <v>0</v>
      </c>
      <c r="F193" s="68">
        <f t="shared" si="90"/>
        <v>0</v>
      </c>
      <c r="I193" s="68"/>
      <c r="J193" s="68"/>
      <c r="K193" s="68"/>
      <c r="N193" s="68"/>
      <c r="O193" s="68"/>
      <c r="P193" s="68"/>
    </row>
    <row r="194" spans="3:16">
      <c r="C194">
        <v>15</v>
      </c>
      <c r="D194" s="68">
        <f>IF(C194&lt;=DefaultData!D$48,-ISPMT(DefaultData!D$49,C194,DefaultData!D$48,DefaultData!D$30*DefaultData!D$47),0)</f>
        <v>0</v>
      </c>
      <c r="E194" s="68">
        <f>IF(C194&lt;=DefaultData!D$48,-PPMT(DefaultData!D$49,C194,DefaultData!D$48,DefaultData!D$47*DefaultData!D$30),0)</f>
        <v>0</v>
      </c>
      <c r="F194" s="68">
        <f t="shared" si="90"/>
        <v>0</v>
      </c>
      <c r="I194" s="68"/>
      <c r="J194" s="68"/>
      <c r="K194" s="68"/>
      <c r="N194" s="68"/>
      <c r="O194" s="68"/>
      <c r="P194" s="68"/>
    </row>
    <row r="195" spans="3:16">
      <c r="C195">
        <v>16</v>
      </c>
      <c r="D195" s="68">
        <f>IF(C195&lt;=DefaultData!D$48,-ISPMT(DefaultData!D$49,C195,DefaultData!D$48,DefaultData!D$30*DefaultData!D$47),0)</f>
        <v>0</v>
      </c>
      <c r="E195" s="68">
        <f>IF(C195&lt;=DefaultData!D$48,-PPMT(DefaultData!D$49,C195,DefaultData!D$48,DefaultData!D$47*DefaultData!D$30),0)</f>
        <v>0</v>
      </c>
      <c r="F195" s="68">
        <f t="shared" si="90"/>
        <v>0</v>
      </c>
      <c r="I195" s="68"/>
      <c r="J195" s="68"/>
      <c r="K195" s="68"/>
      <c r="N195" s="68"/>
      <c r="O195" s="68"/>
      <c r="P195" s="68"/>
    </row>
    <row r="196" spans="3:16">
      <c r="C196">
        <v>17</v>
      </c>
      <c r="D196" s="68">
        <f>IF(C196&lt;=DefaultData!D$48,-ISPMT(DefaultData!D$49,C196,DefaultData!D$48,DefaultData!D$30*DefaultData!D$47),0)</f>
        <v>0</v>
      </c>
      <c r="E196" s="68">
        <f>IF(C196&lt;=DefaultData!D$48,-PPMT(DefaultData!D$49,C196,DefaultData!D$48,DefaultData!D$47*DefaultData!D$30),0)</f>
        <v>0</v>
      </c>
      <c r="F196" s="68">
        <f t="shared" si="90"/>
        <v>0</v>
      </c>
      <c r="I196" s="68"/>
      <c r="J196" s="68"/>
      <c r="K196" s="68"/>
      <c r="N196" s="68"/>
      <c r="O196" s="68"/>
      <c r="P196" s="68"/>
    </row>
    <row r="197" spans="3:16">
      <c r="C197">
        <v>18</v>
      </c>
      <c r="D197" s="68">
        <f>IF(C197&lt;=DefaultData!D$48,-ISPMT(DefaultData!D$49,C197,DefaultData!D$48,DefaultData!D$30*DefaultData!D$47),0)</f>
        <v>0</v>
      </c>
      <c r="E197" s="68">
        <f>IF(C197&lt;=DefaultData!D$48,-PPMT(DefaultData!D$49,C197,DefaultData!D$48,DefaultData!D$47*DefaultData!D$30),0)</f>
        <v>0</v>
      </c>
      <c r="F197" s="68">
        <f t="shared" si="90"/>
        <v>0</v>
      </c>
      <c r="I197" s="68"/>
      <c r="J197" s="68"/>
      <c r="K197" s="68"/>
      <c r="N197" s="68"/>
      <c r="O197" s="68"/>
      <c r="P197" s="68"/>
    </row>
    <row r="198" spans="3:16">
      <c r="C198">
        <v>19</v>
      </c>
      <c r="D198" s="68">
        <f>IF(C198&lt;=DefaultData!D$48,-ISPMT(DefaultData!D$49,C198,DefaultData!D$48,DefaultData!D$30*DefaultData!D$47),0)</f>
        <v>0</v>
      </c>
      <c r="E198" s="68">
        <f>IF(C198&lt;=DefaultData!D$48,-PPMT(DefaultData!D$49,C198,DefaultData!D$48,DefaultData!D$47*DefaultData!D$30),0)</f>
        <v>0</v>
      </c>
      <c r="F198" s="68">
        <f t="shared" si="90"/>
        <v>0</v>
      </c>
      <c r="I198" s="68"/>
      <c r="J198" s="68"/>
      <c r="K198" s="68"/>
      <c r="N198" s="68"/>
      <c r="O198" s="68"/>
      <c r="P198" s="68"/>
    </row>
    <row r="199" spans="3:16">
      <c r="C199">
        <v>20</v>
      </c>
      <c r="D199" s="68">
        <f>IF(C199&lt;=DefaultData!D$48,-ISPMT(DefaultData!D$49,C199,DefaultData!D$48,DefaultData!D$30*DefaultData!D$47),0)</f>
        <v>0</v>
      </c>
      <c r="E199" s="68">
        <f>IF(C199&lt;=DefaultData!D$48,-PPMT(DefaultData!D$49,C199,DefaultData!D$48,DefaultData!D$47*DefaultData!D$30),0)</f>
        <v>0</v>
      </c>
      <c r="F199" s="68">
        <f t="shared" si="90"/>
        <v>0</v>
      </c>
      <c r="I199" s="68"/>
      <c r="J199" s="68"/>
      <c r="K199" s="68"/>
      <c r="N199" s="68"/>
      <c r="O199" s="68"/>
      <c r="P199" s="68"/>
    </row>
    <row r="200" spans="3:16">
      <c r="C200">
        <v>21</v>
      </c>
      <c r="D200" s="68">
        <f>IF(C200&lt;=DefaultData!D$48,-ISPMT(DefaultData!D$49,C200,DefaultData!D$48,DefaultData!D$30*DefaultData!D$47),0)</f>
        <v>0</v>
      </c>
      <c r="E200" s="68">
        <f>IF(C200&lt;=DefaultData!D$48,-PPMT(DefaultData!D$49,C200,DefaultData!D$48,DefaultData!D$47*DefaultData!D$30),0)</f>
        <v>0</v>
      </c>
      <c r="F200" s="68">
        <f t="shared" si="90"/>
        <v>0</v>
      </c>
      <c r="I200" s="68"/>
      <c r="J200" s="68"/>
      <c r="K200" s="68"/>
      <c r="N200" s="68"/>
      <c r="O200" s="68"/>
      <c r="P200" s="68"/>
    </row>
    <row r="201" spans="3:16">
      <c r="C201">
        <v>22</v>
      </c>
      <c r="D201" s="68">
        <f>IF(C201&lt;=DefaultData!D$48,-ISPMT(DefaultData!D$49,C201,DefaultData!D$48,DefaultData!D$30*DefaultData!D$47),0)</f>
        <v>0</v>
      </c>
      <c r="E201" s="68">
        <f>IF(C201&lt;=DefaultData!D$48,-PPMT(DefaultData!D$49,C201,DefaultData!D$48,DefaultData!D$47*DefaultData!D$30),0)</f>
        <v>0</v>
      </c>
      <c r="F201" s="68">
        <f t="shared" si="90"/>
        <v>0</v>
      </c>
      <c r="I201" s="68"/>
      <c r="J201" s="68"/>
      <c r="K201" s="68"/>
      <c r="N201" s="68"/>
      <c r="O201" s="68"/>
      <c r="P201" s="68"/>
    </row>
    <row r="202" spans="3:16">
      <c r="C202">
        <v>23</v>
      </c>
      <c r="D202" s="68">
        <f>IF(C202&lt;=DefaultData!D$48,-ISPMT(DefaultData!D$49,C202,DefaultData!D$48,DefaultData!D$30*DefaultData!D$47),0)</f>
        <v>0</v>
      </c>
      <c r="E202" s="68">
        <f>IF(C202&lt;=DefaultData!D$48,-PPMT(DefaultData!D$49,C202,DefaultData!D$48,DefaultData!D$47*DefaultData!D$30),0)</f>
        <v>0</v>
      </c>
      <c r="F202" s="68">
        <f t="shared" si="90"/>
        <v>0</v>
      </c>
      <c r="I202" s="68"/>
      <c r="J202" s="68"/>
      <c r="K202" s="68"/>
      <c r="N202" s="68"/>
      <c r="O202" s="68"/>
      <c r="P202" s="68"/>
    </row>
    <row r="203" spans="3:16">
      <c r="C203">
        <v>24</v>
      </c>
      <c r="D203" s="68">
        <f>IF(C203&lt;=DefaultData!D$48,-ISPMT(DefaultData!D$49,C203,DefaultData!D$48,DefaultData!D$30*DefaultData!D$47),0)</f>
        <v>0</v>
      </c>
      <c r="E203" s="68">
        <f>IF(C203&lt;=DefaultData!D$48,-PPMT(DefaultData!D$49,C203,DefaultData!D$48,DefaultData!D$47*DefaultData!D$30),0)</f>
        <v>0</v>
      </c>
      <c r="F203" s="68">
        <f t="shared" si="90"/>
        <v>0</v>
      </c>
      <c r="I203" s="68"/>
      <c r="J203" s="68"/>
      <c r="K203" s="68"/>
      <c r="N203" s="68"/>
      <c r="O203" s="68"/>
      <c r="P203" s="68"/>
    </row>
    <row r="204" spans="3:16">
      <c r="C204">
        <v>25</v>
      </c>
      <c r="D204" s="68">
        <f>IF(C204&lt;=DefaultData!D$48,-ISPMT(DefaultData!D$49,C204,DefaultData!D$48,DefaultData!D$30*DefaultData!D$47),0)</f>
        <v>0</v>
      </c>
      <c r="E204" s="68">
        <f>IF(C204&lt;=DefaultData!D$48,-PPMT(DefaultData!D$49,C204,DefaultData!D$48,DefaultData!D$47*DefaultData!D$30),0)</f>
        <v>0</v>
      </c>
      <c r="F204" s="68">
        <f t="shared" si="90"/>
        <v>0</v>
      </c>
      <c r="I204" s="68"/>
      <c r="J204" s="68"/>
      <c r="K204" s="68"/>
      <c r="N204" s="68"/>
      <c r="O204" s="68"/>
      <c r="P204" s="68"/>
    </row>
    <row r="205" spans="3:16">
      <c r="C205">
        <v>26</v>
      </c>
      <c r="D205" s="68">
        <f>IF(C205&lt;=DefaultData!D$48,-ISPMT(DefaultData!D$49,C205,DefaultData!D$48,DefaultData!D$30*DefaultData!D$47),0)</f>
        <v>0</v>
      </c>
      <c r="E205" s="68">
        <f>IF(C205&lt;=DefaultData!D$48,-PPMT(DefaultData!D$49,C205,DefaultData!D$48,DefaultData!D$47*DefaultData!D$30),0)</f>
        <v>0</v>
      </c>
      <c r="F205" s="68">
        <f t="shared" si="90"/>
        <v>0</v>
      </c>
      <c r="I205" s="68"/>
      <c r="J205" s="68"/>
      <c r="K205" s="68"/>
      <c r="N205" s="68"/>
      <c r="O205" s="68"/>
      <c r="P205" s="68"/>
    </row>
    <row r="206" spans="3:16">
      <c r="C206">
        <v>27</v>
      </c>
      <c r="D206" s="68">
        <f>IF(C206&lt;=DefaultData!D$48,-ISPMT(DefaultData!D$49,C206,DefaultData!D$48,DefaultData!D$30*DefaultData!D$47),0)</f>
        <v>0</v>
      </c>
      <c r="E206" s="68">
        <f>IF(C206&lt;=DefaultData!D$48,-PPMT(DefaultData!D$49,C206,DefaultData!D$48,DefaultData!D$47*DefaultData!D$30),0)</f>
        <v>0</v>
      </c>
      <c r="F206" s="68">
        <f t="shared" si="90"/>
        <v>0</v>
      </c>
      <c r="I206" s="68"/>
      <c r="J206" s="68"/>
      <c r="K206" s="68"/>
      <c r="N206" s="68"/>
      <c r="O206" s="68"/>
      <c r="P206" s="68"/>
    </row>
    <row r="207" spans="3:16">
      <c r="C207">
        <v>28</v>
      </c>
      <c r="D207" s="68">
        <f>IF(C207&lt;=DefaultData!D$48,-ISPMT(DefaultData!D$49,C207,DefaultData!D$48,DefaultData!D$30*DefaultData!D$47),0)</f>
        <v>0</v>
      </c>
      <c r="E207" s="68">
        <f>IF(C207&lt;=DefaultData!D$48,-PPMT(DefaultData!D$49,C207,DefaultData!D$48,DefaultData!D$47*DefaultData!D$30),0)</f>
        <v>0</v>
      </c>
      <c r="F207" s="68">
        <f t="shared" si="90"/>
        <v>0</v>
      </c>
      <c r="I207" s="68"/>
      <c r="J207" s="68"/>
      <c r="K207" s="68"/>
      <c r="N207" s="68"/>
      <c r="O207" s="68"/>
      <c r="P207" s="68"/>
    </row>
    <row r="208" spans="3:16">
      <c r="C208">
        <v>29</v>
      </c>
      <c r="D208" s="68">
        <f>IF(C208&lt;=DefaultData!D$48,-ISPMT(DefaultData!D$49,C208,DefaultData!D$48,DefaultData!D$30*DefaultData!D$47),0)</f>
        <v>0</v>
      </c>
      <c r="E208" s="68">
        <f>IF(C208&lt;=DefaultData!D$48,-PPMT(DefaultData!D$49,C208,DefaultData!D$48,DefaultData!D$47*DefaultData!D$30),0)</f>
        <v>0</v>
      </c>
      <c r="F208" s="68">
        <f t="shared" si="90"/>
        <v>0</v>
      </c>
      <c r="I208" s="68"/>
      <c r="J208" s="68"/>
      <c r="K208" s="68"/>
      <c r="N208" s="68"/>
      <c r="O208" s="68"/>
      <c r="P208" s="68"/>
    </row>
    <row r="209" spans="3:16">
      <c r="C209">
        <v>30</v>
      </c>
      <c r="D209" s="68">
        <f>IF(C209&lt;=DefaultData!D$48,-ISPMT(DefaultData!D$49,C209,DefaultData!D$48,DefaultData!D$30*DefaultData!D$47),0)</f>
        <v>0</v>
      </c>
      <c r="E209" s="68">
        <f>IF(C209&lt;=DefaultData!D$48,-PPMT(DefaultData!D$49,C209,DefaultData!D$48,DefaultData!D$47*DefaultData!D$30),0)</f>
        <v>0</v>
      </c>
      <c r="F209" s="68">
        <f t="shared" si="90"/>
        <v>0</v>
      </c>
      <c r="I209" s="68"/>
      <c r="J209" s="68"/>
      <c r="K209" s="68"/>
      <c r="N209" s="68"/>
      <c r="O209" s="68"/>
      <c r="P209" s="68"/>
    </row>
    <row r="210" spans="3:16">
      <c r="C210" t="s">
        <v>133</v>
      </c>
      <c r="D210" s="68">
        <f>SUM(D180:D209)</f>
        <v>942988.17268338497</v>
      </c>
      <c r="E210" s="68">
        <f>SUM(E180:E209)</f>
        <v>2095529.2726297444</v>
      </c>
      <c r="F210" s="68">
        <f t="shared" si="90"/>
        <v>3038517.4453131296</v>
      </c>
      <c r="I210" s="68"/>
      <c r="J210" s="68"/>
      <c r="K210" s="68"/>
      <c r="N210" s="68"/>
      <c r="O210" s="68"/>
      <c r="P210" s="68"/>
    </row>
    <row r="211" spans="3:16">
      <c r="C211" t="s">
        <v>578</v>
      </c>
      <c r="D211" s="68">
        <f>D210/DefaultData!$D48</f>
        <v>94298.817268338491</v>
      </c>
      <c r="E211" s="68">
        <f>E210/DefaultData!$D48</f>
        <v>209552.92726297444</v>
      </c>
      <c r="F211" s="68">
        <f t="shared" si="90"/>
        <v>303851.74453131296</v>
      </c>
      <c r="I211" s="68"/>
      <c r="J211" s="68"/>
      <c r="K211" s="68"/>
      <c r="N211" s="68"/>
      <c r="O211" s="68"/>
      <c r="P211" s="68"/>
    </row>
    <row r="213" spans="3:16">
      <c r="C213" s="19" t="s">
        <v>579</v>
      </c>
      <c r="H213" s="19"/>
      <c r="M213" s="19"/>
    </row>
    <row r="214" spans="3:16">
      <c r="C214" t="s">
        <v>580</v>
      </c>
      <c r="H214" s="19"/>
      <c r="M214" s="19"/>
    </row>
    <row r="215" spans="3:16">
      <c r="D215" t="s">
        <v>575</v>
      </c>
      <c r="E215" t="s">
        <v>576</v>
      </c>
      <c r="F215" t="s">
        <v>577</v>
      </c>
    </row>
    <row r="216" spans="3:16">
      <c r="C216">
        <v>1</v>
      </c>
      <c r="D216" s="68">
        <f>IF(C216&lt;=ProjectData!B$68,-ISPMT(ProjectData!B$69,C216,ProjectData!B$68,ProjectData!B$67*ProjectData!B$47),0)</f>
        <v>188597.63453667701</v>
      </c>
      <c r="E216" s="68">
        <f>IF(C216&lt;=ProjectData!B$68,-PPMT(ProjectData!B$69,C216,ProjectData!B$68,ProjectData!B$47*ProjectData!B$67),0)</f>
        <v>131484.81169901564</v>
      </c>
      <c r="F216" s="68">
        <f t="shared" ref="F216:F247" si="91">E216+D216</f>
        <v>320082.44623569265</v>
      </c>
      <c r="I216" s="68"/>
      <c r="J216" s="68"/>
      <c r="K216" s="68"/>
      <c r="N216" s="68"/>
      <c r="O216" s="68"/>
      <c r="P216" s="68"/>
    </row>
    <row r="217" spans="3:16">
      <c r="C217">
        <v>2</v>
      </c>
      <c r="D217" s="68">
        <f>IF(C217&lt;=ProjectData!B$68,-ISPMT(ProjectData!B$69,C217,ProjectData!B$68,ProjectData!B$67*ProjectData!B$47),0)</f>
        <v>167642.34181037956</v>
      </c>
      <c r="E217" s="68">
        <f>IF(C217&lt;=ProjectData!B$68,-PPMT(ProjectData!B$69,C217,ProjectData!B$68,ProjectData!B$47*ProjectData!B$67),0)</f>
        <v>144633.2928689172</v>
      </c>
      <c r="F217" s="68">
        <f t="shared" si="91"/>
        <v>312275.63467929675</v>
      </c>
      <c r="I217" s="68"/>
      <c r="J217" s="68"/>
      <c r="K217" s="68"/>
      <c r="N217" s="68"/>
      <c r="O217" s="68"/>
      <c r="P217" s="68"/>
    </row>
    <row r="218" spans="3:16">
      <c r="C218">
        <v>3</v>
      </c>
      <c r="D218" s="68">
        <f>IF(C218&lt;=ProjectData!B$68,-ISPMT(ProjectData!B$69,C218,ProjectData!B$68,ProjectData!B$67*ProjectData!B$47),0)</f>
        <v>146687.0490840821</v>
      </c>
      <c r="E218" s="68">
        <f>IF(C218&lt;=ProjectData!B$68,-PPMT(ProjectData!B$69,C218,ProjectData!B$68,ProjectData!B$47*ProjectData!B$67),0)</f>
        <v>159096.62215580896</v>
      </c>
      <c r="F218" s="68">
        <f t="shared" si="91"/>
        <v>305783.67123989109</v>
      </c>
      <c r="I218" s="68"/>
      <c r="J218" s="68"/>
      <c r="K218" s="68"/>
      <c r="N218" s="68"/>
      <c r="O218" s="68"/>
      <c r="P218" s="68"/>
    </row>
    <row r="219" spans="3:16">
      <c r="C219">
        <v>4</v>
      </c>
      <c r="D219" s="68">
        <f>IF(C219&lt;=ProjectData!B$68,-ISPMT(ProjectData!B$69,C219,ProjectData!B$68,ProjectData!B$67*ProjectData!B$47),0)</f>
        <v>125731.75635778466</v>
      </c>
      <c r="E219" s="68">
        <f>IF(C219&lt;=ProjectData!B$68,-PPMT(ProjectData!B$69,C219,ProjectData!B$68,ProjectData!B$47*ProjectData!B$67),0)</f>
        <v>175006.28437138983</v>
      </c>
      <c r="F219" s="68">
        <f t="shared" si="91"/>
        <v>300738.04072917451</v>
      </c>
      <c r="I219" s="68"/>
      <c r="J219" s="68"/>
      <c r="K219" s="68"/>
      <c r="N219" s="68"/>
      <c r="O219" s="68"/>
      <c r="P219" s="68"/>
    </row>
    <row r="220" spans="3:16">
      <c r="C220">
        <v>5</v>
      </c>
      <c r="D220" s="68">
        <f>IF(C220&lt;=ProjectData!B$68,-ISPMT(ProjectData!B$69,C220,ProjectData!B$68,ProjectData!B$67*ProjectData!B$47),0)</f>
        <v>104776.46363148723</v>
      </c>
      <c r="E220" s="68">
        <f>IF(C220&lt;=ProjectData!B$68,-PPMT(ProjectData!B$69,C220,ProjectData!B$68,ProjectData!B$47*ProjectData!B$67),0)</f>
        <v>192506.91280852881</v>
      </c>
      <c r="F220" s="68">
        <f t="shared" si="91"/>
        <v>297283.37644001603</v>
      </c>
      <c r="I220" s="68"/>
      <c r="J220" s="68"/>
      <c r="K220" s="68"/>
      <c r="N220" s="68"/>
      <c r="O220" s="68"/>
      <c r="P220" s="68"/>
    </row>
    <row r="221" spans="3:16">
      <c r="C221">
        <v>6</v>
      </c>
      <c r="D221" s="68">
        <f>IF(C221&lt;=ProjectData!B$68,-ISPMT(ProjectData!B$69,C221,ProjectData!B$68,ProjectData!B$67*ProjectData!B$47),0)</f>
        <v>83821.170905189778</v>
      </c>
      <c r="E221" s="68">
        <f>IF(C221&lt;=ProjectData!B$68,-PPMT(ProjectData!B$69,C221,ProjectData!B$68,ProjectData!B$47*ProjectData!B$67),0)</f>
        <v>211757.6040893817</v>
      </c>
      <c r="F221" s="68">
        <f t="shared" si="91"/>
        <v>295578.77499457146</v>
      </c>
      <c r="I221" s="68"/>
      <c r="J221" s="68"/>
      <c r="K221" s="68"/>
      <c r="N221" s="68"/>
      <c r="O221" s="68"/>
      <c r="P221" s="68"/>
    </row>
    <row r="222" spans="3:16">
      <c r="C222">
        <v>7</v>
      </c>
      <c r="D222" s="68">
        <f>IF(C222&lt;=ProjectData!B$68,-ISPMT(ProjectData!B$69,C222,ProjectData!B$68,ProjectData!B$67*ProjectData!B$47),0)</f>
        <v>62865.87817889233</v>
      </c>
      <c r="E222" s="68">
        <f>IF(C222&lt;=ProjectData!B$68,-PPMT(ProjectData!B$69,C222,ProjectData!B$68,ProjectData!B$47*ProjectData!B$67),0)</f>
        <v>232933.36449831986</v>
      </c>
      <c r="F222" s="68">
        <f t="shared" si="91"/>
        <v>295799.24267721217</v>
      </c>
      <c r="I222" s="68"/>
      <c r="J222" s="68"/>
      <c r="K222" s="68"/>
      <c r="N222" s="68"/>
      <c r="O222" s="68"/>
      <c r="P222" s="68"/>
    </row>
    <row r="223" spans="3:16">
      <c r="C223">
        <v>8</v>
      </c>
      <c r="D223" s="68">
        <f>IF(C223&lt;=ProjectData!B$68,-ISPMT(ProjectData!B$69,C223,ProjectData!B$68,ProjectData!B$67*ProjectData!B$47),0)</f>
        <v>41910.585452594889</v>
      </c>
      <c r="E223" s="68">
        <f>IF(C223&lt;=ProjectData!B$68,-PPMT(ProjectData!B$69,C223,ProjectData!B$68,ProjectData!B$47*ProjectData!B$67),0)</f>
        <v>256226.70094815182</v>
      </c>
      <c r="F223" s="68">
        <f t="shared" si="91"/>
        <v>298137.28640074673</v>
      </c>
      <c r="I223" s="68"/>
      <c r="J223" s="68"/>
      <c r="K223" s="68"/>
      <c r="N223" s="68"/>
      <c r="O223" s="68"/>
      <c r="P223" s="68"/>
    </row>
    <row r="224" spans="3:16">
      <c r="C224">
        <v>9</v>
      </c>
      <c r="D224" s="68">
        <f>IF(C224&lt;=ProjectData!B$68,-ISPMT(ProjectData!B$69,C224,ProjectData!B$68,ProjectData!B$67*ProjectData!B$47),0)</f>
        <v>20955.292726297444</v>
      </c>
      <c r="E224" s="68">
        <f>IF(C224&lt;=ProjectData!B$68,-PPMT(ProjectData!B$69,C224,ProjectData!B$68,ProjectData!B$47*ProjectData!B$67),0)</f>
        <v>281849.37104296702</v>
      </c>
      <c r="F224" s="68">
        <f t="shared" si="91"/>
        <v>302804.66376926447</v>
      </c>
      <c r="I224" s="68"/>
      <c r="J224" s="68"/>
      <c r="K224" s="68"/>
      <c r="N224" s="68"/>
      <c r="O224" s="68"/>
      <c r="P224" s="68"/>
    </row>
    <row r="225" spans="3:16">
      <c r="C225">
        <v>10</v>
      </c>
      <c r="D225" s="68">
        <f>IF(C225&lt;=ProjectData!B$68,-ISPMT(ProjectData!B$69,C225,ProjectData!B$68,ProjectData!B$67*ProjectData!B$47),0)</f>
        <v>0</v>
      </c>
      <c r="E225" s="68">
        <f>IF(C225&lt;=ProjectData!B$68,-PPMT(ProjectData!B$69,C225,ProjectData!B$68,ProjectData!B$47*ProjectData!B$67),0)</f>
        <v>310034.30814726371</v>
      </c>
      <c r="F225" s="68">
        <f t="shared" si="91"/>
        <v>310034.30814726371</v>
      </c>
      <c r="I225" s="68"/>
      <c r="J225" s="68"/>
      <c r="K225" s="68"/>
      <c r="N225" s="68"/>
      <c r="O225" s="68"/>
      <c r="P225" s="68"/>
    </row>
    <row r="226" spans="3:16">
      <c r="C226">
        <v>11</v>
      </c>
      <c r="D226" s="68">
        <f>IF(C226&lt;=ProjectData!B$68,-ISPMT(ProjectData!B$69,C226,ProjectData!B$68,ProjectData!B$67*ProjectData!B$47),0)</f>
        <v>0</v>
      </c>
      <c r="E226" s="68">
        <f>IF(C226&lt;=ProjectData!B$68,-PPMT(ProjectData!B$69,C226,ProjectData!B$68,ProjectData!B$47*ProjectData!B$67),0)</f>
        <v>0</v>
      </c>
      <c r="F226" s="68">
        <f t="shared" si="91"/>
        <v>0</v>
      </c>
      <c r="I226" s="68"/>
      <c r="J226" s="68"/>
      <c r="K226" s="68"/>
      <c r="N226" s="68"/>
      <c r="O226" s="68"/>
      <c r="P226" s="68"/>
    </row>
    <row r="227" spans="3:16">
      <c r="C227">
        <v>12</v>
      </c>
      <c r="D227" s="68">
        <f>IF(C227&lt;=ProjectData!B$68,-ISPMT(ProjectData!B$69,C227,ProjectData!B$68,ProjectData!B$67*ProjectData!B$47),0)</f>
        <v>0</v>
      </c>
      <c r="E227" s="68">
        <f>IF(C227&lt;=ProjectData!B$68,-PPMT(ProjectData!B$69,C227,ProjectData!B$68,ProjectData!B$47*ProjectData!B$67),0)</f>
        <v>0</v>
      </c>
      <c r="F227" s="68">
        <f t="shared" si="91"/>
        <v>0</v>
      </c>
      <c r="I227" s="68"/>
      <c r="J227" s="68"/>
      <c r="K227" s="68"/>
      <c r="N227" s="68"/>
      <c r="O227" s="68"/>
      <c r="P227" s="68"/>
    </row>
    <row r="228" spans="3:16">
      <c r="C228">
        <v>13</v>
      </c>
      <c r="D228" s="68">
        <f>IF(C228&lt;=ProjectData!B$68,-ISPMT(ProjectData!B$69,C228,ProjectData!B$68,ProjectData!B$67*ProjectData!B$47),0)</f>
        <v>0</v>
      </c>
      <c r="E228" s="68">
        <f>IF(C228&lt;=ProjectData!B$68,-PPMT(ProjectData!B$69,C228,ProjectData!B$68,ProjectData!B$47*ProjectData!B$67),0)</f>
        <v>0</v>
      </c>
      <c r="F228" s="68">
        <f t="shared" si="91"/>
        <v>0</v>
      </c>
      <c r="I228" s="68"/>
      <c r="J228" s="68"/>
      <c r="K228" s="68"/>
      <c r="N228" s="68"/>
      <c r="O228" s="68"/>
      <c r="P228" s="68"/>
    </row>
    <row r="229" spans="3:16">
      <c r="C229">
        <v>14</v>
      </c>
      <c r="D229" s="68">
        <f>IF(C229&lt;=ProjectData!B$68,-ISPMT(ProjectData!B$69,C229,ProjectData!B$68,ProjectData!B$67*ProjectData!B$47),0)</f>
        <v>0</v>
      </c>
      <c r="E229" s="68">
        <f>IF(C229&lt;=ProjectData!B$68,-PPMT(ProjectData!B$69,C229,ProjectData!B$68,ProjectData!B$47*ProjectData!B$67),0)</f>
        <v>0</v>
      </c>
      <c r="F229" s="68">
        <f t="shared" si="91"/>
        <v>0</v>
      </c>
      <c r="I229" s="68"/>
      <c r="J229" s="68"/>
      <c r="K229" s="68"/>
      <c r="N229" s="68"/>
      <c r="O229" s="68"/>
      <c r="P229" s="68"/>
    </row>
    <row r="230" spans="3:16">
      <c r="C230">
        <v>15</v>
      </c>
      <c r="D230" s="68">
        <f>IF(C230&lt;=ProjectData!B$68,-ISPMT(ProjectData!B$69,C230,ProjectData!B$68,ProjectData!B$67*ProjectData!B$47),0)</f>
        <v>0</v>
      </c>
      <c r="E230" s="68">
        <f>IF(C230&lt;=ProjectData!B$68,-PPMT(ProjectData!B$69,C230,ProjectData!B$68,ProjectData!B$47*ProjectData!B$67),0)</f>
        <v>0</v>
      </c>
      <c r="F230" s="68">
        <f t="shared" si="91"/>
        <v>0</v>
      </c>
      <c r="I230" s="68"/>
      <c r="J230" s="68"/>
      <c r="K230" s="68"/>
      <c r="N230" s="68"/>
      <c r="O230" s="68"/>
      <c r="P230" s="68"/>
    </row>
    <row r="231" spans="3:16">
      <c r="C231">
        <v>16</v>
      </c>
      <c r="D231" s="68">
        <f>IF(C231&lt;=ProjectData!B$68,-ISPMT(ProjectData!B$69,C231,ProjectData!B$68,ProjectData!B$67*ProjectData!B$47),0)</f>
        <v>0</v>
      </c>
      <c r="E231" s="68">
        <f>IF(C231&lt;=ProjectData!B$68,-PPMT(ProjectData!B$69,C231,ProjectData!B$68,ProjectData!B$47*ProjectData!B$67),0)</f>
        <v>0</v>
      </c>
      <c r="F231" s="68">
        <f t="shared" si="91"/>
        <v>0</v>
      </c>
      <c r="I231" s="68"/>
      <c r="J231" s="68"/>
      <c r="K231" s="68"/>
      <c r="N231" s="68"/>
      <c r="O231" s="68"/>
      <c r="P231" s="68"/>
    </row>
    <row r="232" spans="3:16">
      <c r="C232">
        <v>17</v>
      </c>
      <c r="D232" s="68">
        <f>IF(C232&lt;=ProjectData!B$68,-ISPMT(ProjectData!B$69,C232,ProjectData!B$68,ProjectData!B$67*ProjectData!B$47),0)</f>
        <v>0</v>
      </c>
      <c r="E232" s="68">
        <f>IF(C232&lt;=ProjectData!B$68,-PPMT(ProjectData!B$69,C232,ProjectData!B$68,ProjectData!B$47*ProjectData!B$67),0)</f>
        <v>0</v>
      </c>
      <c r="F232" s="68">
        <f t="shared" si="91"/>
        <v>0</v>
      </c>
      <c r="I232" s="68"/>
      <c r="J232" s="68"/>
      <c r="K232" s="68"/>
      <c r="N232" s="68"/>
      <c r="O232" s="68"/>
      <c r="P232" s="68"/>
    </row>
    <row r="233" spans="3:16">
      <c r="C233">
        <v>18</v>
      </c>
      <c r="D233" s="68">
        <f>IF(C233&lt;=ProjectData!B$68,-ISPMT(ProjectData!B$69,C233,ProjectData!B$68,ProjectData!B$67*ProjectData!B$47),0)</f>
        <v>0</v>
      </c>
      <c r="E233" s="68">
        <f>IF(C233&lt;=ProjectData!B$68,-PPMT(ProjectData!B$69,C233,ProjectData!B$68,ProjectData!B$47*ProjectData!B$67),0)</f>
        <v>0</v>
      </c>
      <c r="F233" s="68">
        <f t="shared" si="91"/>
        <v>0</v>
      </c>
      <c r="I233" s="68"/>
      <c r="J233" s="68"/>
      <c r="K233" s="68"/>
      <c r="N233" s="68"/>
      <c r="O233" s="68"/>
      <c r="P233" s="68"/>
    </row>
    <row r="234" spans="3:16">
      <c r="C234">
        <v>19</v>
      </c>
      <c r="D234" s="68">
        <f>IF(C234&lt;=ProjectData!B$68,-ISPMT(ProjectData!B$69,C234,ProjectData!B$68,ProjectData!B$67*ProjectData!B$47),0)</f>
        <v>0</v>
      </c>
      <c r="E234" s="68">
        <f>IF(C234&lt;=ProjectData!B$68,-PPMT(ProjectData!B$69,C234,ProjectData!B$68,ProjectData!B$47*ProjectData!B$67),0)</f>
        <v>0</v>
      </c>
      <c r="F234" s="68">
        <f t="shared" si="91"/>
        <v>0</v>
      </c>
      <c r="I234" s="68"/>
      <c r="J234" s="68"/>
      <c r="K234" s="68"/>
      <c r="N234" s="68"/>
      <c r="O234" s="68"/>
      <c r="P234" s="68"/>
    </row>
    <row r="235" spans="3:16">
      <c r="C235">
        <v>20</v>
      </c>
      <c r="D235" s="68">
        <f>IF(C235&lt;=ProjectData!B$68,-ISPMT(ProjectData!B$69,C235,ProjectData!B$68,ProjectData!B$67*ProjectData!B$47),0)</f>
        <v>0</v>
      </c>
      <c r="E235" s="68">
        <f>IF(C235&lt;=ProjectData!B$68,-PPMT(ProjectData!B$69,C235,ProjectData!B$68,ProjectData!B$47*ProjectData!B$67),0)</f>
        <v>0</v>
      </c>
      <c r="F235" s="68">
        <f t="shared" si="91"/>
        <v>0</v>
      </c>
      <c r="I235" s="68"/>
      <c r="J235" s="68"/>
      <c r="K235" s="68"/>
      <c r="N235" s="68"/>
      <c r="O235" s="68"/>
      <c r="P235" s="68"/>
    </row>
    <row r="236" spans="3:16">
      <c r="C236">
        <v>21</v>
      </c>
      <c r="D236" s="68">
        <f>IF(C236&lt;=ProjectData!B$68,-ISPMT(ProjectData!B$69,C236,ProjectData!B$68,ProjectData!B$67*ProjectData!B$47),0)</f>
        <v>0</v>
      </c>
      <c r="E236" s="68">
        <f>IF(C236&lt;=ProjectData!B$68,-PPMT(ProjectData!B$69,C236,ProjectData!B$68,ProjectData!B$47*ProjectData!B$67),0)</f>
        <v>0</v>
      </c>
      <c r="F236" s="68">
        <f t="shared" si="91"/>
        <v>0</v>
      </c>
      <c r="I236" s="68"/>
      <c r="J236" s="68"/>
      <c r="K236" s="68"/>
      <c r="N236" s="68"/>
      <c r="O236" s="68"/>
      <c r="P236" s="68"/>
    </row>
    <row r="237" spans="3:16">
      <c r="C237">
        <v>22</v>
      </c>
      <c r="D237" s="68">
        <f>IF(C237&lt;=ProjectData!B$68,-ISPMT(ProjectData!B$69,C237,ProjectData!B$68,ProjectData!B$67*ProjectData!B$47),0)</f>
        <v>0</v>
      </c>
      <c r="E237" s="68">
        <f>IF(C237&lt;=ProjectData!B$68,-PPMT(ProjectData!B$69,C237,ProjectData!B$68,ProjectData!B$47*ProjectData!B$67),0)</f>
        <v>0</v>
      </c>
      <c r="F237" s="68">
        <f t="shared" si="91"/>
        <v>0</v>
      </c>
      <c r="I237" s="68"/>
      <c r="J237" s="68"/>
      <c r="K237" s="68"/>
      <c r="N237" s="68"/>
      <c r="O237" s="68"/>
      <c r="P237" s="68"/>
    </row>
    <row r="238" spans="3:16">
      <c r="C238">
        <v>23</v>
      </c>
      <c r="D238" s="68">
        <f>IF(C238&lt;=ProjectData!B$68,-ISPMT(ProjectData!B$69,C238,ProjectData!B$68,ProjectData!B$67*ProjectData!B$47),0)</f>
        <v>0</v>
      </c>
      <c r="E238" s="68">
        <f>IF(C238&lt;=ProjectData!B$68,-PPMT(ProjectData!B$69,C238,ProjectData!B$68,ProjectData!B$47*ProjectData!B$67),0)</f>
        <v>0</v>
      </c>
      <c r="F238" s="68">
        <f t="shared" si="91"/>
        <v>0</v>
      </c>
      <c r="I238" s="68"/>
      <c r="J238" s="68"/>
      <c r="K238" s="68"/>
      <c r="N238" s="68"/>
      <c r="O238" s="68"/>
      <c r="P238" s="68"/>
    </row>
    <row r="239" spans="3:16">
      <c r="C239">
        <v>24</v>
      </c>
      <c r="D239" s="68">
        <f>IF(C239&lt;=ProjectData!B$68,-ISPMT(ProjectData!B$69,C239,ProjectData!B$68,ProjectData!B$67*ProjectData!B$47),0)</f>
        <v>0</v>
      </c>
      <c r="E239" s="68">
        <f>IF(C239&lt;=ProjectData!B$68,-PPMT(ProjectData!B$69,C239,ProjectData!B$68,ProjectData!B$47*ProjectData!B$67),0)</f>
        <v>0</v>
      </c>
      <c r="F239" s="68">
        <f t="shared" si="91"/>
        <v>0</v>
      </c>
      <c r="I239" s="68"/>
      <c r="J239" s="68"/>
      <c r="K239" s="68"/>
      <c r="N239" s="68"/>
      <c r="O239" s="68"/>
      <c r="P239" s="68"/>
    </row>
    <row r="240" spans="3:16">
      <c r="C240">
        <v>25</v>
      </c>
      <c r="D240" s="68">
        <f>IF(C240&lt;=ProjectData!B$68,-ISPMT(ProjectData!B$69,C240,ProjectData!B$68,ProjectData!B$67*ProjectData!B$47),0)</f>
        <v>0</v>
      </c>
      <c r="E240" s="68">
        <f>IF(C240&lt;=ProjectData!B$68,-PPMT(ProjectData!B$69,C240,ProjectData!B$68,ProjectData!B$47*ProjectData!B$67),0)</f>
        <v>0</v>
      </c>
      <c r="F240" s="68">
        <f t="shared" si="91"/>
        <v>0</v>
      </c>
      <c r="I240" s="68"/>
      <c r="J240" s="68"/>
      <c r="K240" s="68"/>
      <c r="N240" s="68"/>
      <c r="O240" s="68"/>
      <c r="P240" s="68"/>
    </row>
    <row r="241" spans="3:16">
      <c r="C241">
        <v>26</v>
      </c>
      <c r="D241" s="68">
        <f>IF(C241&lt;=ProjectData!B$68,-ISPMT(ProjectData!B$69,C241,ProjectData!B$68,ProjectData!B$67*ProjectData!B$47),0)</f>
        <v>0</v>
      </c>
      <c r="E241" s="68">
        <f>IF(C241&lt;=ProjectData!B$68,-PPMT(ProjectData!B$69,C241,ProjectData!B$68,ProjectData!B$47*ProjectData!B$67),0)</f>
        <v>0</v>
      </c>
      <c r="F241" s="68">
        <f t="shared" si="91"/>
        <v>0</v>
      </c>
      <c r="I241" s="68"/>
      <c r="J241" s="68"/>
      <c r="K241" s="68"/>
      <c r="N241" s="68"/>
      <c r="O241" s="68"/>
      <c r="P241" s="68"/>
    </row>
    <row r="242" spans="3:16">
      <c r="C242">
        <v>27</v>
      </c>
      <c r="D242" s="68">
        <f>IF(C242&lt;=ProjectData!B$68,-ISPMT(ProjectData!B$69,C242,ProjectData!B$68,ProjectData!B$67*ProjectData!B$47),0)</f>
        <v>0</v>
      </c>
      <c r="E242" s="68">
        <f>IF(C242&lt;=ProjectData!B$68,-PPMT(ProjectData!B$69,C242,ProjectData!B$68,ProjectData!B$47*ProjectData!B$67),0)</f>
        <v>0</v>
      </c>
      <c r="F242" s="68">
        <f t="shared" si="91"/>
        <v>0</v>
      </c>
      <c r="I242" s="68"/>
      <c r="J242" s="68"/>
      <c r="K242" s="68"/>
      <c r="N242" s="68"/>
      <c r="O242" s="68"/>
      <c r="P242" s="68"/>
    </row>
    <row r="243" spans="3:16">
      <c r="C243">
        <v>28</v>
      </c>
      <c r="D243" s="68">
        <f>IF(C243&lt;=ProjectData!B$68,-ISPMT(ProjectData!B$69,C243,ProjectData!B$68,ProjectData!B$67*ProjectData!B$47),0)</f>
        <v>0</v>
      </c>
      <c r="E243" s="68">
        <f>IF(C243&lt;=ProjectData!B$68,-PPMT(ProjectData!B$69,C243,ProjectData!B$68,ProjectData!B$47*ProjectData!B$67),0)</f>
        <v>0</v>
      </c>
      <c r="F243" s="68">
        <f t="shared" si="91"/>
        <v>0</v>
      </c>
      <c r="I243" s="68"/>
      <c r="J243" s="68"/>
      <c r="K243" s="68"/>
      <c r="N243" s="68"/>
      <c r="O243" s="68"/>
      <c r="P243" s="68"/>
    </row>
    <row r="244" spans="3:16">
      <c r="C244">
        <v>29</v>
      </c>
      <c r="D244" s="68">
        <f>IF(C244&lt;=ProjectData!B$68,-ISPMT(ProjectData!B$69,C244,ProjectData!B$68,ProjectData!B$67*ProjectData!B$47),0)</f>
        <v>0</v>
      </c>
      <c r="E244" s="68">
        <f>IF(C244&lt;=ProjectData!B$68,-PPMT(ProjectData!B$69,C244,ProjectData!B$68,ProjectData!B$47*ProjectData!B$67),0)</f>
        <v>0</v>
      </c>
      <c r="F244" s="68">
        <f t="shared" si="91"/>
        <v>0</v>
      </c>
      <c r="I244" s="68"/>
      <c r="J244" s="68"/>
      <c r="K244" s="68"/>
      <c r="N244" s="68"/>
      <c r="O244" s="68"/>
      <c r="P244" s="68"/>
    </row>
    <row r="245" spans="3:16">
      <c r="C245">
        <v>30</v>
      </c>
      <c r="D245" s="68">
        <f>IF(C245&lt;=ProjectData!B$68,-ISPMT(ProjectData!B$69,C245,ProjectData!B$68,ProjectData!B$67*ProjectData!B$47),0)</f>
        <v>0</v>
      </c>
      <c r="E245" s="68">
        <f>IF(C245&lt;=ProjectData!B$68,-PPMT(ProjectData!B$69,C245,ProjectData!B$68,ProjectData!B$47*ProjectData!B$67),0)</f>
        <v>0</v>
      </c>
      <c r="F245" s="68">
        <f t="shared" si="91"/>
        <v>0</v>
      </c>
      <c r="I245" s="68"/>
      <c r="J245" s="68"/>
      <c r="K245" s="68"/>
      <c r="N245" s="68"/>
      <c r="O245" s="68"/>
      <c r="P245" s="68"/>
    </row>
    <row r="246" spans="3:16">
      <c r="C246" t="s">
        <v>133</v>
      </c>
      <c r="D246" s="68">
        <f>SUM(D216:D245)</f>
        <v>942988.17268338497</v>
      </c>
      <c r="E246" s="68">
        <f>SUM(E216:E245)</f>
        <v>2095529.2726297444</v>
      </c>
      <c r="F246" s="68">
        <f t="shared" si="91"/>
        <v>3038517.4453131296</v>
      </c>
      <c r="I246" s="68"/>
      <c r="J246" s="68"/>
      <c r="K246" s="68"/>
      <c r="N246" s="68"/>
      <c r="O246" s="68"/>
      <c r="P246" s="68"/>
    </row>
    <row r="247" spans="3:16">
      <c r="C247" t="s">
        <v>578</v>
      </c>
      <c r="D247" s="68">
        <f>D246/ProjectData!B68</f>
        <v>94298.817268338491</v>
      </c>
      <c r="E247" s="68">
        <f>E246/ProjectData!B68</f>
        <v>209552.92726297444</v>
      </c>
      <c r="F247" s="68">
        <f t="shared" si="91"/>
        <v>303851.74453131296</v>
      </c>
      <c r="I247" s="68"/>
      <c r="J247" s="68"/>
      <c r="K247" s="68"/>
      <c r="N247" s="68"/>
      <c r="O247" s="68"/>
      <c r="P247" s="68"/>
    </row>
    <row r="249" spans="3:16">
      <c r="N249" s="84"/>
    </row>
  </sheetData>
  <sheetProtection password="DFD3" sheet="1" objects="1" scenarios="1"/>
  <customSheetViews>
    <customSheetView guid="{55B80D82-F000-11D6-8735-C8E5A357943D}" showRuler="0">
      <selection activeCell="E10" sqref="E10"/>
      <pageMargins left="0" right="0" top="0" bottom="0" header="0" footer="0"/>
      <pageSetup orientation="portrait" horizontalDpi="0" verticalDpi="0" copies="0" r:id="rId1"/>
      <headerFooter alignWithMargins="0"/>
    </customSheetView>
  </customSheetViews>
  <phoneticPr fontId="0" type="noConversion"/>
  <pageMargins left="0.75" right="0.75" top="0.25" bottom="0.25" header="0" footer="0.25"/>
  <pageSetup scale="69" orientation="portrait" horizontalDpi="360" verticalDpi="300" r:id="rId2"/>
  <headerFooter alignWithMargins="0">
    <oddFooter>&amp;L&amp;D&amp;CWind Power Plant Economic Impact Model</oddFooter>
  </headerFooter>
  <rowBreaks count="1" manualBreakCount="1">
    <brk id="79" max="16383" man="1"/>
  </rowBreaks>
  <colBreaks count="2" manualBreakCount="2">
    <brk id="24" max="1048575" man="1"/>
    <brk id="31" max="1048575" man="1"/>
  </colBreaks>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BO61"/>
  <sheetViews>
    <sheetView workbookViewId="0">
      <selection activeCell="H5" sqref="H5"/>
    </sheetView>
  </sheetViews>
  <sheetFormatPr defaultColWidth="8.88671875" defaultRowHeight="13.2"/>
  <cols>
    <col min="1" max="1" width="206.33203125" style="178" customWidth="1"/>
    <col min="2" max="2" width="43.88671875" style="178" customWidth="1"/>
    <col min="4" max="4" width="12.6640625" customWidth="1"/>
    <col min="5" max="5" width="10.88671875" customWidth="1"/>
    <col min="24" max="26" width="9.44140625" bestFit="1" customWidth="1"/>
    <col min="27" max="30" width="10.44140625" bestFit="1" customWidth="1"/>
    <col min="31" max="33" width="11.44140625" bestFit="1" customWidth="1"/>
    <col min="34" max="36" width="12.44140625" bestFit="1" customWidth="1"/>
    <col min="37" max="38" width="13.6640625" bestFit="1" customWidth="1"/>
  </cols>
  <sheetData>
    <row r="1" spans="1:67">
      <c r="A1" s="174"/>
      <c r="B1" s="174"/>
      <c r="H1" s="10"/>
    </row>
    <row r="2" spans="1:67">
      <c r="A2" s="174"/>
      <c r="B2" s="174"/>
      <c r="C2" s="13" t="str">
        <f>CONCATENATE("Conversion to Year ",E4," dollars and back for consistency with multiplier data.")</f>
        <v>Conversion to Year 2019 dollars and back for consistency with multiplier data.</v>
      </c>
      <c r="G2" s="10"/>
    </row>
    <row r="3" spans="1:67">
      <c r="A3" s="174"/>
      <c r="B3" s="174"/>
      <c r="C3" s="13"/>
      <c r="G3" s="10"/>
    </row>
    <row r="4" spans="1:67">
      <c r="A4" s="174"/>
      <c r="B4" s="174"/>
      <c r="C4" s="19" t="s">
        <v>581</v>
      </c>
      <c r="E4">
        <f>IF(ProjectData!B12="MYCOUNTY",'User Add-in Location'!D3,IF(ProjectData!B12="MYREGION",'User Add-in Location'!D4,Multipliers!D2))</f>
        <v>2019</v>
      </c>
      <c r="F4" s="117" t="str">
        <f>IF(E4=0,"ERROR","")</f>
        <v/>
      </c>
      <c r="G4" s="10" t="s">
        <v>582</v>
      </c>
      <c r="I4" s="1" t="str">
        <f>ProjectData!B12</f>
        <v>UNITED STATES</v>
      </c>
    </row>
    <row r="5" spans="1:67" ht="22.8">
      <c r="A5" s="175" t="s">
        <v>423</v>
      </c>
      <c r="B5" s="175"/>
      <c r="C5" s="19" t="s">
        <v>583</v>
      </c>
      <c r="E5">
        <f>+ProjectData!B24</f>
        <v>2010</v>
      </c>
    </row>
    <row r="6" spans="1:67">
      <c r="A6" s="174"/>
      <c r="B6" s="174"/>
      <c r="F6" s="400"/>
    </row>
    <row r="7" spans="1:67" ht="15.6">
      <c r="A7" s="176" t="s">
        <v>424</v>
      </c>
      <c r="B7" s="176"/>
      <c r="C7" s="178"/>
      <c r="D7" s="178" t="s">
        <v>584</v>
      </c>
      <c r="E7" s="401"/>
      <c r="F7" s="401">
        <f>HLOOKUP($E$5,$D$11:$AK$53,$D$51)</f>
        <v>1.1713</v>
      </c>
      <c r="G7" s="178"/>
      <c r="H7" s="178"/>
      <c r="I7" s="178"/>
      <c r="J7" s="178"/>
      <c r="K7" s="178"/>
      <c r="L7" s="178"/>
      <c r="M7" s="178"/>
      <c r="N7" s="178"/>
      <c r="O7" s="178"/>
      <c r="P7" s="178"/>
      <c r="Q7" s="178"/>
      <c r="R7" s="178"/>
      <c r="S7" s="178"/>
      <c r="T7" s="178"/>
      <c r="U7" s="178"/>
      <c r="V7" s="178"/>
      <c r="W7" s="178"/>
      <c r="X7" s="178"/>
      <c r="Y7" s="178"/>
      <c r="Z7" s="178"/>
      <c r="AA7" s="178"/>
      <c r="AB7" s="178"/>
      <c r="AC7" s="178"/>
      <c r="AD7" s="178"/>
      <c r="AE7" s="178"/>
      <c r="AF7" s="178"/>
      <c r="AG7" s="178"/>
      <c r="AH7" s="178"/>
      <c r="AI7" s="178"/>
      <c r="AJ7" s="178"/>
      <c r="AK7" s="178"/>
      <c r="AL7" s="178"/>
      <c r="AM7" s="178"/>
    </row>
    <row r="8" spans="1:67" ht="15">
      <c r="A8" s="177"/>
      <c r="B8" s="177"/>
      <c r="C8" s="178"/>
      <c r="D8" s="178" t="s">
        <v>585</v>
      </c>
      <c r="E8" s="401"/>
      <c r="F8" s="401">
        <f>HLOOKUP($E$5,$D$11:$AK$53,$D$52)</f>
        <v>0.8538</v>
      </c>
      <c r="G8" s="178"/>
      <c r="H8" s="178"/>
      <c r="I8" s="178"/>
      <c r="J8" s="178"/>
      <c r="K8" s="178"/>
      <c r="L8" s="178"/>
      <c r="M8" s="178"/>
      <c r="N8" s="178"/>
      <c r="O8" s="178"/>
      <c r="P8" s="178"/>
      <c r="Q8" s="178"/>
      <c r="R8" s="178"/>
      <c r="S8" s="178"/>
      <c r="T8" s="178"/>
      <c r="U8" s="178"/>
      <c r="V8" s="178"/>
      <c r="W8" s="178"/>
      <c r="X8" s="178"/>
      <c r="Y8" s="178"/>
      <c r="Z8" s="178"/>
      <c r="AA8" s="178"/>
      <c r="AB8" s="178"/>
      <c r="AC8" s="178"/>
      <c r="AD8" s="178"/>
      <c r="AE8" s="178"/>
      <c r="AF8" s="178"/>
      <c r="AG8" s="178"/>
      <c r="AH8" s="178"/>
      <c r="AI8" s="178"/>
      <c r="AJ8" s="178"/>
      <c r="AK8" s="178"/>
      <c r="AL8" s="178"/>
      <c r="AM8" s="178"/>
    </row>
    <row r="9" spans="1:67" ht="15.6">
      <c r="A9" s="176" t="s">
        <v>428</v>
      </c>
      <c r="B9" s="176"/>
      <c r="C9" s="178"/>
      <c r="D9" s="179"/>
      <c r="E9" s="179"/>
      <c r="F9" s="179"/>
      <c r="G9" s="178"/>
      <c r="H9" s="178"/>
      <c r="I9" s="178"/>
      <c r="J9" s="178"/>
      <c r="K9" s="178"/>
      <c r="L9" s="178"/>
      <c r="M9" s="178"/>
      <c r="N9" s="178"/>
      <c r="O9" s="178"/>
      <c r="P9" s="178"/>
      <c r="Q9" s="179"/>
      <c r="R9" s="179"/>
      <c r="S9" s="179"/>
      <c r="T9" s="179"/>
      <c r="U9" s="179"/>
      <c r="V9" s="179"/>
      <c r="W9" s="179"/>
      <c r="X9" s="179"/>
      <c r="Y9" s="179"/>
      <c r="Z9" s="179"/>
      <c r="AA9" s="179"/>
      <c r="AB9" s="179"/>
      <c r="AC9" s="179"/>
      <c r="AD9" s="179"/>
      <c r="AE9" s="179"/>
      <c r="AF9" s="179"/>
      <c r="AG9" s="179"/>
      <c r="AH9" s="179"/>
      <c r="AI9" s="179"/>
      <c r="AJ9" s="179"/>
      <c r="AK9" s="179"/>
      <c r="AL9" s="179"/>
      <c r="AM9" s="178"/>
    </row>
    <row r="10" spans="1:67" ht="15.6">
      <c r="A10" s="176"/>
      <c r="B10" s="176"/>
      <c r="C10" s="178"/>
      <c r="D10" s="180"/>
      <c r="E10" s="180"/>
      <c r="F10" s="180"/>
      <c r="G10" s="180"/>
      <c r="H10" s="180"/>
      <c r="I10" s="180"/>
      <c r="J10" s="180"/>
      <c r="K10" s="180"/>
      <c r="L10" s="180"/>
      <c r="M10" s="178"/>
      <c r="N10" s="178"/>
      <c r="O10" s="178"/>
      <c r="P10" s="178"/>
      <c r="Q10" s="178"/>
      <c r="R10" s="178"/>
      <c r="S10" s="178"/>
      <c r="T10" s="178"/>
      <c r="U10" s="178"/>
      <c r="V10" s="179"/>
      <c r="W10" s="178"/>
      <c r="X10" s="178"/>
      <c r="Y10" s="178"/>
      <c r="Z10" s="178"/>
      <c r="AA10" s="178"/>
      <c r="AB10" s="178"/>
      <c r="AC10" s="178"/>
      <c r="AD10" s="178"/>
      <c r="AE10" s="178"/>
      <c r="AF10" s="178"/>
      <c r="AG10" s="178"/>
      <c r="AH10" s="178"/>
      <c r="AI10" s="178"/>
      <c r="AJ10" s="178"/>
      <c r="AK10" s="178"/>
      <c r="AL10" s="178"/>
      <c r="AM10" s="178"/>
    </row>
    <row r="11" spans="1:67" ht="15.6">
      <c r="A11" s="227" t="s">
        <v>454</v>
      </c>
      <c r="B11" s="227"/>
      <c r="C11" s="283"/>
      <c r="D11" s="20">
        <v>2007</v>
      </c>
      <c r="E11" s="20">
        <v>2008</v>
      </c>
      <c r="F11" s="20">
        <v>2009</v>
      </c>
      <c r="G11" s="20">
        <v>2010</v>
      </c>
      <c r="H11" s="20">
        <v>2011</v>
      </c>
      <c r="I11" s="20">
        <v>2012</v>
      </c>
      <c r="J11" s="20">
        <v>2013</v>
      </c>
      <c r="K11" s="20">
        <v>2014</v>
      </c>
      <c r="L11" s="20">
        <v>2015</v>
      </c>
      <c r="M11" s="20">
        <v>2016</v>
      </c>
      <c r="N11" s="20">
        <v>2017</v>
      </c>
      <c r="O11" s="20">
        <v>2018</v>
      </c>
      <c r="P11" s="20">
        <v>2019</v>
      </c>
      <c r="Q11" s="20">
        <v>2020</v>
      </c>
      <c r="R11" s="20">
        <v>2021</v>
      </c>
      <c r="S11" s="20">
        <v>2022</v>
      </c>
      <c r="T11" s="20">
        <v>2023</v>
      </c>
      <c r="U11" s="20">
        <v>2024</v>
      </c>
      <c r="V11" s="20">
        <v>2025</v>
      </c>
      <c r="W11" s="20">
        <v>2026</v>
      </c>
      <c r="X11" s="20">
        <v>2027</v>
      </c>
      <c r="Y11" s="20">
        <v>2028</v>
      </c>
      <c r="Z11" s="20">
        <v>2029</v>
      </c>
      <c r="AA11" s="20">
        <v>2030</v>
      </c>
      <c r="AB11" s="20">
        <v>2031</v>
      </c>
      <c r="AC11" s="20">
        <v>2032</v>
      </c>
      <c r="AD11" s="20">
        <v>2033</v>
      </c>
      <c r="AE11" s="20">
        <v>2034</v>
      </c>
      <c r="AF11" s="20">
        <v>2035</v>
      </c>
      <c r="AG11" s="20">
        <v>2036</v>
      </c>
      <c r="AH11" s="20">
        <v>2037</v>
      </c>
      <c r="AI11" s="20">
        <v>2038</v>
      </c>
      <c r="AJ11" s="20">
        <v>2039</v>
      </c>
      <c r="AK11" s="20">
        <v>2040</v>
      </c>
      <c r="AL11" s="284"/>
      <c r="AM11" s="284"/>
      <c r="AN11" s="181"/>
      <c r="AO11" s="181"/>
      <c r="AP11" s="181"/>
      <c r="AQ11" s="181"/>
      <c r="AR11" s="181"/>
      <c r="AS11" s="181"/>
      <c r="AT11" s="181"/>
      <c r="AU11" s="181"/>
      <c r="AV11" s="181"/>
      <c r="AW11" s="181"/>
      <c r="AX11" s="181"/>
      <c r="AY11" s="181"/>
      <c r="AZ11" s="181"/>
      <c r="BA11" s="181"/>
      <c r="BB11" s="181"/>
      <c r="BC11" s="181"/>
      <c r="BD11" s="181"/>
      <c r="BE11" s="181"/>
      <c r="BF11" s="181"/>
      <c r="BG11" s="181"/>
      <c r="BH11" s="181"/>
      <c r="BI11" s="181"/>
      <c r="BJ11" s="181"/>
      <c r="BK11" s="181"/>
      <c r="BL11" s="181"/>
      <c r="BM11" s="181"/>
      <c r="BN11" s="181"/>
      <c r="BO11" s="181"/>
    </row>
    <row r="12" spans="1:67">
      <c r="A12" s="174"/>
      <c r="B12" s="174"/>
      <c r="C12" s="402" t="s">
        <v>586</v>
      </c>
      <c r="D12" s="334">
        <v>1</v>
      </c>
      <c r="E12" s="334">
        <v>1.0207999999999999</v>
      </c>
      <c r="F12" s="334">
        <v>1.0326</v>
      </c>
      <c r="G12" s="334">
        <v>1.0417000000000001</v>
      </c>
      <c r="H12" s="334">
        <v>1.0629</v>
      </c>
      <c r="I12" s="334">
        <v>1.0823</v>
      </c>
      <c r="J12" s="334">
        <v>1.1009</v>
      </c>
      <c r="K12" s="334">
        <v>1.1196999999999999</v>
      </c>
      <c r="L12" s="334">
        <v>1.1349</v>
      </c>
      <c r="M12" s="334">
        <v>1.1528</v>
      </c>
      <c r="N12" s="334">
        <v>1.1735</v>
      </c>
      <c r="O12" s="334">
        <v>1.1961999999999999</v>
      </c>
      <c r="P12" s="334">
        <v>1.2202</v>
      </c>
      <c r="Q12" s="334">
        <v>1.2445999999999999</v>
      </c>
      <c r="R12" s="334">
        <v>1.2665999999999999</v>
      </c>
      <c r="S12" s="335">
        <v>1.2890999999999999</v>
      </c>
      <c r="T12" s="335">
        <v>1.3119000000000001</v>
      </c>
      <c r="U12" s="335">
        <v>1.3351</v>
      </c>
      <c r="V12" s="335">
        <v>1.3587</v>
      </c>
      <c r="W12" s="335">
        <v>1.3827</v>
      </c>
      <c r="X12" s="335">
        <v>1.4072</v>
      </c>
      <c r="Y12" s="335">
        <v>1.4320999999999999</v>
      </c>
      <c r="Z12" s="335">
        <v>1.4574</v>
      </c>
      <c r="AA12" s="335">
        <v>1.4832000000000001</v>
      </c>
      <c r="AB12" s="335">
        <v>1.5094000000000001</v>
      </c>
      <c r="AC12" s="335">
        <v>1.5361</v>
      </c>
      <c r="AD12" s="335">
        <v>1.5632999999999999</v>
      </c>
      <c r="AE12" s="335">
        <v>1.5909</v>
      </c>
      <c r="AF12" s="335">
        <v>1.6191</v>
      </c>
      <c r="AG12" s="335">
        <v>1.6476999999999999</v>
      </c>
      <c r="AH12" s="335">
        <v>1.6768000000000001</v>
      </c>
      <c r="AI12" s="335">
        <v>1.7064999999999999</v>
      </c>
      <c r="AJ12" s="335">
        <v>1.7366999999999999</v>
      </c>
      <c r="AK12" s="335">
        <v>1.7674000000000001</v>
      </c>
      <c r="AL12" s="335"/>
      <c r="AM12" s="335"/>
    </row>
    <row r="13" spans="1:67">
      <c r="A13" s="174"/>
      <c r="B13" s="174"/>
      <c r="C13" s="402"/>
      <c r="D13" s="335">
        <v>1</v>
      </c>
      <c r="E13" s="335">
        <v>0.97970000000000002</v>
      </c>
      <c r="F13" s="335">
        <v>0.96840000000000004</v>
      </c>
      <c r="G13" s="335">
        <v>0.96</v>
      </c>
      <c r="H13" s="335">
        <v>0.94079999999999997</v>
      </c>
      <c r="I13" s="335">
        <v>0.92400000000000004</v>
      </c>
      <c r="J13" s="335">
        <v>0.90839999999999999</v>
      </c>
      <c r="K13" s="335">
        <v>0.8931</v>
      </c>
      <c r="L13" s="335">
        <v>0.88119999999999998</v>
      </c>
      <c r="M13" s="335">
        <v>0.86739999999999995</v>
      </c>
      <c r="N13" s="335">
        <v>0.85219999999999996</v>
      </c>
      <c r="O13" s="335">
        <v>0.83599999999999997</v>
      </c>
      <c r="P13" s="335">
        <v>0.8196</v>
      </c>
      <c r="Q13" s="335">
        <v>0.80349999999999999</v>
      </c>
      <c r="R13" s="335">
        <v>0.78949999999999998</v>
      </c>
      <c r="S13" s="335">
        <v>0.77580000000000005</v>
      </c>
      <c r="T13" s="335">
        <v>0.76229999999999998</v>
      </c>
      <c r="U13" s="335">
        <v>0.749</v>
      </c>
      <c r="V13" s="335">
        <v>0.73599999999999999</v>
      </c>
      <c r="W13" s="335">
        <v>0.72319999999999995</v>
      </c>
      <c r="X13" s="335">
        <v>0.71060000000000001</v>
      </c>
      <c r="Y13" s="335">
        <v>0.69830000000000003</v>
      </c>
      <c r="Z13" s="335">
        <v>0.68620000000000003</v>
      </c>
      <c r="AA13" s="335">
        <v>0.67420000000000002</v>
      </c>
      <c r="AB13" s="335">
        <v>0.66249999999999998</v>
      </c>
      <c r="AC13" s="335">
        <v>0.65100000000000002</v>
      </c>
      <c r="AD13" s="335">
        <v>0.63970000000000005</v>
      </c>
      <c r="AE13" s="335">
        <v>0.62860000000000005</v>
      </c>
      <c r="AF13" s="335">
        <v>0.61760000000000004</v>
      </c>
      <c r="AG13" s="335">
        <v>0.6069</v>
      </c>
      <c r="AH13" s="335">
        <v>0.59640000000000004</v>
      </c>
      <c r="AI13" s="335">
        <v>0.58599999999999997</v>
      </c>
      <c r="AJ13" s="335">
        <v>0.57579999999999998</v>
      </c>
      <c r="AK13" s="335">
        <v>0.56579999999999997</v>
      </c>
      <c r="AL13" s="335"/>
      <c r="AM13" s="335"/>
    </row>
    <row r="14" spans="1:67">
      <c r="A14" s="174"/>
      <c r="B14" s="174"/>
      <c r="C14" s="402" t="s">
        <v>587</v>
      </c>
      <c r="D14" s="334">
        <v>0.97970000000000002</v>
      </c>
      <c r="E14" s="334">
        <v>1</v>
      </c>
      <c r="F14" s="334">
        <v>1.0116000000000001</v>
      </c>
      <c r="G14" s="334">
        <v>1.0205</v>
      </c>
      <c r="H14" s="334">
        <v>1.0412999999999999</v>
      </c>
      <c r="I14" s="334">
        <v>1.0603</v>
      </c>
      <c r="J14" s="334">
        <v>1.0785</v>
      </c>
      <c r="K14" s="334">
        <v>1.0969</v>
      </c>
      <c r="L14" s="334">
        <v>1.1117999999999999</v>
      </c>
      <c r="M14" s="334">
        <v>1.1294</v>
      </c>
      <c r="N14" s="334">
        <v>1.1496</v>
      </c>
      <c r="O14" s="334">
        <v>1.1718999999999999</v>
      </c>
      <c r="P14" s="334">
        <v>1.1953</v>
      </c>
      <c r="Q14" s="334">
        <v>1.2193000000000001</v>
      </c>
      <c r="R14" s="334">
        <v>1.2408999999999999</v>
      </c>
      <c r="S14" s="335">
        <v>1.2627999999999999</v>
      </c>
      <c r="T14" s="335">
        <v>1.2851999999999999</v>
      </c>
      <c r="U14" s="335">
        <v>1.3079000000000001</v>
      </c>
      <c r="V14" s="335">
        <v>1.331</v>
      </c>
      <c r="W14" s="335">
        <v>1.3546</v>
      </c>
      <c r="X14" s="335">
        <v>1.3786</v>
      </c>
      <c r="Y14" s="335">
        <v>1.4029</v>
      </c>
      <c r="Z14" s="335">
        <v>1.4278</v>
      </c>
      <c r="AA14" s="335">
        <v>1.4530000000000001</v>
      </c>
      <c r="AB14" s="335">
        <v>1.4786999999999999</v>
      </c>
      <c r="AC14" s="335">
        <v>1.5048999999999999</v>
      </c>
      <c r="AD14" s="335">
        <v>1.5315000000000001</v>
      </c>
      <c r="AE14" s="335">
        <v>1.5586</v>
      </c>
      <c r="AF14" s="335">
        <v>1.5861000000000001</v>
      </c>
      <c r="AG14" s="335">
        <v>1.6142000000000001</v>
      </c>
      <c r="AH14" s="335">
        <v>1.6428</v>
      </c>
      <c r="AI14" s="335">
        <v>1.6718</v>
      </c>
      <c r="AJ14" s="335">
        <v>1.7014</v>
      </c>
      <c r="AK14" s="335">
        <v>1.7315</v>
      </c>
      <c r="AL14" s="335"/>
      <c r="AM14" s="335"/>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row>
    <row r="15" spans="1:67">
      <c r="A15" s="174"/>
      <c r="B15" s="174"/>
      <c r="C15" s="402"/>
      <c r="D15" s="335">
        <v>1.0207999999999999</v>
      </c>
      <c r="E15" s="335">
        <v>1</v>
      </c>
      <c r="F15" s="335">
        <v>0.98850000000000005</v>
      </c>
      <c r="G15" s="335">
        <v>0.97989999999999999</v>
      </c>
      <c r="H15" s="335">
        <v>0.96040000000000003</v>
      </c>
      <c r="I15" s="335">
        <v>0.94310000000000005</v>
      </c>
      <c r="J15" s="335">
        <v>0.92720000000000002</v>
      </c>
      <c r="K15" s="335">
        <v>0.91159999999999997</v>
      </c>
      <c r="L15" s="335">
        <v>0.89949999999999997</v>
      </c>
      <c r="M15" s="335">
        <v>0.88539999999999996</v>
      </c>
      <c r="N15" s="335">
        <v>0.86990000000000001</v>
      </c>
      <c r="O15" s="335">
        <v>0.85329999999999995</v>
      </c>
      <c r="P15" s="335">
        <v>0.83660000000000001</v>
      </c>
      <c r="Q15" s="335">
        <v>0.82010000000000005</v>
      </c>
      <c r="R15" s="335">
        <v>0.80589999999999995</v>
      </c>
      <c r="S15" s="335">
        <v>0.79190000000000005</v>
      </c>
      <c r="T15" s="335">
        <v>0.77810000000000001</v>
      </c>
      <c r="U15" s="335">
        <v>0.76459999999999995</v>
      </c>
      <c r="V15" s="335">
        <v>0.75129999999999997</v>
      </c>
      <c r="W15" s="335">
        <v>0.73819999999999997</v>
      </c>
      <c r="X15" s="335">
        <v>0.72540000000000004</v>
      </c>
      <c r="Y15" s="335">
        <v>0.71279999999999999</v>
      </c>
      <c r="Z15" s="335">
        <v>0.70040000000000002</v>
      </c>
      <c r="AA15" s="335">
        <v>0.68820000000000003</v>
      </c>
      <c r="AB15" s="335">
        <v>0.67630000000000001</v>
      </c>
      <c r="AC15" s="335">
        <v>0.66449999999999998</v>
      </c>
      <c r="AD15" s="335">
        <v>0.65300000000000002</v>
      </c>
      <c r="AE15" s="335">
        <v>0.64159999999999995</v>
      </c>
      <c r="AF15" s="335">
        <v>0.63049999999999995</v>
      </c>
      <c r="AG15" s="335">
        <v>0.61950000000000005</v>
      </c>
      <c r="AH15" s="335">
        <v>0.60870000000000002</v>
      </c>
      <c r="AI15" s="335">
        <v>0.59819999999999995</v>
      </c>
      <c r="AJ15" s="335">
        <v>0.58779999999999999</v>
      </c>
      <c r="AK15" s="335">
        <v>0.57750000000000001</v>
      </c>
      <c r="AL15" s="335"/>
      <c r="AM15" s="335"/>
    </row>
    <row r="16" spans="1:67">
      <c r="A16" s="174"/>
      <c r="B16" s="174"/>
      <c r="C16" s="402" t="s">
        <v>588</v>
      </c>
      <c r="D16" s="334">
        <v>0.96840000000000004</v>
      </c>
      <c r="E16" s="334">
        <v>0.98850000000000005</v>
      </c>
      <c r="F16" s="334">
        <v>1</v>
      </c>
      <c r="G16" s="334">
        <v>1.0087999999999999</v>
      </c>
      <c r="H16" s="334">
        <v>1.0293000000000001</v>
      </c>
      <c r="I16" s="334">
        <v>1.0481</v>
      </c>
      <c r="J16" s="334">
        <v>1.0661</v>
      </c>
      <c r="K16" s="334">
        <v>1.0843</v>
      </c>
      <c r="L16" s="334">
        <v>1.099</v>
      </c>
      <c r="M16" s="334">
        <v>1.1164000000000001</v>
      </c>
      <c r="N16" s="334">
        <v>1.1364000000000001</v>
      </c>
      <c r="O16" s="334">
        <v>1.1584000000000001</v>
      </c>
      <c r="P16" s="334">
        <v>1.1816</v>
      </c>
      <c r="Q16" s="334">
        <v>1.2053</v>
      </c>
      <c r="R16" s="334">
        <v>1.2265999999999999</v>
      </c>
      <c r="S16" s="335">
        <v>1.2483</v>
      </c>
      <c r="T16" s="335">
        <v>1.2704</v>
      </c>
      <c r="U16" s="335">
        <v>1.2928999999999999</v>
      </c>
      <c r="V16" s="335">
        <v>1.3157000000000001</v>
      </c>
      <c r="W16" s="335">
        <v>1.339</v>
      </c>
      <c r="X16" s="335">
        <v>1.3627</v>
      </c>
      <c r="Y16" s="335">
        <v>1.3868</v>
      </c>
      <c r="Z16" s="335">
        <v>1.4113</v>
      </c>
      <c r="AA16" s="335">
        <v>1.4362999999999999</v>
      </c>
      <c r="AB16" s="335">
        <v>1.4617</v>
      </c>
      <c r="AC16" s="335">
        <v>1.4876</v>
      </c>
      <c r="AD16" s="335">
        <v>1.5139</v>
      </c>
      <c r="AE16" s="335">
        <v>1.5407</v>
      </c>
      <c r="AF16" s="335">
        <v>1.5679000000000001</v>
      </c>
      <c r="AG16" s="335">
        <v>1.5955999999999999</v>
      </c>
      <c r="AH16" s="335">
        <v>1.6238999999999999</v>
      </c>
      <c r="AI16" s="335">
        <v>1.6526000000000001</v>
      </c>
      <c r="AJ16" s="335">
        <v>1.6818</v>
      </c>
      <c r="AK16" s="335">
        <v>1.7116</v>
      </c>
      <c r="AL16" s="335"/>
      <c r="AM16" s="335"/>
    </row>
    <row r="17" spans="1:67">
      <c r="A17" s="174"/>
      <c r="B17" s="174"/>
      <c r="C17" s="402"/>
      <c r="D17" s="335">
        <v>1.0326</v>
      </c>
      <c r="E17" s="335">
        <v>1.0116000000000001</v>
      </c>
      <c r="F17" s="335">
        <v>1</v>
      </c>
      <c r="G17" s="335">
        <v>0.99129999999999996</v>
      </c>
      <c r="H17" s="335">
        <v>0.97150000000000003</v>
      </c>
      <c r="I17" s="335">
        <v>0.95409999999999995</v>
      </c>
      <c r="J17" s="335">
        <v>0.93799999999999994</v>
      </c>
      <c r="K17" s="335">
        <v>0.92230000000000001</v>
      </c>
      <c r="L17" s="335">
        <v>0.90990000000000004</v>
      </c>
      <c r="M17" s="335">
        <v>0.89570000000000005</v>
      </c>
      <c r="N17" s="335">
        <v>0.88</v>
      </c>
      <c r="O17" s="335">
        <v>0.86329999999999996</v>
      </c>
      <c r="P17" s="335">
        <v>0.84630000000000005</v>
      </c>
      <c r="Q17" s="335">
        <v>0.82969999999999999</v>
      </c>
      <c r="R17" s="335">
        <v>0.81520000000000004</v>
      </c>
      <c r="S17" s="335">
        <v>0.80110000000000003</v>
      </c>
      <c r="T17" s="335">
        <v>0.78720000000000001</v>
      </c>
      <c r="U17" s="335">
        <v>0.77349999999999997</v>
      </c>
      <c r="V17" s="335">
        <v>0.76</v>
      </c>
      <c r="W17" s="335">
        <v>0.74680000000000002</v>
      </c>
      <c r="X17" s="335">
        <v>0.73380000000000001</v>
      </c>
      <c r="Y17" s="335">
        <v>0.72109999999999996</v>
      </c>
      <c r="Z17" s="335">
        <v>0.70850000000000002</v>
      </c>
      <c r="AA17" s="335">
        <v>0.69620000000000004</v>
      </c>
      <c r="AB17" s="335">
        <v>0.68410000000000004</v>
      </c>
      <c r="AC17" s="335">
        <v>0.67220000000000002</v>
      </c>
      <c r="AD17" s="335">
        <v>0.66059999999999997</v>
      </c>
      <c r="AE17" s="335">
        <v>0.64910000000000001</v>
      </c>
      <c r="AF17" s="335">
        <v>0.63780000000000003</v>
      </c>
      <c r="AG17" s="335">
        <v>0.62670000000000003</v>
      </c>
      <c r="AH17" s="335">
        <v>0.61580000000000001</v>
      </c>
      <c r="AI17" s="335">
        <v>0.60509999999999997</v>
      </c>
      <c r="AJ17" s="335">
        <v>0.59460000000000002</v>
      </c>
      <c r="AK17" s="335">
        <v>0.58430000000000004</v>
      </c>
      <c r="AL17" s="335"/>
      <c r="AM17" s="335"/>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row>
    <row r="18" spans="1:67" ht="15.6">
      <c r="A18" s="176" t="s">
        <v>473</v>
      </c>
      <c r="B18" s="176"/>
      <c r="C18" s="402" t="s">
        <v>589</v>
      </c>
      <c r="D18" s="334">
        <v>0.96</v>
      </c>
      <c r="E18" s="334">
        <v>0.97989999999999999</v>
      </c>
      <c r="F18" s="334">
        <v>0.99129999999999996</v>
      </c>
      <c r="G18" s="334">
        <v>1</v>
      </c>
      <c r="H18" s="334">
        <v>1.0203</v>
      </c>
      <c r="I18" s="334">
        <v>1.0389999999999999</v>
      </c>
      <c r="J18" s="334">
        <v>1.0568</v>
      </c>
      <c r="K18" s="334">
        <v>1.0748</v>
      </c>
      <c r="L18" s="334">
        <v>1.0893999999999999</v>
      </c>
      <c r="M18" s="334">
        <v>1.1067</v>
      </c>
      <c r="N18" s="334">
        <v>1.1265000000000001</v>
      </c>
      <c r="O18" s="334">
        <v>1.1483000000000001</v>
      </c>
      <c r="P18" s="334">
        <v>1.1713</v>
      </c>
      <c r="Q18" s="334">
        <v>1.1948000000000001</v>
      </c>
      <c r="R18" s="334">
        <v>1.2159</v>
      </c>
      <c r="S18" s="335">
        <v>1.2374000000000001</v>
      </c>
      <c r="T18" s="335">
        <v>1.2593000000000001</v>
      </c>
      <c r="U18" s="335">
        <v>1.2816000000000001</v>
      </c>
      <c r="V18" s="335">
        <v>1.3043</v>
      </c>
      <c r="W18" s="335">
        <v>1.3272999999999999</v>
      </c>
      <c r="X18" s="335">
        <v>1.3508</v>
      </c>
      <c r="Y18" s="335">
        <v>1.3747</v>
      </c>
      <c r="Z18" s="335">
        <v>1.399</v>
      </c>
      <c r="AA18" s="335">
        <v>1.4238</v>
      </c>
      <c r="AB18" s="335">
        <v>1.4490000000000001</v>
      </c>
      <c r="AC18" s="335">
        <v>1.4745999999999999</v>
      </c>
      <c r="AD18" s="335">
        <v>1.5006999999999999</v>
      </c>
      <c r="AE18" s="335">
        <v>1.5271999999999999</v>
      </c>
      <c r="AF18" s="335">
        <v>1.5542</v>
      </c>
      <c r="AG18" s="335">
        <v>1.5817000000000001</v>
      </c>
      <c r="AH18" s="335">
        <v>1.6096999999999999</v>
      </c>
      <c r="AI18" s="335">
        <v>1.6382000000000001</v>
      </c>
      <c r="AJ18" s="335">
        <v>1.6671</v>
      </c>
      <c r="AK18" s="335">
        <v>1.6966000000000001</v>
      </c>
      <c r="AL18" s="335"/>
      <c r="AM18" s="335"/>
    </row>
    <row r="19" spans="1:67">
      <c r="A19" s="174"/>
      <c r="B19" s="174"/>
      <c r="C19" s="402"/>
      <c r="D19" s="335">
        <v>1.0417000000000001</v>
      </c>
      <c r="E19" s="335">
        <v>1.0205</v>
      </c>
      <c r="F19" s="335">
        <v>1.0087999999999999</v>
      </c>
      <c r="G19" s="335">
        <v>1</v>
      </c>
      <c r="H19" s="335">
        <v>0.98009999999999997</v>
      </c>
      <c r="I19" s="335">
        <v>0.96250000000000002</v>
      </c>
      <c r="J19" s="335">
        <v>0.94630000000000003</v>
      </c>
      <c r="K19" s="335">
        <v>0.9304</v>
      </c>
      <c r="L19" s="335">
        <v>0.91790000000000005</v>
      </c>
      <c r="M19" s="335">
        <v>0.90359999999999996</v>
      </c>
      <c r="N19" s="335">
        <v>0.88770000000000004</v>
      </c>
      <c r="O19" s="335">
        <v>0.87090000000000001</v>
      </c>
      <c r="P19" s="335">
        <v>0.8538</v>
      </c>
      <c r="Q19" s="335">
        <v>0.83699999999999997</v>
      </c>
      <c r="R19" s="335">
        <v>0.82240000000000002</v>
      </c>
      <c r="S19" s="335">
        <v>0.80810000000000004</v>
      </c>
      <c r="T19" s="335">
        <v>0.79410000000000003</v>
      </c>
      <c r="U19" s="335">
        <v>0.78029999999999999</v>
      </c>
      <c r="V19" s="335">
        <v>0.76670000000000005</v>
      </c>
      <c r="W19" s="335">
        <v>0.75339999999999996</v>
      </c>
      <c r="X19" s="335">
        <v>0.74029999999999996</v>
      </c>
      <c r="Y19" s="335">
        <v>0.72740000000000005</v>
      </c>
      <c r="Z19" s="335">
        <v>0.71479999999999999</v>
      </c>
      <c r="AA19" s="335">
        <v>0.70240000000000002</v>
      </c>
      <c r="AB19" s="335">
        <v>0.69020000000000004</v>
      </c>
      <c r="AC19" s="335">
        <v>0.67820000000000003</v>
      </c>
      <c r="AD19" s="335">
        <v>0.66639999999999999</v>
      </c>
      <c r="AE19" s="335">
        <v>0.65480000000000005</v>
      </c>
      <c r="AF19" s="335">
        <v>0.64339999999999997</v>
      </c>
      <c r="AG19" s="335">
        <v>0.63219999999999998</v>
      </c>
      <c r="AH19" s="335">
        <v>0.62119999999999997</v>
      </c>
      <c r="AI19" s="335">
        <v>0.61040000000000005</v>
      </c>
      <c r="AJ19" s="335">
        <v>0.5998</v>
      </c>
      <c r="AK19" s="335">
        <v>0.58940000000000003</v>
      </c>
      <c r="AL19" s="335"/>
      <c r="AM19" s="335"/>
    </row>
    <row r="20" spans="1:67">
      <c r="A20" s="174"/>
      <c r="B20" s="174"/>
      <c r="C20" s="402" t="s">
        <v>590</v>
      </c>
      <c r="D20" s="334">
        <v>0.94079999999999997</v>
      </c>
      <c r="E20" s="334">
        <v>0.96040000000000003</v>
      </c>
      <c r="F20" s="334">
        <v>0.97150000000000003</v>
      </c>
      <c r="G20" s="334">
        <v>0.98009999999999997</v>
      </c>
      <c r="H20" s="334">
        <v>1</v>
      </c>
      <c r="I20" s="334">
        <v>1.0183</v>
      </c>
      <c r="J20" s="334">
        <v>1.0358000000000001</v>
      </c>
      <c r="K20" s="334">
        <v>1.0533999999999999</v>
      </c>
      <c r="L20" s="334">
        <v>1.0677000000000001</v>
      </c>
      <c r="M20" s="334">
        <v>1.0846</v>
      </c>
      <c r="N20" s="334">
        <v>1.1041000000000001</v>
      </c>
      <c r="O20" s="334">
        <v>1.1254</v>
      </c>
      <c r="P20" s="334">
        <v>1.1479999999999999</v>
      </c>
      <c r="Q20" s="334">
        <v>1.171</v>
      </c>
      <c r="R20" s="334">
        <v>1.1917</v>
      </c>
      <c r="S20" s="335">
        <v>1.2128000000000001</v>
      </c>
      <c r="T20" s="335">
        <v>1.2342</v>
      </c>
      <c r="U20" s="335">
        <v>1.2561</v>
      </c>
      <c r="V20" s="335">
        <v>1.2783</v>
      </c>
      <c r="W20" s="335">
        <v>1.3008999999999999</v>
      </c>
      <c r="X20" s="335">
        <v>1.3239000000000001</v>
      </c>
      <c r="Y20" s="335">
        <v>1.3472999999999999</v>
      </c>
      <c r="Z20" s="335">
        <v>1.3712</v>
      </c>
      <c r="AA20" s="335">
        <v>1.3954</v>
      </c>
      <c r="AB20" s="335">
        <v>1.4200999999999999</v>
      </c>
      <c r="AC20" s="335">
        <v>1.4452</v>
      </c>
      <c r="AD20" s="335">
        <v>1.4708000000000001</v>
      </c>
      <c r="AE20" s="335">
        <v>1.4967999999999999</v>
      </c>
      <c r="AF20" s="335">
        <v>1.5233000000000001</v>
      </c>
      <c r="AG20" s="335">
        <v>1.5502</v>
      </c>
      <c r="AH20" s="335">
        <v>1.5775999999999999</v>
      </c>
      <c r="AI20" s="335">
        <v>1.6054999999999999</v>
      </c>
      <c r="AJ20" s="335">
        <v>1.6338999999999999</v>
      </c>
      <c r="AK20" s="335">
        <v>1.6628000000000001</v>
      </c>
      <c r="AL20" s="335"/>
      <c r="AM20" s="335"/>
      <c r="AN20" s="181"/>
      <c r="AO20" s="181"/>
      <c r="AP20" s="181"/>
      <c r="AQ20" s="181"/>
      <c r="AR20" s="181"/>
      <c r="AS20" s="181"/>
      <c r="AT20" s="181"/>
      <c r="AU20" s="181"/>
      <c r="AV20" s="181"/>
      <c r="AW20" s="181"/>
      <c r="AX20" s="181"/>
      <c r="AY20" s="181"/>
      <c r="AZ20" s="181"/>
      <c r="BA20" s="181"/>
      <c r="BB20" s="181"/>
      <c r="BC20" s="181"/>
      <c r="BD20" s="181"/>
      <c r="BE20" s="181"/>
      <c r="BF20" s="181"/>
      <c r="BG20" s="181"/>
      <c r="BH20" s="181"/>
      <c r="BI20" s="181"/>
      <c r="BJ20" s="181"/>
      <c r="BK20" s="181"/>
      <c r="BL20" s="181"/>
      <c r="BM20" s="181"/>
      <c r="BN20" s="181"/>
      <c r="BO20" s="181"/>
    </row>
    <row r="21" spans="1:67">
      <c r="A21" s="174"/>
      <c r="B21" s="174"/>
      <c r="C21" s="402"/>
      <c r="D21" s="335">
        <v>1.0629</v>
      </c>
      <c r="E21" s="335">
        <v>1.0412999999999999</v>
      </c>
      <c r="F21" s="335">
        <v>1.0293000000000001</v>
      </c>
      <c r="G21" s="335">
        <v>1.0203</v>
      </c>
      <c r="H21" s="335">
        <v>1</v>
      </c>
      <c r="I21" s="335">
        <v>0.98209999999999997</v>
      </c>
      <c r="J21" s="335">
        <v>0.96550000000000002</v>
      </c>
      <c r="K21" s="335">
        <v>0.94930000000000003</v>
      </c>
      <c r="L21" s="335">
        <v>0.93659999999999999</v>
      </c>
      <c r="M21" s="335">
        <v>0.92200000000000004</v>
      </c>
      <c r="N21" s="335">
        <v>0.90580000000000005</v>
      </c>
      <c r="O21" s="335">
        <v>0.88859999999999995</v>
      </c>
      <c r="P21" s="335">
        <v>0.87109999999999999</v>
      </c>
      <c r="Q21" s="335">
        <v>0.85399999999999998</v>
      </c>
      <c r="R21" s="335">
        <v>0.83909999999999996</v>
      </c>
      <c r="S21" s="335">
        <v>0.82450000000000001</v>
      </c>
      <c r="T21" s="335">
        <v>0.81020000000000003</v>
      </c>
      <c r="U21" s="335">
        <v>0.79610000000000003</v>
      </c>
      <c r="V21" s="335">
        <v>0.7823</v>
      </c>
      <c r="W21" s="335">
        <v>0.76870000000000005</v>
      </c>
      <c r="X21" s="335">
        <v>0.75529999999999997</v>
      </c>
      <c r="Y21" s="335">
        <v>0.74219999999999997</v>
      </c>
      <c r="Z21" s="335">
        <v>0.72929999999999995</v>
      </c>
      <c r="AA21" s="335">
        <v>0.71660000000000001</v>
      </c>
      <c r="AB21" s="335">
        <v>0.70420000000000005</v>
      </c>
      <c r="AC21" s="335">
        <v>0.69189999999999996</v>
      </c>
      <c r="AD21" s="335">
        <v>0.67989999999999995</v>
      </c>
      <c r="AE21" s="335">
        <v>0.66810000000000003</v>
      </c>
      <c r="AF21" s="335">
        <v>0.65649999999999997</v>
      </c>
      <c r="AG21" s="335">
        <v>0.64510000000000001</v>
      </c>
      <c r="AH21" s="335">
        <v>0.63390000000000002</v>
      </c>
      <c r="AI21" s="335">
        <v>0.62280000000000002</v>
      </c>
      <c r="AJ21" s="335">
        <v>0.61199999999999999</v>
      </c>
      <c r="AK21" s="335">
        <v>0.60140000000000005</v>
      </c>
      <c r="AL21" s="335"/>
      <c r="AM21" s="335"/>
    </row>
    <row r="22" spans="1:67">
      <c r="A22" s="174"/>
      <c r="B22" s="174"/>
      <c r="C22" s="402" t="s">
        <v>591</v>
      </c>
      <c r="D22" s="334">
        <v>0.92400000000000004</v>
      </c>
      <c r="E22" s="334">
        <v>0.94310000000000005</v>
      </c>
      <c r="F22" s="334">
        <v>0.95409999999999995</v>
      </c>
      <c r="G22" s="334">
        <v>0.96250000000000002</v>
      </c>
      <c r="H22" s="334">
        <v>0.98209999999999997</v>
      </c>
      <c r="I22" s="334">
        <v>1</v>
      </c>
      <c r="J22" s="334">
        <v>1.0172000000000001</v>
      </c>
      <c r="K22" s="334">
        <v>1.0345</v>
      </c>
      <c r="L22" s="334">
        <v>1.0486</v>
      </c>
      <c r="M22" s="334">
        <v>1.0651999999999999</v>
      </c>
      <c r="N22" s="334">
        <v>1.0842000000000001</v>
      </c>
      <c r="O22" s="334">
        <v>1.1052</v>
      </c>
      <c r="P22" s="334">
        <v>1.1274</v>
      </c>
      <c r="Q22" s="334">
        <v>1.1499999999999999</v>
      </c>
      <c r="R22" s="334">
        <v>1.1702999999999999</v>
      </c>
      <c r="S22" s="335">
        <v>1.1910000000000001</v>
      </c>
      <c r="T22" s="335">
        <v>1.2121</v>
      </c>
      <c r="U22" s="335">
        <v>1.2335</v>
      </c>
      <c r="V22" s="335">
        <v>1.2554000000000001</v>
      </c>
      <c r="W22" s="335">
        <v>1.2776000000000001</v>
      </c>
      <c r="X22" s="335">
        <v>1.3002</v>
      </c>
      <c r="Y22" s="335">
        <v>1.3231999999999999</v>
      </c>
      <c r="Z22" s="335">
        <v>1.3466</v>
      </c>
      <c r="AA22" s="335">
        <v>1.3704000000000001</v>
      </c>
      <c r="AB22" s="335">
        <v>1.3946000000000001</v>
      </c>
      <c r="AC22" s="335">
        <v>1.4193</v>
      </c>
      <c r="AD22" s="335">
        <v>1.4443999999999999</v>
      </c>
      <c r="AE22" s="335">
        <v>1.4699</v>
      </c>
      <c r="AF22" s="335">
        <v>1.4959</v>
      </c>
      <c r="AG22" s="335">
        <v>1.5224</v>
      </c>
      <c r="AH22" s="335">
        <v>1.5492999999999999</v>
      </c>
      <c r="AI22" s="335">
        <v>1.5767</v>
      </c>
      <c r="AJ22" s="335">
        <v>1.6046</v>
      </c>
      <c r="AK22" s="335">
        <v>1.633</v>
      </c>
      <c r="AL22" s="335"/>
      <c r="AM22" s="335"/>
    </row>
    <row r="23" spans="1:67">
      <c r="A23" s="174"/>
      <c r="B23" s="174"/>
      <c r="C23" s="402"/>
      <c r="D23" s="335">
        <v>1.0823</v>
      </c>
      <c r="E23" s="335">
        <v>1.0603</v>
      </c>
      <c r="F23" s="335">
        <v>1.0481</v>
      </c>
      <c r="G23" s="335">
        <v>1.0389999999999999</v>
      </c>
      <c r="H23" s="335">
        <v>1.0183</v>
      </c>
      <c r="I23" s="335">
        <v>1</v>
      </c>
      <c r="J23" s="335">
        <v>0.98309999999999997</v>
      </c>
      <c r="K23" s="335">
        <v>0.96660000000000001</v>
      </c>
      <c r="L23" s="335">
        <v>0.95369999999999999</v>
      </c>
      <c r="M23" s="335">
        <v>0.93879999999999997</v>
      </c>
      <c r="N23" s="335">
        <v>0.92230000000000001</v>
      </c>
      <c r="O23" s="335">
        <v>0.90480000000000005</v>
      </c>
      <c r="P23" s="335">
        <v>0.88700000000000001</v>
      </c>
      <c r="Q23" s="335">
        <v>0.86960000000000004</v>
      </c>
      <c r="R23" s="335">
        <v>0.85450000000000004</v>
      </c>
      <c r="S23" s="335">
        <v>0.83960000000000001</v>
      </c>
      <c r="T23" s="335">
        <v>0.82499999999999996</v>
      </c>
      <c r="U23" s="335">
        <v>0.81069999999999998</v>
      </c>
      <c r="V23" s="335">
        <v>0.79659999999999997</v>
      </c>
      <c r="W23" s="335">
        <v>0.78269999999999995</v>
      </c>
      <c r="X23" s="335">
        <v>0.76910000000000001</v>
      </c>
      <c r="Y23" s="335">
        <v>0.75580000000000003</v>
      </c>
      <c r="Z23" s="335">
        <v>0.74260000000000004</v>
      </c>
      <c r="AA23" s="335">
        <v>0.72970000000000002</v>
      </c>
      <c r="AB23" s="335">
        <v>0.71699999999999997</v>
      </c>
      <c r="AC23" s="335">
        <v>0.7046</v>
      </c>
      <c r="AD23" s="335">
        <v>0.69230000000000003</v>
      </c>
      <c r="AE23" s="335">
        <v>0.68030000000000002</v>
      </c>
      <c r="AF23" s="335">
        <v>0.66849999999999998</v>
      </c>
      <c r="AG23" s="335">
        <v>0.65690000000000004</v>
      </c>
      <c r="AH23" s="335">
        <v>0.64539999999999997</v>
      </c>
      <c r="AI23" s="335">
        <v>0.63419999999999999</v>
      </c>
      <c r="AJ23" s="335">
        <v>0.62319999999999998</v>
      </c>
      <c r="AK23" s="335">
        <v>0.61240000000000006</v>
      </c>
      <c r="AL23" s="335"/>
      <c r="AM23" s="335"/>
      <c r="AN23" s="181"/>
      <c r="AO23" s="181"/>
      <c r="AP23" s="181"/>
      <c r="AQ23" s="181"/>
      <c r="AR23" s="181"/>
      <c r="AS23" s="181"/>
      <c r="AT23" s="181"/>
      <c r="AU23" s="181"/>
      <c r="AV23" s="181"/>
      <c r="AW23" s="181"/>
      <c r="AX23" s="181"/>
      <c r="AY23" s="181"/>
      <c r="AZ23" s="181"/>
      <c r="BA23" s="181"/>
      <c r="BB23" s="181"/>
      <c r="BC23" s="181"/>
      <c r="BD23" s="181"/>
      <c r="BE23" s="181"/>
      <c r="BF23" s="181"/>
      <c r="BG23" s="181"/>
      <c r="BH23" s="181"/>
      <c r="BI23" s="181"/>
      <c r="BJ23" s="181"/>
      <c r="BK23" s="181"/>
      <c r="BL23" s="181"/>
      <c r="BM23" s="181"/>
      <c r="BN23" s="181"/>
      <c r="BO23" s="181"/>
    </row>
    <row r="24" spans="1:67">
      <c r="A24" s="174"/>
      <c r="B24" s="174"/>
      <c r="C24" s="402" t="s">
        <v>592</v>
      </c>
      <c r="D24" s="334">
        <v>0.90839999999999999</v>
      </c>
      <c r="E24" s="334">
        <v>0.92720000000000002</v>
      </c>
      <c r="F24" s="334">
        <v>0.93799999999999994</v>
      </c>
      <c r="G24" s="334">
        <v>0.94630000000000003</v>
      </c>
      <c r="H24" s="334">
        <v>0.96550000000000002</v>
      </c>
      <c r="I24" s="334">
        <v>0.98309999999999997</v>
      </c>
      <c r="J24" s="334">
        <v>1</v>
      </c>
      <c r="K24" s="334">
        <v>1.0170999999999999</v>
      </c>
      <c r="L24" s="334">
        <v>1.0308999999999999</v>
      </c>
      <c r="M24" s="334">
        <v>1.0471999999999999</v>
      </c>
      <c r="N24" s="334">
        <v>1.0659000000000001</v>
      </c>
      <c r="O24" s="334">
        <v>1.0866</v>
      </c>
      <c r="P24" s="334">
        <v>1.1083000000000001</v>
      </c>
      <c r="Q24" s="334">
        <v>1.1306</v>
      </c>
      <c r="R24" s="334">
        <v>1.1506000000000001</v>
      </c>
      <c r="S24" s="335">
        <v>1.1709000000000001</v>
      </c>
      <c r="T24" s="335">
        <v>1.1916</v>
      </c>
      <c r="U24" s="335">
        <v>1.2126999999999999</v>
      </c>
      <c r="V24" s="335">
        <v>1.2342</v>
      </c>
      <c r="W24" s="335">
        <v>1.256</v>
      </c>
      <c r="X24" s="335">
        <v>1.2782</v>
      </c>
      <c r="Y24" s="335">
        <v>1.3008</v>
      </c>
      <c r="Z24" s="335">
        <v>1.3238000000000001</v>
      </c>
      <c r="AA24" s="335">
        <v>1.3472</v>
      </c>
      <c r="AB24" s="335">
        <v>1.3711</v>
      </c>
      <c r="AC24" s="335">
        <v>1.3953</v>
      </c>
      <c r="AD24" s="335">
        <v>1.42</v>
      </c>
      <c r="AE24" s="335">
        <v>1.4451000000000001</v>
      </c>
      <c r="AF24" s="335">
        <v>1.4706999999999999</v>
      </c>
      <c r="AG24" s="335">
        <v>1.4966999999999999</v>
      </c>
      <c r="AH24" s="335">
        <v>1.5232000000000001</v>
      </c>
      <c r="AI24" s="335">
        <v>1.5501</v>
      </c>
      <c r="AJ24" s="335">
        <v>1.5774999999999999</v>
      </c>
      <c r="AK24" s="335">
        <v>1.6053999999999999</v>
      </c>
      <c r="AL24" s="335"/>
      <c r="AM24" s="335"/>
    </row>
    <row r="25" spans="1:67">
      <c r="A25" s="174"/>
      <c r="B25" s="174"/>
      <c r="C25" s="402"/>
      <c r="D25" s="335">
        <v>1.1009</v>
      </c>
      <c r="E25" s="335">
        <v>1.0785</v>
      </c>
      <c r="F25" s="335">
        <v>1.0661</v>
      </c>
      <c r="G25" s="335">
        <v>1.0568</v>
      </c>
      <c r="H25" s="335">
        <v>1.0358000000000001</v>
      </c>
      <c r="I25" s="335">
        <v>1.0172000000000001</v>
      </c>
      <c r="J25" s="335">
        <v>1</v>
      </c>
      <c r="K25" s="335">
        <v>0.98319999999999996</v>
      </c>
      <c r="L25" s="335">
        <v>0.97009999999999996</v>
      </c>
      <c r="M25" s="335">
        <v>0.95489999999999997</v>
      </c>
      <c r="N25" s="335">
        <v>0.93810000000000004</v>
      </c>
      <c r="O25" s="335">
        <v>0.92030000000000001</v>
      </c>
      <c r="P25" s="335">
        <v>0.90229999999999999</v>
      </c>
      <c r="Q25" s="335">
        <v>0.88449999999999995</v>
      </c>
      <c r="R25" s="335">
        <v>0.86909999999999998</v>
      </c>
      <c r="S25" s="335">
        <v>0.85399999999999998</v>
      </c>
      <c r="T25" s="335">
        <v>0.83919999999999995</v>
      </c>
      <c r="U25" s="335">
        <v>0.8246</v>
      </c>
      <c r="V25" s="335">
        <v>0.81030000000000002</v>
      </c>
      <c r="W25" s="335">
        <v>0.79620000000000002</v>
      </c>
      <c r="X25" s="335">
        <v>0.7823</v>
      </c>
      <c r="Y25" s="335">
        <v>0.76870000000000005</v>
      </c>
      <c r="Z25" s="335">
        <v>0.75539999999999996</v>
      </c>
      <c r="AA25" s="335">
        <v>0.74229999999999996</v>
      </c>
      <c r="AB25" s="335">
        <v>0.72940000000000005</v>
      </c>
      <c r="AC25" s="335">
        <v>0.7167</v>
      </c>
      <c r="AD25" s="335">
        <v>0.70420000000000005</v>
      </c>
      <c r="AE25" s="335">
        <v>0.69199999999999995</v>
      </c>
      <c r="AF25" s="335">
        <v>0.68</v>
      </c>
      <c r="AG25" s="335">
        <v>0.66810000000000003</v>
      </c>
      <c r="AH25" s="335">
        <v>0.65649999999999997</v>
      </c>
      <c r="AI25" s="335">
        <v>0.64510000000000001</v>
      </c>
      <c r="AJ25" s="335">
        <v>0.63390000000000002</v>
      </c>
      <c r="AK25" s="335">
        <v>0.62290000000000001</v>
      </c>
      <c r="AL25" s="335"/>
      <c r="AM25" s="335"/>
    </row>
    <row r="26" spans="1:67">
      <c r="A26" s="174"/>
      <c r="B26" s="174"/>
      <c r="C26" s="402" t="s">
        <v>593</v>
      </c>
      <c r="D26" s="335">
        <v>0.8931</v>
      </c>
      <c r="E26" s="335">
        <v>0.91159999999999997</v>
      </c>
      <c r="F26" s="335">
        <v>0.92230000000000001</v>
      </c>
      <c r="G26" s="335">
        <v>0.9304</v>
      </c>
      <c r="H26" s="335">
        <v>0.94930000000000003</v>
      </c>
      <c r="I26" s="335">
        <v>0.96660000000000001</v>
      </c>
      <c r="J26" s="335">
        <v>0.98319999999999996</v>
      </c>
      <c r="K26" s="335">
        <v>1</v>
      </c>
      <c r="L26" s="335">
        <v>1.0136000000000001</v>
      </c>
      <c r="M26" s="335">
        <v>1.0296000000000001</v>
      </c>
      <c r="N26" s="335">
        <v>1.048</v>
      </c>
      <c r="O26" s="335">
        <v>1.0683</v>
      </c>
      <c r="P26" s="335">
        <v>1.0896999999999999</v>
      </c>
      <c r="Q26" s="335">
        <v>1.1115999999999999</v>
      </c>
      <c r="R26" s="335">
        <v>1.1313</v>
      </c>
      <c r="S26" s="335">
        <v>1.1513</v>
      </c>
      <c r="T26" s="335">
        <v>1.1716</v>
      </c>
      <c r="U26" s="335">
        <v>1.1923999999999999</v>
      </c>
      <c r="V26" s="335">
        <v>1.2134</v>
      </c>
      <c r="W26" s="335">
        <v>1.2349000000000001</v>
      </c>
      <c r="X26" s="335">
        <v>1.2567999999999999</v>
      </c>
      <c r="Y26" s="335">
        <v>1.2789999999999999</v>
      </c>
      <c r="Z26" s="335">
        <v>1.3016000000000001</v>
      </c>
      <c r="AA26" s="335">
        <v>1.3246</v>
      </c>
      <c r="AB26" s="335">
        <v>1.3481000000000001</v>
      </c>
      <c r="AC26" s="335">
        <v>1.3718999999999999</v>
      </c>
      <c r="AD26" s="335">
        <v>1.3962000000000001</v>
      </c>
      <c r="AE26" s="335">
        <v>1.4209000000000001</v>
      </c>
      <c r="AF26" s="335">
        <v>1.446</v>
      </c>
      <c r="AG26" s="335">
        <v>1.4716</v>
      </c>
      <c r="AH26" s="335">
        <v>1.4976</v>
      </c>
      <c r="AI26" s="335">
        <v>1.5241</v>
      </c>
      <c r="AJ26" s="335">
        <v>1.5510999999999999</v>
      </c>
      <c r="AK26" s="335">
        <v>1.5785</v>
      </c>
      <c r="AL26" s="335"/>
      <c r="AM26" s="335"/>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row>
    <row r="27" spans="1:67">
      <c r="A27" s="174"/>
      <c r="B27" s="174"/>
      <c r="C27" s="333"/>
      <c r="D27" s="335">
        <v>1.1196999999999999</v>
      </c>
      <c r="E27" s="335">
        <v>1.0969</v>
      </c>
      <c r="F27" s="335">
        <v>1.0843</v>
      </c>
      <c r="G27" s="335">
        <v>1.0748</v>
      </c>
      <c r="H27" s="335">
        <v>1.0533999999999999</v>
      </c>
      <c r="I27" s="335">
        <v>1.0345</v>
      </c>
      <c r="J27" s="335">
        <v>1.0170999999999999</v>
      </c>
      <c r="K27" s="335">
        <v>1</v>
      </c>
      <c r="L27" s="335">
        <v>0.98660000000000003</v>
      </c>
      <c r="M27" s="335">
        <v>0.97119999999999995</v>
      </c>
      <c r="N27" s="335">
        <v>0.95420000000000005</v>
      </c>
      <c r="O27" s="335">
        <v>0.93600000000000005</v>
      </c>
      <c r="P27" s="335">
        <v>0.91769999999999996</v>
      </c>
      <c r="Q27" s="335">
        <v>0.89959999999999996</v>
      </c>
      <c r="R27" s="335">
        <v>0.88400000000000001</v>
      </c>
      <c r="S27" s="335">
        <v>0.86860000000000004</v>
      </c>
      <c r="T27" s="335">
        <v>0.85350000000000004</v>
      </c>
      <c r="U27" s="335">
        <v>0.8387</v>
      </c>
      <c r="V27" s="335">
        <v>0.82410000000000005</v>
      </c>
      <c r="W27" s="335">
        <v>0.80979999999999996</v>
      </c>
      <c r="X27" s="335">
        <v>0.79569999999999996</v>
      </c>
      <c r="Y27" s="335">
        <v>0.78190000000000004</v>
      </c>
      <c r="Z27" s="335">
        <v>0.76829999999999998</v>
      </c>
      <c r="AA27" s="335">
        <v>0.75490000000000002</v>
      </c>
      <c r="AB27" s="335">
        <v>0.74180000000000001</v>
      </c>
      <c r="AC27" s="335">
        <v>0.72889999999999999</v>
      </c>
      <c r="AD27" s="335">
        <v>0.71619999999999995</v>
      </c>
      <c r="AE27" s="335">
        <v>0.70379999999999998</v>
      </c>
      <c r="AF27" s="335">
        <v>0.69159999999999999</v>
      </c>
      <c r="AG27" s="335">
        <v>0.67949999999999999</v>
      </c>
      <c r="AH27" s="335">
        <v>0.66769999999999996</v>
      </c>
      <c r="AI27" s="335">
        <v>0.65610000000000002</v>
      </c>
      <c r="AJ27" s="335">
        <v>0.64470000000000005</v>
      </c>
      <c r="AK27" s="335">
        <v>0.63349999999999995</v>
      </c>
      <c r="AL27" s="335"/>
      <c r="AM27" s="335"/>
    </row>
    <row r="28" spans="1:67">
      <c r="A28" s="174"/>
      <c r="B28" s="174"/>
      <c r="C28" s="402" t="s">
        <v>594</v>
      </c>
      <c r="D28" s="335">
        <v>0.88119999999999998</v>
      </c>
      <c r="E28" s="335">
        <v>0.89949999999999997</v>
      </c>
      <c r="F28" s="335">
        <v>0.90990000000000004</v>
      </c>
      <c r="G28" s="335">
        <v>0.91790000000000005</v>
      </c>
      <c r="H28" s="335">
        <v>0.93659999999999999</v>
      </c>
      <c r="I28" s="335">
        <v>0.95369999999999999</v>
      </c>
      <c r="J28" s="335">
        <v>0.97009999999999996</v>
      </c>
      <c r="K28" s="335">
        <v>0.98660000000000003</v>
      </c>
      <c r="L28" s="335">
        <v>1</v>
      </c>
      <c r="M28" s="335">
        <v>1.0158</v>
      </c>
      <c r="N28" s="335">
        <v>1.034</v>
      </c>
      <c r="O28" s="335">
        <v>1.054</v>
      </c>
      <c r="P28" s="335">
        <v>1.0751999999999999</v>
      </c>
      <c r="Q28" s="335">
        <v>1.0967</v>
      </c>
      <c r="R28" s="335">
        <v>1.1161000000000001</v>
      </c>
      <c r="S28" s="335">
        <v>1.1358999999999999</v>
      </c>
      <c r="T28" s="335">
        <v>1.1559999999999999</v>
      </c>
      <c r="U28" s="335">
        <v>1.1763999999999999</v>
      </c>
      <c r="V28" s="335">
        <v>1.1972</v>
      </c>
      <c r="W28" s="335">
        <v>1.2183999999999999</v>
      </c>
      <c r="X28" s="335">
        <v>1.2399</v>
      </c>
      <c r="Y28" s="335">
        <v>1.2619</v>
      </c>
      <c r="Z28" s="335">
        <v>1.2842</v>
      </c>
      <c r="AA28" s="335">
        <v>1.3069</v>
      </c>
      <c r="AB28" s="335">
        <v>1.33</v>
      </c>
      <c r="AC28" s="335">
        <v>1.3535999999999999</v>
      </c>
      <c r="AD28" s="335">
        <v>1.3774999999999999</v>
      </c>
      <c r="AE28" s="335">
        <v>1.4018999999999999</v>
      </c>
      <c r="AF28" s="335">
        <v>1.4267000000000001</v>
      </c>
      <c r="AG28" s="335">
        <v>1.4519</v>
      </c>
      <c r="AH28" s="335">
        <v>1.4776</v>
      </c>
      <c r="AI28" s="335">
        <v>1.5037</v>
      </c>
      <c r="AJ28" s="335">
        <v>1.5303</v>
      </c>
      <c r="AK28" s="335">
        <v>1.5573999999999999</v>
      </c>
      <c r="AL28" s="335"/>
      <c r="AM28" s="335"/>
    </row>
    <row r="29" spans="1:67">
      <c r="A29" s="174"/>
      <c r="B29" s="174"/>
      <c r="C29" s="333"/>
      <c r="D29" s="335">
        <v>1.1349</v>
      </c>
      <c r="E29" s="335">
        <v>1.1117999999999999</v>
      </c>
      <c r="F29" s="335">
        <v>1.099</v>
      </c>
      <c r="G29" s="335">
        <v>1.0893999999999999</v>
      </c>
      <c r="H29" s="335">
        <v>1.0677000000000001</v>
      </c>
      <c r="I29" s="335">
        <v>1.0486</v>
      </c>
      <c r="J29" s="335">
        <v>1.0308999999999999</v>
      </c>
      <c r="K29" s="335">
        <v>1.0136000000000001</v>
      </c>
      <c r="L29" s="335">
        <v>1</v>
      </c>
      <c r="M29" s="335">
        <v>0.98440000000000005</v>
      </c>
      <c r="N29" s="335">
        <v>0.96709999999999996</v>
      </c>
      <c r="O29" s="335">
        <v>0.94869999999999999</v>
      </c>
      <c r="P29" s="335">
        <v>0.93010000000000004</v>
      </c>
      <c r="Q29" s="335">
        <v>0.91180000000000005</v>
      </c>
      <c r="R29" s="335">
        <v>0.89600000000000002</v>
      </c>
      <c r="S29" s="335">
        <v>0.88039999999999996</v>
      </c>
      <c r="T29" s="335">
        <v>0.86509999999999998</v>
      </c>
      <c r="U29" s="335">
        <v>0.85</v>
      </c>
      <c r="V29" s="335">
        <v>0.83530000000000004</v>
      </c>
      <c r="W29" s="335">
        <v>0.82079999999999997</v>
      </c>
      <c r="X29" s="335">
        <v>0.80649999999999999</v>
      </c>
      <c r="Y29" s="335">
        <v>0.79249999999999998</v>
      </c>
      <c r="Z29" s="335">
        <v>0.77869999999999995</v>
      </c>
      <c r="AA29" s="335">
        <v>0.76519999999999999</v>
      </c>
      <c r="AB29" s="335">
        <v>0.75190000000000001</v>
      </c>
      <c r="AC29" s="335">
        <v>0.73880000000000001</v>
      </c>
      <c r="AD29" s="335">
        <v>0.72599999999999998</v>
      </c>
      <c r="AE29" s="335">
        <v>0.71330000000000005</v>
      </c>
      <c r="AF29" s="335">
        <v>0.70089999999999997</v>
      </c>
      <c r="AG29" s="335">
        <v>0.68879999999999997</v>
      </c>
      <c r="AH29" s="335">
        <v>0.67679999999999996</v>
      </c>
      <c r="AI29" s="335">
        <v>0.66500000000000004</v>
      </c>
      <c r="AJ29" s="335">
        <v>0.65349999999999997</v>
      </c>
      <c r="AK29" s="335">
        <v>0.6421</v>
      </c>
      <c r="AL29" s="335"/>
      <c r="AM29" s="335"/>
      <c r="AN29" s="181"/>
      <c r="AO29" s="181"/>
      <c r="AP29" s="181"/>
      <c r="AQ29" s="181"/>
      <c r="AR29" s="181"/>
      <c r="AS29" s="181"/>
      <c r="AT29" s="181"/>
      <c r="AU29" s="181"/>
      <c r="AV29" s="181"/>
      <c r="AW29" s="181"/>
      <c r="AX29" s="181"/>
      <c r="AY29" s="181"/>
      <c r="AZ29" s="181"/>
      <c r="BA29" s="181"/>
      <c r="BB29" s="181"/>
      <c r="BC29" s="181"/>
      <c r="BD29" s="181"/>
      <c r="BE29" s="181"/>
      <c r="BF29" s="181"/>
      <c r="BG29" s="181"/>
      <c r="BH29" s="181"/>
      <c r="BI29" s="181"/>
      <c r="BJ29" s="181"/>
      <c r="BK29" s="181"/>
      <c r="BL29" s="181"/>
      <c r="BM29" s="181"/>
      <c r="BN29" s="181"/>
      <c r="BO29" s="181"/>
    </row>
    <row r="30" spans="1:67">
      <c r="A30" s="174"/>
      <c r="B30" s="174"/>
      <c r="C30" s="333" t="s">
        <v>595</v>
      </c>
      <c r="D30" s="335">
        <v>0.86739999999999995</v>
      </c>
      <c r="E30" s="335">
        <v>0.88539999999999996</v>
      </c>
      <c r="F30" s="335">
        <v>0.89570000000000005</v>
      </c>
      <c r="G30" s="335">
        <v>0.90359999999999996</v>
      </c>
      <c r="H30" s="335">
        <v>0.92200000000000004</v>
      </c>
      <c r="I30" s="335">
        <v>0.93879999999999997</v>
      </c>
      <c r="J30" s="335">
        <v>0.95489999999999997</v>
      </c>
      <c r="K30" s="335">
        <v>0.97119999999999995</v>
      </c>
      <c r="L30" s="335">
        <v>0.98440000000000005</v>
      </c>
      <c r="M30" s="335">
        <v>1</v>
      </c>
      <c r="N30" s="335">
        <v>1.0179</v>
      </c>
      <c r="O30" s="335">
        <v>1.0376000000000001</v>
      </c>
      <c r="P30" s="335">
        <v>1.0584</v>
      </c>
      <c r="Q30" s="335">
        <v>1.0795999999999999</v>
      </c>
      <c r="R30" s="335">
        <v>1.0987</v>
      </c>
      <c r="S30" s="335">
        <v>1.1182000000000001</v>
      </c>
      <c r="T30" s="335">
        <v>1.1378999999999999</v>
      </c>
      <c r="U30" s="335">
        <v>1.1580999999999999</v>
      </c>
      <c r="V30" s="335">
        <v>1.1786000000000001</v>
      </c>
      <c r="W30" s="335">
        <v>1.1994</v>
      </c>
      <c r="X30" s="335">
        <v>1.2205999999999999</v>
      </c>
      <c r="Y30" s="335">
        <v>1.2422</v>
      </c>
      <c r="Z30" s="335">
        <v>1.2642</v>
      </c>
      <c r="AA30" s="335">
        <v>1.2865</v>
      </c>
      <c r="AB30" s="335">
        <v>1.3092999999999999</v>
      </c>
      <c r="AC30" s="335">
        <v>1.3325</v>
      </c>
      <c r="AD30" s="335">
        <v>1.3560000000000001</v>
      </c>
      <c r="AE30" s="335">
        <v>1.38</v>
      </c>
      <c r="AF30" s="335">
        <v>1.4044000000000001</v>
      </c>
      <c r="AG30" s="335">
        <v>1.4293</v>
      </c>
      <c r="AH30" s="335">
        <v>1.4545999999999999</v>
      </c>
      <c r="AI30" s="335">
        <v>1.4802999999999999</v>
      </c>
      <c r="AJ30" s="335">
        <v>1.5065</v>
      </c>
      <c r="AK30" s="335">
        <v>1.5330999999999999</v>
      </c>
      <c r="AL30" s="335"/>
      <c r="AM30" s="335"/>
      <c r="AN30" s="181"/>
      <c r="AO30" s="181"/>
      <c r="AP30" s="181"/>
      <c r="AQ30" s="181"/>
      <c r="AR30" s="181"/>
      <c r="AS30" s="181"/>
      <c r="AT30" s="181"/>
      <c r="AU30" s="181"/>
      <c r="AV30" s="181"/>
      <c r="AW30" s="181"/>
      <c r="AX30" s="181"/>
      <c r="AY30" s="181"/>
      <c r="AZ30" s="181"/>
      <c r="BA30" s="181"/>
      <c r="BB30" s="181"/>
      <c r="BC30" s="181"/>
      <c r="BD30" s="181"/>
      <c r="BE30" s="181"/>
      <c r="BF30" s="181"/>
      <c r="BG30" s="181"/>
      <c r="BH30" s="181"/>
      <c r="BI30" s="181"/>
      <c r="BJ30" s="181"/>
      <c r="BK30" s="181"/>
      <c r="BL30" s="181"/>
      <c r="BM30" s="181"/>
      <c r="BN30" s="181"/>
      <c r="BO30" s="181"/>
    </row>
    <row r="31" spans="1:67">
      <c r="A31" s="174"/>
      <c r="B31" s="174"/>
      <c r="C31" s="333"/>
      <c r="D31" s="335">
        <v>1.1528</v>
      </c>
      <c r="E31" s="335">
        <v>1.1294</v>
      </c>
      <c r="F31" s="335">
        <v>1.1164000000000001</v>
      </c>
      <c r="G31" s="335">
        <v>1.1067</v>
      </c>
      <c r="H31" s="335">
        <v>1.0846</v>
      </c>
      <c r="I31" s="335">
        <v>1.0651999999999999</v>
      </c>
      <c r="J31" s="335">
        <v>1.0471999999999999</v>
      </c>
      <c r="K31" s="335">
        <v>1.0296000000000001</v>
      </c>
      <c r="L31" s="335">
        <v>1.0158</v>
      </c>
      <c r="M31" s="335">
        <v>1</v>
      </c>
      <c r="N31" s="335">
        <v>0.98240000000000005</v>
      </c>
      <c r="O31" s="335">
        <v>0.9637</v>
      </c>
      <c r="P31" s="335">
        <v>0.94479999999999997</v>
      </c>
      <c r="Q31" s="335">
        <v>0.92620000000000002</v>
      </c>
      <c r="R31" s="335">
        <v>0.91010000000000002</v>
      </c>
      <c r="S31" s="335">
        <v>0.89429999999999998</v>
      </c>
      <c r="T31" s="335">
        <v>0.87880000000000003</v>
      </c>
      <c r="U31" s="335">
        <v>0.86350000000000005</v>
      </c>
      <c r="V31" s="335">
        <v>0.84850000000000003</v>
      </c>
      <c r="W31" s="335">
        <v>0.8337</v>
      </c>
      <c r="X31" s="335">
        <v>0.81930000000000003</v>
      </c>
      <c r="Y31" s="335">
        <v>0.80500000000000005</v>
      </c>
      <c r="Z31" s="335">
        <v>0.79100000000000004</v>
      </c>
      <c r="AA31" s="335">
        <v>0.77729999999999999</v>
      </c>
      <c r="AB31" s="335">
        <v>0.76380000000000003</v>
      </c>
      <c r="AC31" s="335">
        <v>0.75049999999999994</v>
      </c>
      <c r="AD31" s="335">
        <v>0.73740000000000006</v>
      </c>
      <c r="AE31" s="335">
        <v>0.72460000000000002</v>
      </c>
      <c r="AF31" s="335">
        <v>0.71199999999999997</v>
      </c>
      <c r="AG31" s="335">
        <v>0.69969999999999999</v>
      </c>
      <c r="AH31" s="335">
        <v>0.6875</v>
      </c>
      <c r="AI31" s="335">
        <v>0.67549999999999999</v>
      </c>
      <c r="AJ31" s="335">
        <v>0.66379999999999995</v>
      </c>
      <c r="AK31" s="335">
        <v>0.65229999999999999</v>
      </c>
      <c r="AL31" s="335"/>
      <c r="AM31" s="335"/>
      <c r="AN31" s="181"/>
      <c r="AO31" s="181"/>
      <c r="AP31" s="181"/>
      <c r="AQ31" s="181"/>
      <c r="AR31" s="181"/>
      <c r="AS31" s="181"/>
      <c r="AT31" s="181"/>
      <c r="AU31" s="181"/>
      <c r="AV31" s="181"/>
      <c r="AW31" s="181"/>
      <c r="AX31" s="181"/>
      <c r="AY31" s="181"/>
      <c r="AZ31" s="181"/>
      <c r="BA31" s="181"/>
      <c r="BB31" s="181"/>
      <c r="BC31" s="181"/>
      <c r="BD31" s="181"/>
      <c r="BE31" s="181"/>
      <c r="BF31" s="181"/>
      <c r="BG31" s="181"/>
      <c r="BH31" s="181"/>
      <c r="BI31" s="181"/>
      <c r="BJ31" s="181"/>
      <c r="BK31" s="181"/>
      <c r="BL31" s="181"/>
      <c r="BM31" s="181"/>
      <c r="BN31" s="181"/>
      <c r="BO31" s="181"/>
    </row>
    <row r="32" spans="1:67">
      <c r="A32" s="174"/>
      <c r="B32" s="174"/>
      <c r="C32" s="333" t="s">
        <v>596</v>
      </c>
      <c r="D32" s="335">
        <v>0.85219999999999996</v>
      </c>
      <c r="E32" s="335">
        <v>0.86990000000000001</v>
      </c>
      <c r="F32" s="335">
        <v>0.88</v>
      </c>
      <c r="G32" s="335">
        <v>0.88770000000000004</v>
      </c>
      <c r="H32" s="335">
        <v>0.90580000000000005</v>
      </c>
      <c r="I32" s="335">
        <v>0.92230000000000001</v>
      </c>
      <c r="J32" s="335">
        <v>0.93810000000000004</v>
      </c>
      <c r="K32" s="335">
        <v>0.95420000000000005</v>
      </c>
      <c r="L32" s="335">
        <v>0.96709999999999996</v>
      </c>
      <c r="M32" s="335">
        <v>0.98240000000000005</v>
      </c>
      <c r="N32" s="335">
        <v>1</v>
      </c>
      <c r="O32" s="335">
        <v>1.0194000000000001</v>
      </c>
      <c r="P32" s="335">
        <v>1.0398000000000001</v>
      </c>
      <c r="Q32" s="335">
        <v>1.0606</v>
      </c>
      <c r="R32" s="335">
        <v>1.0793999999999999</v>
      </c>
      <c r="S32" s="335">
        <v>1.0985</v>
      </c>
      <c r="T32" s="335">
        <v>1.1178999999999999</v>
      </c>
      <c r="U32" s="335">
        <v>1.1376999999999999</v>
      </c>
      <c r="V32" s="335">
        <v>1.1577999999999999</v>
      </c>
      <c r="W32" s="335">
        <v>1.1782999999999999</v>
      </c>
      <c r="X32" s="335">
        <v>1.1991000000000001</v>
      </c>
      <c r="Y32" s="335">
        <v>1.2202999999999999</v>
      </c>
      <c r="Z32" s="335">
        <v>1.2419</v>
      </c>
      <c r="AA32" s="335">
        <v>1.2639</v>
      </c>
      <c r="AB32" s="335">
        <v>1.2863</v>
      </c>
      <c r="AC32" s="335">
        <v>1.3089999999999999</v>
      </c>
      <c r="AD32" s="335">
        <v>1.3322000000000001</v>
      </c>
      <c r="AE32" s="335">
        <v>1.3556999999999999</v>
      </c>
      <c r="AF32" s="335">
        <v>1.3796999999999999</v>
      </c>
      <c r="AG32" s="335">
        <v>1.4040999999999999</v>
      </c>
      <c r="AH32" s="335">
        <v>1.429</v>
      </c>
      <c r="AI32" s="335">
        <v>1.4541999999999999</v>
      </c>
      <c r="AJ32" s="335">
        <v>1.48</v>
      </c>
      <c r="AK32" s="335">
        <v>1.5061</v>
      </c>
      <c r="AL32" s="335"/>
      <c r="AM32" s="335"/>
      <c r="AN32" s="181"/>
      <c r="AO32" s="181"/>
      <c r="AP32" s="181"/>
      <c r="AQ32" s="181"/>
      <c r="AR32" s="181"/>
      <c r="AS32" s="181"/>
      <c r="AT32" s="181"/>
      <c r="AU32" s="181"/>
      <c r="AV32" s="181"/>
      <c r="AW32" s="181"/>
      <c r="AX32" s="181"/>
      <c r="AY32" s="181"/>
      <c r="AZ32" s="181"/>
      <c r="BA32" s="181"/>
      <c r="BB32" s="181"/>
      <c r="BC32" s="181"/>
      <c r="BD32" s="181"/>
      <c r="BE32" s="181"/>
      <c r="BF32" s="181"/>
      <c r="BG32" s="181"/>
      <c r="BH32" s="181"/>
      <c r="BI32" s="181"/>
      <c r="BJ32" s="181"/>
      <c r="BK32" s="181"/>
      <c r="BL32" s="181"/>
      <c r="BM32" s="181"/>
      <c r="BN32" s="181"/>
      <c r="BO32" s="181"/>
    </row>
    <row r="33" spans="1:67">
      <c r="A33" s="174"/>
      <c r="B33" s="174"/>
      <c r="C33" s="333"/>
      <c r="D33" s="335">
        <v>1.1735</v>
      </c>
      <c r="E33" s="335">
        <v>1.1496</v>
      </c>
      <c r="F33" s="335">
        <v>1.1364000000000001</v>
      </c>
      <c r="G33" s="335">
        <v>1.1265000000000001</v>
      </c>
      <c r="H33" s="335">
        <v>1.1041000000000001</v>
      </c>
      <c r="I33" s="335">
        <v>1.0842000000000001</v>
      </c>
      <c r="J33" s="335">
        <v>1.0659000000000001</v>
      </c>
      <c r="K33" s="335">
        <v>1.048</v>
      </c>
      <c r="L33" s="335">
        <v>1.034</v>
      </c>
      <c r="M33" s="335">
        <v>1.0179</v>
      </c>
      <c r="N33" s="335">
        <v>1</v>
      </c>
      <c r="O33" s="335">
        <v>0.98099999999999998</v>
      </c>
      <c r="P33" s="335">
        <v>0.9617</v>
      </c>
      <c r="Q33" s="335">
        <v>0.94279999999999997</v>
      </c>
      <c r="R33" s="335">
        <v>0.9264</v>
      </c>
      <c r="S33" s="335">
        <v>0.9103</v>
      </c>
      <c r="T33" s="335">
        <v>0.89449999999999996</v>
      </c>
      <c r="U33" s="335">
        <v>0.879</v>
      </c>
      <c r="V33" s="335">
        <v>0.86370000000000002</v>
      </c>
      <c r="W33" s="335">
        <v>0.84870000000000001</v>
      </c>
      <c r="X33" s="335">
        <v>0.83389999999999997</v>
      </c>
      <c r="Y33" s="335">
        <v>0.81940000000000002</v>
      </c>
      <c r="Z33" s="335">
        <v>0.80520000000000003</v>
      </c>
      <c r="AA33" s="335">
        <v>0.79120000000000001</v>
      </c>
      <c r="AB33" s="335">
        <v>0.77739999999999998</v>
      </c>
      <c r="AC33" s="335">
        <v>0.76390000000000002</v>
      </c>
      <c r="AD33" s="335">
        <v>0.75070000000000003</v>
      </c>
      <c r="AE33" s="335">
        <v>0.73760000000000003</v>
      </c>
      <c r="AF33" s="335">
        <v>0.7248</v>
      </c>
      <c r="AG33" s="335">
        <v>0.71220000000000006</v>
      </c>
      <c r="AH33" s="335">
        <v>0.69979999999999998</v>
      </c>
      <c r="AI33" s="335">
        <v>0.68759999999999999</v>
      </c>
      <c r="AJ33" s="335">
        <v>0.67569999999999997</v>
      </c>
      <c r="AK33" s="335">
        <v>0.66400000000000003</v>
      </c>
      <c r="AL33" s="335"/>
      <c r="AM33" s="335"/>
      <c r="AN33" s="181"/>
      <c r="AO33" s="181"/>
      <c r="AP33" s="181"/>
      <c r="AQ33" s="181"/>
      <c r="AR33" s="181"/>
      <c r="AS33" s="181"/>
      <c r="AT33" s="181"/>
      <c r="AU33" s="181"/>
      <c r="AV33" s="181"/>
      <c r="AW33" s="181"/>
      <c r="AX33" s="181"/>
      <c r="AY33" s="181"/>
      <c r="AZ33" s="181"/>
      <c r="BA33" s="181"/>
      <c r="BB33" s="181"/>
      <c r="BC33" s="181"/>
      <c r="BD33" s="181"/>
      <c r="BE33" s="181"/>
      <c r="BF33" s="181"/>
      <c r="BG33" s="181"/>
      <c r="BH33" s="181"/>
      <c r="BI33" s="181"/>
      <c r="BJ33" s="181"/>
      <c r="BK33" s="181"/>
      <c r="BL33" s="181"/>
      <c r="BM33" s="181"/>
      <c r="BN33" s="181"/>
      <c r="BO33" s="181"/>
    </row>
    <row r="34" spans="1:67">
      <c r="A34" s="174"/>
      <c r="B34" s="174"/>
      <c r="C34" s="333" t="s">
        <v>597</v>
      </c>
      <c r="D34" s="335">
        <v>0.83599999999999997</v>
      </c>
      <c r="E34" s="335">
        <v>0.85329999999999995</v>
      </c>
      <c r="F34" s="335">
        <v>0.86329999999999996</v>
      </c>
      <c r="G34" s="335">
        <v>0.87090000000000001</v>
      </c>
      <c r="H34" s="335">
        <v>0.88859999999999995</v>
      </c>
      <c r="I34" s="335">
        <v>0.90480000000000005</v>
      </c>
      <c r="J34" s="335">
        <v>0.92030000000000001</v>
      </c>
      <c r="K34" s="335">
        <v>0.93600000000000005</v>
      </c>
      <c r="L34" s="335">
        <v>0.94869999999999999</v>
      </c>
      <c r="M34" s="335">
        <v>0.9637</v>
      </c>
      <c r="N34" s="335">
        <v>0.98099999999999998</v>
      </c>
      <c r="O34" s="335">
        <v>1</v>
      </c>
      <c r="P34" s="335">
        <v>1.02</v>
      </c>
      <c r="Q34" s="335">
        <v>1.0405</v>
      </c>
      <c r="R34" s="335">
        <v>1.0589</v>
      </c>
      <c r="S34" s="335">
        <v>1.0775999999999999</v>
      </c>
      <c r="T34" s="335">
        <v>1.0967</v>
      </c>
      <c r="U34" s="335">
        <v>1.1161000000000001</v>
      </c>
      <c r="V34" s="335">
        <v>1.1357999999999999</v>
      </c>
      <c r="W34" s="335">
        <v>1.1558999999999999</v>
      </c>
      <c r="X34" s="335">
        <v>1.1763999999999999</v>
      </c>
      <c r="Y34" s="335">
        <v>1.1972</v>
      </c>
      <c r="Z34" s="335">
        <v>1.2182999999999999</v>
      </c>
      <c r="AA34" s="335">
        <v>1.2399</v>
      </c>
      <c r="AB34" s="335">
        <v>1.2618</v>
      </c>
      <c r="AC34" s="335">
        <v>1.2842</v>
      </c>
      <c r="AD34" s="335">
        <v>1.3069</v>
      </c>
      <c r="AE34" s="335">
        <v>1.33</v>
      </c>
      <c r="AF34" s="335">
        <v>1.3534999999999999</v>
      </c>
      <c r="AG34" s="335">
        <v>1.3774</v>
      </c>
      <c r="AH34" s="335">
        <v>1.4017999999999999</v>
      </c>
      <c r="AI34" s="335">
        <v>1.4266000000000001</v>
      </c>
      <c r="AJ34" s="335">
        <v>1.4518</v>
      </c>
      <c r="AK34" s="335">
        <v>1.4775</v>
      </c>
      <c r="AL34" s="335"/>
      <c r="AM34" s="335"/>
      <c r="AN34" s="181"/>
      <c r="AO34" s="181"/>
      <c r="AP34" s="181"/>
      <c r="AQ34" s="181"/>
      <c r="AR34" s="181"/>
      <c r="AS34" s="181"/>
      <c r="AT34" s="181"/>
      <c r="AU34" s="181"/>
      <c r="AV34" s="181"/>
      <c r="AW34" s="181"/>
      <c r="AX34" s="181"/>
      <c r="AY34" s="181"/>
      <c r="AZ34" s="181"/>
      <c r="BA34" s="181"/>
      <c r="BB34" s="181"/>
      <c r="BC34" s="181"/>
      <c r="BD34" s="181"/>
      <c r="BE34" s="181"/>
      <c r="BF34" s="181"/>
      <c r="BG34" s="181"/>
      <c r="BH34" s="181"/>
      <c r="BI34" s="181"/>
      <c r="BJ34" s="181"/>
      <c r="BK34" s="181"/>
      <c r="BL34" s="181"/>
      <c r="BM34" s="181"/>
      <c r="BN34" s="181"/>
      <c r="BO34" s="181"/>
    </row>
    <row r="35" spans="1:67">
      <c r="A35" s="174"/>
      <c r="B35" s="174"/>
      <c r="C35" s="333"/>
      <c r="D35" s="335">
        <v>1.1961999999999999</v>
      </c>
      <c r="E35" s="335">
        <v>1.1718999999999999</v>
      </c>
      <c r="F35" s="335">
        <v>1.1584000000000001</v>
      </c>
      <c r="G35" s="335">
        <v>1.1483000000000001</v>
      </c>
      <c r="H35" s="335">
        <v>1.1254</v>
      </c>
      <c r="I35" s="335">
        <v>1.1052</v>
      </c>
      <c r="J35" s="335">
        <v>1.0866</v>
      </c>
      <c r="K35" s="335">
        <v>1.0683</v>
      </c>
      <c r="L35" s="335">
        <v>1.054</v>
      </c>
      <c r="M35" s="335">
        <v>1.0376000000000001</v>
      </c>
      <c r="N35" s="335">
        <v>1.0194000000000001</v>
      </c>
      <c r="O35" s="335">
        <v>1</v>
      </c>
      <c r="P35" s="335">
        <v>0.98040000000000005</v>
      </c>
      <c r="Q35" s="335">
        <v>0.96109999999999995</v>
      </c>
      <c r="R35" s="335">
        <v>0.94440000000000002</v>
      </c>
      <c r="S35" s="335">
        <v>0.92800000000000005</v>
      </c>
      <c r="T35" s="335">
        <v>0.91180000000000005</v>
      </c>
      <c r="U35" s="335">
        <v>0.89600000000000002</v>
      </c>
      <c r="V35" s="335">
        <v>0.88039999999999996</v>
      </c>
      <c r="W35" s="335">
        <v>0.86509999999999998</v>
      </c>
      <c r="X35" s="335">
        <v>0.85009999999999997</v>
      </c>
      <c r="Y35" s="335">
        <v>0.83530000000000004</v>
      </c>
      <c r="Z35" s="335">
        <v>0.82079999999999997</v>
      </c>
      <c r="AA35" s="335">
        <v>0.80649999999999999</v>
      </c>
      <c r="AB35" s="335">
        <v>0.79249999999999998</v>
      </c>
      <c r="AC35" s="335">
        <v>0.77869999999999995</v>
      </c>
      <c r="AD35" s="335">
        <v>0.76519999999999999</v>
      </c>
      <c r="AE35" s="335">
        <v>0.75190000000000001</v>
      </c>
      <c r="AF35" s="335">
        <v>0.73880000000000001</v>
      </c>
      <c r="AG35" s="335">
        <v>0.72599999999999998</v>
      </c>
      <c r="AH35" s="335">
        <v>0.71340000000000003</v>
      </c>
      <c r="AI35" s="335">
        <v>0.70099999999999996</v>
      </c>
      <c r="AJ35" s="335">
        <v>0.68879999999999997</v>
      </c>
      <c r="AK35" s="335">
        <v>0.67679999999999996</v>
      </c>
      <c r="AL35" s="335"/>
      <c r="AM35" s="335"/>
      <c r="AN35" s="181"/>
      <c r="AO35" s="181"/>
      <c r="AP35" s="181"/>
      <c r="AQ35" s="181"/>
      <c r="AR35" s="181"/>
      <c r="AS35" s="181"/>
      <c r="AT35" s="181"/>
      <c r="AU35" s="181"/>
      <c r="AV35" s="181"/>
      <c r="AW35" s="181"/>
      <c r="AX35" s="181"/>
      <c r="AY35" s="181"/>
      <c r="AZ35" s="181"/>
      <c r="BA35" s="181"/>
      <c r="BB35" s="181"/>
      <c r="BC35" s="181"/>
      <c r="BD35" s="181"/>
      <c r="BE35" s="181"/>
      <c r="BF35" s="181"/>
      <c r="BG35" s="181"/>
      <c r="BH35" s="181"/>
      <c r="BI35" s="181"/>
      <c r="BJ35" s="181"/>
      <c r="BK35" s="181"/>
      <c r="BL35" s="181"/>
      <c r="BM35" s="181"/>
      <c r="BN35" s="181"/>
      <c r="BO35" s="181"/>
    </row>
    <row r="36" spans="1:67">
      <c r="A36" s="174"/>
      <c r="B36" s="174"/>
      <c r="C36" s="333" t="s">
        <v>598</v>
      </c>
      <c r="D36" s="335">
        <v>0.8196</v>
      </c>
      <c r="E36" s="335">
        <v>0.83660000000000001</v>
      </c>
      <c r="F36" s="335">
        <v>0.84630000000000005</v>
      </c>
      <c r="G36" s="335">
        <v>0.8538</v>
      </c>
      <c r="H36" s="335">
        <v>0.87109999999999999</v>
      </c>
      <c r="I36" s="335">
        <v>0.88700000000000001</v>
      </c>
      <c r="J36" s="335">
        <v>0.90229999999999999</v>
      </c>
      <c r="K36" s="335">
        <v>0.91769999999999996</v>
      </c>
      <c r="L36" s="335">
        <v>0.93010000000000004</v>
      </c>
      <c r="M36" s="335">
        <v>0.94479999999999997</v>
      </c>
      <c r="N36" s="335">
        <v>0.9617</v>
      </c>
      <c r="O36" s="335">
        <v>0.98040000000000005</v>
      </c>
      <c r="P36" s="335">
        <v>1</v>
      </c>
      <c r="Q36" s="335">
        <v>1.0201</v>
      </c>
      <c r="R36" s="335">
        <v>1.0381</v>
      </c>
      <c r="S36" s="335">
        <v>1.0565</v>
      </c>
      <c r="T36" s="335">
        <v>1.0751999999999999</v>
      </c>
      <c r="U36" s="335">
        <v>1.0942000000000001</v>
      </c>
      <c r="V36" s="335">
        <v>1.1134999999999999</v>
      </c>
      <c r="W36" s="335">
        <v>1.1332</v>
      </c>
      <c r="X36" s="335">
        <v>1.1533</v>
      </c>
      <c r="Y36" s="335">
        <v>1.1737</v>
      </c>
      <c r="Z36" s="335">
        <v>1.1943999999999999</v>
      </c>
      <c r="AA36" s="335">
        <v>1.2156</v>
      </c>
      <c r="AB36" s="335">
        <v>1.2371000000000001</v>
      </c>
      <c r="AC36" s="335">
        <v>1.2588999999999999</v>
      </c>
      <c r="AD36" s="335">
        <v>1.2811999999999999</v>
      </c>
      <c r="AE36" s="335">
        <v>1.3039000000000001</v>
      </c>
      <c r="AF36" s="335">
        <v>1.3269</v>
      </c>
      <c r="AG36" s="335">
        <v>1.3504</v>
      </c>
      <c r="AH36" s="335">
        <v>1.3743000000000001</v>
      </c>
      <c r="AI36" s="335">
        <v>1.3986000000000001</v>
      </c>
      <c r="AJ36" s="335">
        <v>1.4233</v>
      </c>
      <c r="AK36" s="335">
        <v>1.4484999999999999</v>
      </c>
      <c r="AL36" s="335"/>
      <c r="AM36" s="335"/>
      <c r="AN36" s="181"/>
      <c r="AO36" s="181"/>
      <c r="AP36" s="181"/>
      <c r="AQ36" s="181"/>
      <c r="AR36" s="181"/>
      <c r="AS36" s="181"/>
      <c r="AT36" s="181"/>
      <c r="AU36" s="181"/>
      <c r="AV36" s="181"/>
      <c r="AW36" s="181"/>
      <c r="AX36" s="181"/>
      <c r="AY36" s="181"/>
      <c r="AZ36" s="181"/>
      <c r="BA36" s="181"/>
      <c r="BB36" s="181"/>
      <c r="BC36" s="181"/>
      <c r="BD36" s="181"/>
      <c r="BE36" s="181"/>
      <c r="BF36" s="181"/>
      <c r="BG36" s="181"/>
      <c r="BH36" s="181"/>
      <c r="BI36" s="181"/>
      <c r="BJ36" s="181"/>
      <c r="BK36" s="181"/>
      <c r="BL36" s="181"/>
      <c r="BM36" s="181"/>
      <c r="BN36" s="181"/>
      <c r="BO36" s="181"/>
    </row>
    <row r="37" spans="1:67">
      <c r="A37" s="174"/>
      <c r="B37" s="174"/>
      <c r="C37" s="333"/>
      <c r="D37" s="335">
        <v>1.2202</v>
      </c>
      <c r="E37" s="335">
        <v>1.1953</v>
      </c>
      <c r="F37" s="335">
        <v>1.1816</v>
      </c>
      <c r="G37" s="335">
        <v>1.1713</v>
      </c>
      <c r="H37" s="335">
        <v>1.1479999999999999</v>
      </c>
      <c r="I37" s="335">
        <v>1.1274</v>
      </c>
      <c r="J37" s="335">
        <v>1.1083000000000001</v>
      </c>
      <c r="K37" s="335">
        <v>1.0896999999999999</v>
      </c>
      <c r="L37" s="335">
        <v>1.0751999999999999</v>
      </c>
      <c r="M37" s="335">
        <v>1.0584</v>
      </c>
      <c r="N37" s="335">
        <v>1.0398000000000001</v>
      </c>
      <c r="O37" s="335">
        <v>1.02</v>
      </c>
      <c r="P37" s="335">
        <v>1</v>
      </c>
      <c r="Q37" s="335">
        <v>0.98029999999999995</v>
      </c>
      <c r="R37" s="335">
        <v>0.96330000000000005</v>
      </c>
      <c r="S37" s="335">
        <v>0.9466</v>
      </c>
      <c r="T37" s="335">
        <v>0.93010000000000004</v>
      </c>
      <c r="U37" s="335">
        <v>0.91390000000000005</v>
      </c>
      <c r="V37" s="335">
        <v>0.89810000000000001</v>
      </c>
      <c r="W37" s="335">
        <v>0.88239999999999996</v>
      </c>
      <c r="X37" s="335">
        <v>0.86709999999999998</v>
      </c>
      <c r="Y37" s="335">
        <v>0.85199999999999998</v>
      </c>
      <c r="Z37" s="335">
        <v>0.83720000000000006</v>
      </c>
      <c r="AA37" s="335">
        <v>0.82269999999999999</v>
      </c>
      <c r="AB37" s="335">
        <v>0.80840000000000001</v>
      </c>
      <c r="AC37" s="335">
        <v>0.79430000000000001</v>
      </c>
      <c r="AD37" s="335">
        <v>0.78049999999999997</v>
      </c>
      <c r="AE37" s="335">
        <v>0.76690000000000003</v>
      </c>
      <c r="AF37" s="335">
        <v>0.75360000000000005</v>
      </c>
      <c r="AG37" s="335">
        <v>0.74050000000000005</v>
      </c>
      <c r="AH37" s="335">
        <v>0.72760000000000002</v>
      </c>
      <c r="AI37" s="335">
        <v>0.71499999999999997</v>
      </c>
      <c r="AJ37" s="335">
        <v>0.7026</v>
      </c>
      <c r="AK37" s="335">
        <v>0.69040000000000001</v>
      </c>
      <c r="AL37" s="335"/>
      <c r="AM37" s="335"/>
      <c r="AN37" s="181"/>
      <c r="AO37" s="181"/>
      <c r="AP37" s="181"/>
      <c r="AQ37" s="181"/>
      <c r="AR37" s="181"/>
      <c r="AS37" s="181"/>
      <c r="AT37" s="181"/>
      <c r="AU37" s="181"/>
      <c r="AV37" s="181"/>
      <c r="AW37" s="181"/>
      <c r="AX37" s="181"/>
      <c r="AY37" s="181"/>
      <c r="AZ37" s="181"/>
      <c r="BA37" s="181"/>
      <c r="BB37" s="181"/>
      <c r="BC37" s="181"/>
      <c r="BD37" s="181"/>
      <c r="BE37" s="181"/>
      <c r="BF37" s="181"/>
      <c r="BG37" s="181"/>
      <c r="BH37" s="181"/>
      <c r="BI37" s="181"/>
      <c r="BJ37" s="181"/>
      <c r="BK37" s="181"/>
      <c r="BL37" s="181"/>
      <c r="BM37" s="181"/>
      <c r="BN37" s="181"/>
      <c r="BO37" s="181"/>
    </row>
    <row r="38" spans="1:67">
      <c r="A38" s="174"/>
      <c r="B38" s="174"/>
      <c r="C38" s="333" t="s">
        <v>599</v>
      </c>
      <c r="D38" s="335">
        <v>0.80349999999999999</v>
      </c>
      <c r="E38" s="335">
        <v>0.82010000000000005</v>
      </c>
      <c r="F38" s="335">
        <v>0.82969999999999999</v>
      </c>
      <c r="G38" s="335">
        <v>0.83699999999999997</v>
      </c>
      <c r="H38" s="335">
        <v>0.85399999999999998</v>
      </c>
      <c r="I38" s="335">
        <v>0.86960000000000004</v>
      </c>
      <c r="J38" s="335">
        <v>0.88449999999999995</v>
      </c>
      <c r="K38" s="335">
        <v>0.89959999999999996</v>
      </c>
      <c r="L38" s="335">
        <v>0.91180000000000005</v>
      </c>
      <c r="M38" s="335">
        <v>0.92620000000000002</v>
      </c>
      <c r="N38" s="335">
        <v>0.94279999999999997</v>
      </c>
      <c r="O38" s="335">
        <v>0.96109999999999995</v>
      </c>
      <c r="P38" s="335">
        <v>0.98029999999999995</v>
      </c>
      <c r="Q38" s="335">
        <v>1</v>
      </c>
      <c r="R38" s="335">
        <v>1.0177</v>
      </c>
      <c r="S38" s="335">
        <v>1.0357000000000001</v>
      </c>
      <c r="T38" s="335">
        <v>1.054</v>
      </c>
      <c r="U38" s="335">
        <v>1.0727</v>
      </c>
      <c r="V38" s="335">
        <v>1.0915999999999999</v>
      </c>
      <c r="W38" s="335">
        <v>1.1109</v>
      </c>
      <c r="X38" s="335">
        <v>1.1306</v>
      </c>
      <c r="Y38" s="335">
        <v>1.1506000000000001</v>
      </c>
      <c r="Z38" s="335">
        <v>1.1709000000000001</v>
      </c>
      <c r="AA38" s="335">
        <v>1.1917</v>
      </c>
      <c r="AB38" s="335">
        <v>1.2126999999999999</v>
      </c>
      <c r="AC38" s="335">
        <v>1.2342</v>
      </c>
      <c r="AD38" s="335">
        <v>1.256</v>
      </c>
      <c r="AE38" s="335">
        <v>1.2782</v>
      </c>
      <c r="AF38" s="335">
        <v>1.3008</v>
      </c>
      <c r="AG38" s="335">
        <v>1.3239000000000001</v>
      </c>
      <c r="AH38" s="335">
        <v>1.3472999999999999</v>
      </c>
      <c r="AI38" s="335">
        <v>1.3711</v>
      </c>
      <c r="AJ38" s="335">
        <v>1.3954</v>
      </c>
      <c r="AK38" s="335">
        <v>1.42</v>
      </c>
      <c r="AL38" s="335"/>
      <c r="AM38" s="335"/>
      <c r="AN38" s="181"/>
      <c r="AO38" s="181"/>
      <c r="AP38" s="181"/>
      <c r="AQ38" s="181"/>
      <c r="AR38" s="181"/>
      <c r="AS38" s="181"/>
      <c r="AT38" s="181"/>
      <c r="AU38" s="181"/>
      <c r="AV38" s="181"/>
      <c r="AW38" s="181"/>
      <c r="AX38" s="181"/>
      <c r="AY38" s="181"/>
      <c r="AZ38" s="181"/>
      <c r="BA38" s="181"/>
      <c r="BB38" s="181"/>
      <c r="BC38" s="181"/>
      <c r="BD38" s="181"/>
      <c r="BE38" s="181"/>
      <c r="BF38" s="181"/>
      <c r="BG38" s="181"/>
      <c r="BH38" s="181"/>
      <c r="BI38" s="181"/>
      <c r="BJ38" s="181"/>
      <c r="BK38" s="181"/>
      <c r="BL38" s="181"/>
      <c r="BM38" s="181"/>
      <c r="BN38" s="181"/>
      <c r="BO38" s="181"/>
    </row>
    <row r="39" spans="1:67">
      <c r="A39" s="174"/>
      <c r="B39" s="174"/>
      <c r="C39" s="333"/>
      <c r="D39" s="335">
        <v>1.2445999999999999</v>
      </c>
      <c r="E39" s="335">
        <v>1.2193000000000001</v>
      </c>
      <c r="F39" s="335">
        <v>1.2053</v>
      </c>
      <c r="G39" s="335">
        <v>1.1948000000000001</v>
      </c>
      <c r="H39" s="335">
        <v>1.171</v>
      </c>
      <c r="I39" s="335">
        <v>1.1499999999999999</v>
      </c>
      <c r="J39" s="335">
        <v>1.1306</v>
      </c>
      <c r="K39" s="335">
        <v>1.1115999999999999</v>
      </c>
      <c r="L39" s="335">
        <v>1.0967</v>
      </c>
      <c r="M39" s="335">
        <v>1.0795999999999999</v>
      </c>
      <c r="N39" s="335">
        <v>1.0606</v>
      </c>
      <c r="O39" s="335">
        <v>1.0405</v>
      </c>
      <c r="P39" s="335">
        <v>1.0201</v>
      </c>
      <c r="Q39" s="335">
        <v>1</v>
      </c>
      <c r="R39" s="335">
        <v>0.98260000000000003</v>
      </c>
      <c r="S39" s="335">
        <v>0.96550000000000002</v>
      </c>
      <c r="T39" s="335">
        <v>0.94879999999999998</v>
      </c>
      <c r="U39" s="335">
        <v>0.93230000000000002</v>
      </c>
      <c r="V39" s="335">
        <v>0.91610000000000003</v>
      </c>
      <c r="W39" s="335">
        <v>0.90010000000000001</v>
      </c>
      <c r="X39" s="335">
        <v>0.88449999999999995</v>
      </c>
      <c r="Y39" s="335">
        <v>0.86909999999999998</v>
      </c>
      <c r="Z39" s="335">
        <v>0.85399999999999998</v>
      </c>
      <c r="AA39" s="335">
        <v>0.83919999999999995</v>
      </c>
      <c r="AB39" s="335">
        <v>0.8246</v>
      </c>
      <c r="AC39" s="335">
        <v>0.81030000000000002</v>
      </c>
      <c r="AD39" s="335">
        <v>0.79620000000000002</v>
      </c>
      <c r="AE39" s="335">
        <v>0.7823</v>
      </c>
      <c r="AF39" s="335">
        <v>0.76870000000000005</v>
      </c>
      <c r="AG39" s="335">
        <v>0.75539999999999996</v>
      </c>
      <c r="AH39" s="335">
        <v>0.74219999999999997</v>
      </c>
      <c r="AI39" s="335">
        <v>0.72929999999999995</v>
      </c>
      <c r="AJ39" s="335">
        <v>0.7167</v>
      </c>
      <c r="AK39" s="335">
        <v>0.70420000000000005</v>
      </c>
      <c r="AL39" s="335"/>
      <c r="AM39" s="335"/>
      <c r="AN39" s="181"/>
      <c r="AO39" s="181"/>
      <c r="AP39" s="181"/>
      <c r="AQ39" s="181"/>
      <c r="AR39" s="181"/>
      <c r="AS39" s="181"/>
      <c r="AT39" s="181"/>
      <c r="AU39" s="181"/>
      <c r="AV39" s="181"/>
      <c r="AW39" s="181"/>
      <c r="AX39" s="181"/>
      <c r="AY39" s="181"/>
      <c r="AZ39" s="181"/>
      <c r="BA39" s="181"/>
      <c r="BB39" s="181"/>
      <c r="BC39" s="181"/>
      <c r="BD39" s="181"/>
      <c r="BE39" s="181"/>
      <c r="BF39" s="181"/>
      <c r="BG39" s="181"/>
      <c r="BH39" s="181"/>
      <c r="BI39" s="181"/>
      <c r="BJ39" s="181"/>
      <c r="BK39" s="181"/>
      <c r="BL39" s="181"/>
      <c r="BM39" s="181"/>
      <c r="BN39" s="181"/>
      <c r="BO39" s="181"/>
    </row>
    <row r="40" spans="1:67" ht="15.6">
      <c r="A40" s="174"/>
      <c r="B40" s="174"/>
      <c r="C40" s="285"/>
      <c r="D40" s="335"/>
      <c r="E40" s="335"/>
      <c r="F40" s="335"/>
      <c r="G40" s="335"/>
      <c r="H40" s="335"/>
      <c r="I40" s="335"/>
      <c r="J40" s="335"/>
      <c r="K40" s="335"/>
      <c r="L40" s="335"/>
      <c r="M40" s="335"/>
      <c r="N40" s="335"/>
      <c r="O40" s="335"/>
      <c r="P40" s="335"/>
      <c r="Q40" s="335"/>
      <c r="R40" s="335"/>
      <c r="S40" s="335"/>
      <c r="T40" s="335"/>
      <c r="U40" s="335"/>
      <c r="V40" s="335"/>
      <c r="W40" s="335"/>
      <c r="X40" s="335"/>
      <c r="Y40" s="335"/>
      <c r="Z40" s="335"/>
      <c r="AA40" s="335"/>
      <c r="AB40" s="335"/>
      <c r="AC40" s="335"/>
      <c r="AD40" s="335"/>
      <c r="AE40" s="335"/>
      <c r="AF40" s="335"/>
      <c r="AG40" s="335"/>
      <c r="AH40" s="335"/>
      <c r="AI40" s="335"/>
      <c r="AJ40" s="335"/>
      <c r="AK40" s="335"/>
      <c r="AL40" s="335"/>
      <c r="AM40" s="335"/>
    </row>
    <row r="41" spans="1:67">
      <c r="A41" s="174"/>
      <c r="B41" s="174"/>
      <c r="C41" s="283"/>
      <c r="D41" s="286"/>
      <c r="E41" s="286"/>
      <c r="F41" s="286"/>
      <c r="G41" s="286"/>
      <c r="H41" s="286"/>
      <c r="I41" s="286"/>
      <c r="J41" s="286"/>
      <c r="K41" s="286"/>
      <c r="L41" s="286"/>
      <c r="M41" s="286"/>
      <c r="N41" s="286"/>
      <c r="O41" s="286"/>
      <c r="P41" s="286"/>
      <c r="Q41" s="286"/>
      <c r="R41" s="286"/>
      <c r="S41" s="286"/>
      <c r="T41" s="286"/>
      <c r="U41" s="286"/>
      <c r="V41" s="286"/>
      <c r="W41" s="286"/>
      <c r="X41" s="286"/>
      <c r="Y41" s="286"/>
      <c r="Z41" s="286"/>
      <c r="AA41" s="286"/>
      <c r="AB41" s="286"/>
      <c r="AC41" s="286"/>
      <c r="AD41" s="286"/>
      <c r="AE41" s="286"/>
      <c r="AF41" s="286"/>
      <c r="AG41" s="286"/>
      <c r="AH41" s="286"/>
      <c r="AI41" s="286"/>
      <c r="AJ41" s="286"/>
      <c r="AK41" s="286"/>
      <c r="AL41" s="286"/>
      <c r="AM41" s="283"/>
    </row>
    <row r="42" spans="1:67">
      <c r="A42" s="174"/>
      <c r="B42" s="174"/>
      <c r="C42" s="283"/>
      <c r="D42" s="286"/>
      <c r="E42" s="286"/>
      <c r="F42" s="286"/>
      <c r="G42" s="286"/>
      <c r="H42" s="286"/>
      <c r="I42" s="286"/>
      <c r="J42" s="286"/>
      <c r="K42" s="286"/>
      <c r="L42" s="286"/>
      <c r="M42" s="286"/>
      <c r="N42" s="286"/>
      <c r="O42" s="286"/>
      <c r="P42" s="286"/>
      <c r="Q42" s="286"/>
      <c r="R42" s="286"/>
      <c r="S42" s="283"/>
      <c r="T42" s="283"/>
      <c r="U42" s="283"/>
      <c r="V42" s="283"/>
      <c r="W42" s="283"/>
      <c r="X42" s="283"/>
      <c r="Y42" s="283"/>
      <c r="Z42" s="283"/>
      <c r="AA42" s="283"/>
      <c r="AB42" s="283"/>
      <c r="AC42" s="283"/>
      <c r="AD42" s="283"/>
      <c r="AE42" s="283"/>
      <c r="AF42" s="283"/>
      <c r="AG42" s="283"/>
      <c r="AH42" s="283"/>
      <c r="AI42" s="283"/>
      <c r="AJ42" s="283"/>
      <c r="AK42" s="283"/>
      <c r="AL42" s="283"/>
      <c r="AM42" s="283"/>
    </row>
    <row r="43" spans="1:67">
      <c r="A43" s="174"/>
      <c r="B43" s="174"/>
      <c r="C43" s="287" t="s">
        <v>600</v>
      </c>
      <c r="D43" s="288"/>
      <c r="E43" s="288"/>
      <c r="F43" s="288"/>
      <c r="G43" s="288"/>
      <c r="H43" s="288"/>
      <c r="I43" s="288"/>
      <c r="J43" s="283"/>
      <c r="K43" s="283"/>
      <c r="L43" s="283"/>
      <c r="M43" s="283"/>
      <c r="N43" s="283"/>
      <c r="O43" s="283"/>
      <c r="P43" s="283"/>
      <c r="Q43" s="283"/>
      <c r="R43" s="283"/>
      <c r="S43" s="283"/>
      <c r="T43" s="283"/>
      <c r="U43" s="283"/>
      <c r="V43" s="283"/>
      <c r="W43" s="283"/>
      <c r="X43" s="283"/>
      <c r="Y43" s="283"/>
      <c r="Z43" s="283"/>
      <c r="AA43" s="283"/>
      <c r="AB43" s="283"/>
      <c r="AC43" s="283"/>
      <c r="AD43" s="283"/>
      <c r="AE43" s="283"/>
      <c r="AF43" s="283"/>
      <c r="AG43" s="283"/>
      <c r="AH43" s="283"/>
      <c r="AI43" s="283"/>
      <c r="AJ43" s="283"/>
      <c r="AK43" s="283"/>
      <c r="AL43" s="283"/>
      <c r="AM43" s="283"/>
    </row>
    <row r="44" spans="1:67">
      <c r="A44" s="174"/>
      <c r="B44" s="174"/>
      <c r="C44" s="287" t="s">
        <v>601</v>
      </c>
      <c r="D44" s="283"/>
      <c r="E44" s="288"/>
      <c r="F44" s="288"/>
      <c r="G44" s="288"/>
      <c r="H44" s="288"/>
      <c r="I44" s="283"/>
      <c r="J44" s="283"/>
      <c r="K44" s="283"/>
      <c r="L44" s="283"/>
      <c r="M44" s="283"/>
      <c r="N44" s="283"/>
      <c r="O44" s="283"/>
      <c r="P44" s="283"/>
      <c r="Q44" s="283"/>
      <c r="R44" s="283"/>
      <c r="S44" s="283"/>
      <c r="T44" s="283"/>
      <c r="U44" s="283"/>
      <c r="V44" s="283"/>
      <c r="W44" s="283"/>
      <c r="X44" s="283"/>
      <c r="Y44" s="283"/>
      <c r="Z44" s="283"/>
      <c r="AA44" s="283"/>
      <c r="AB44" s="283"/>
      <c r="AC44" s="283"/>
      <c r="AD44" s="283"/>
      <c r="AE44" s="283"/>
      <c r="AF44" s="283"/>
      <c r="AG44" s="283"/>
      <c r="AH44" s="283"/>
      <c r="AI44" s="283"/>
      <c r="AJ44" s="283"/>
      <c r="AK44" s="283"/>
      <c r="AL44" s="283"/>
      <c r="AM44" s="283"/>
    </row>
    <row r="45" spans="1:67">
      <c r="A45" s="174"/>
      <c r="B45" s="174"/>
      <c r="C45" s="336" t="s">
        <v>602</v>
      </c>
      <c r="D45" s="283"/>
      <c r="E45" s="283"/>
      <c r="F45" s="283"/>
      <c r="G45" s="283"/>
      <c r="H45" s="283"/>
      <c r="I45" s="283"/>
      <c r="J45" s="283"/>
      <c r="K45" s="283"/>
      <c r="L45" s="283"/>
      <c r="M45" s="283"/>
      <c r="N45" s="283"/>
      <c r="O45" s="283"/>
      <c r="P45" s="283"/>
      <c r="Q45" s="283"/>
      <c r="R45" s="283"/>
      <c r="S45" s="283"/>
      <c r="T45" s="283"/>
      <c r="U45" s="283"/>
      <c r="V45" s="283"/>
      <c r="W45" s="283"/>
      <c r="X45" s="283"/>
      <c r="Y45" s="283"/>
      <c r="Z45" s="283"/>
      <c r="AA45" s="283"/>
      <c r="AB45" s="283"/>
      <c r="AC45" s="283"/>
      <c r="AD45" s="283"/>
      <c r="AE45" s="283"/>
      <c r="AF45" s="283"/>
      <c r="AG45" s="283"/>
      <c r="AH45" s="283"/>
      <c r="AI45" s="283"/>
      <c r="AJ45" s="283"/>
      <c r="AK45" s="283"/>
      <c r="AL45" s="283"/>
      <c r="AM45" s="283"/>
    </row>
    <row r="46" spans="1:67">
      <c r="A46" s="174"/>
      <c r="B46" s="174"/>
      <c r="C46" s="336"/>
      <c r="D46" s="283"/>
      <c r="E46" s="283"/>
      <c r="F46" s="283"/>
      <c r="G46" s="283"/>
      <c r="H46" s="283"/>
      <c r="I46" s="283"/>
      <c r="J46" s="283"/>
      <c r="K46" s="283"/>
      <c r="L46" s="283"/>
      <c r="M46" s="283"/>
      <c r="N46" s="283"/>
      <c r="O46" s="283"/>
      <c r="P46" s="283"/>
      <c r="Q46" s="283"/>
      <c r="R46" s="283"/>
      <c r="S46" s="283"/>
      <c r="T46" s="283"/>
      <c r="U46" s="283"/>
      <c r="V46" s="283"/>
      <c r="W46" s="283"/>
      <c r="X46" s="283"/>
      <c r="Y46" s="283"/>
      <c r="Z46" s="283"/>
      <c r="AA46" s="283"/>
      <c r="AB46" s="283"/>
      <c r="AC46" s="283"/>
      <c r="AD46" s="283"/>
      <c r="AE46" s="283"/>
      <c r="AF46" s="283"/>
      <c r="AG46" s="283"/>
      <c r="AH46" s="283"/>
      <c r="AI46" s="283"/>
      <c r="AJ46" s="283"/>
      <c r="AK46" s="283"/>
      <c r="AL46" s="283"/>
      <c r="AM46" s="283"/>
    </row>
    <row r="47" spans="1:67">
      <c r="A47" s="174"/>
      <c r="B47" s="174"/>
      <c r="C47" s="336"/>
      <c r="D47" s="283"/>
      <c r="E47" s="283"/>
      <c r="F47" s="283"/>
      <c r="G47" s="283"/>
      <c r="H47" s="283"/>
      <c r="I47" s="283"/>
      <c r="J47" s="283"/>
      <c r="K47" s="283"/>
      <c r="L47" s="283"/>
      <c r="M47" s="283"/>
      <c r="N47" s="283"/>
      <c r="O47" s="283"/>
      <c r="P47" s="283"/>
      <c r="Q47" s="283"/>
      <c r="R47" s="283"/>
      <c r="S47" s="283"/>
      <c r="T47" s="283"/>
      <c r="U47" s="283"/>
      <c r="V47" s="283"/>
      <c r="W47" s="283"/>
      <c r="X47" s="283"/>
      <c r="Y47" s="283"/>
      <c r="Z47" s="283"/>
      <c r="AA47" s="283"/>
      <c r="AB47" s="283"/>
      <c r="AC47" s="283"/>
      <c r="AD47" s="283"/>
      <c r="AE47" s="283"/>
      <c r="AF47" s="283"/>
      <c r="AG47" s="283"/>
      <c r="AH47" s="283"/>
      <c r="AI47" s="283"/>
      <c r="AJ47" s="283"/>
      <c r="AK47" s="283"/>
      <c r="AL47" s="283"/>
      <c r="AM47" s="283"/>
    </row>
    <row r="48" spans="1:67">
      <c r="A48" s="174"/>
      <c r="B48" s="174"/>
      <c r="C48" s="336"/>
      <c r="D48" s="283"/>
      <c r="E48" s="283"/>
      <c r="F48" s="283"/>
      <c r="G48" s="283"/>
      <c r="H48" s="283"/>
      <c r="I48" s="283"/>
      <c r="J48" s="283"/>
      <c r="K48" s="283"/>
      <c r="L48" s="283"/>
      <c r="M48" s="283"/>
      <c r="N48" s="283"/>
      <c r="O48" s="283"/>
      <c r="P48" s="283"/>
      <c r="Q48" s="283"/>
      <c r="R48" s="283"/>
      <c r="S48" s="283"/>
      <c r="T48" s="283"/>
      <c r="U48" s="283"/>
      <c r="V48" s="283"/>
      <c r="W48" s="283"/>
      <c r="X48" s="283"/>
      <c r="Y48" s="283"/>
      <c r="Z48" s="283"/>
      <c r="AA48" s="283"/>
      <c r="AB48" s="283"/>
      <c r="AC48" s="283"/>
      <c r="AD48" s="283"/>
      <c r="AE48" s="283"/>
      <c r="AF48" s="283"/>
      <c r="AG48" s="283"/>
      <c r="AH48" s="283"/>
      <c r="AI48" s="283"/>
      <c r="AJ48" s="283"/>
      <c r="AK48" s="283"/>
      <c r="AL48" s="283"/>
      <c r="AM48" s="283"/>
    </row>
    <row r="49" spans="1:39">
      <c r="A49" s="174"/>
      <c r="B49" s="174"/>
      <c r="C49" s="336"/>
      <c r="D49" s="283"/>
      <c r="E49" s="283"/>
      <c r="F49" s="283"/>
      <c r="G49" s="283"/>
      <c r="H49" s="283"/>
      <c r="I49" s="283"/>
      <c r="J49" s="283"/>
      <c r="K49" s="283"/>
      <c r="L49" s="283"/>
      <c r="M49" s="283"/>
      <c r="N49" s="283"/>
      <c r="O49" s="283"/>
      <c r="P49" s="283"/>
      <c r="Q49" s="283"/>
      <c r="R49" s="283"/>
      <c r="S49" s="283"/>
      <c r="T49" s="283"/>
      <c r="U49" s="283"/>
      <c r="V49" s="283"/>
      <c r="W49" s="283"/>
      <c r="X49" s="283"/>
      <c r="Y49" s="283"/>
      <c r="Z49" s="283"/>
      <c r="AA49" s="283"/>
      <c r="AB49" s="283"/>
      <c r="AC49" s="283"/>
      <c r="AD49" s="283"/>
      <c r="AE49" s="283"/>
      <c r="AF49" s="283"/>
      <c r="AG49" s="283"/>
      <c r="AH49" s="283"/>
      <c r="AI49" s="283"/>
      <c r="AJ49" s="283"/>
      <c r="AK49" s="283"/>
      <c r="AL49" s="283"/>
      <c r="AM49" s="283"/>
    </row>
    <row r="50" spans="1:39">
      <c r="A50" s="174"/>
      <c r="B50" s="174"/>
      <c r="C50" s="336"/>
      <c r="D50" s="283"/>
      <c r="E50" s="283"/>
      <c r="F50" s="283"/>
      <c r="G50" s="283"/>
      <c r="H50" s="283"/>
      <c r="I50" s="283"/>
      <c r="J50" s="283"/>
      <c r="K50" s="283"/>
      <c r="L50" s="283"/>
      <c r="M50" s="283"/>
      <c r="N50" s="283"/>
      <c r="O50" s="283"/>
      <c r="P50" s="283"/>
      <c r="Q50" s="283"/>
      <c r="R50" s="283"/>
      <c r="S50" s="283"/>
      <c r="T50" s="283"/>
      <c r="U50" s="283"/>
      <c r="V50" s="283"/>
      <c r="W50" s="283"/>
      <c r="X50" s="283"/>
      <c r="Y50" s="283"/>
      <c r="Z50" s="283"/>
      <c r="AA50" s="283"/>
      <c r="AB50" s="283"/>
      <c r="AC50" s="283"/>
      <c r="AD50" s="283"/>
      <c r="AE50" s="283"/>
      <c r="AF50" s="283"/>
      <c r="AG50" s="283"/>
      <c r="AH50" s="283"/>
      <c r="AI50" s="283"/>
      <c r="AJ50" s="283"/>
      <c r="AK50" s="283"/>
      <c r="AL50" s="283"/>
      <c r="AM50" s="283"/>
    </row>
    <row r="51" spans="1:39">
      <c r="A51" s="174"/>
      <c r="B51" s="174"/>
      <c r="C51" s="336"/>
      <c r="D51" s="403">
        <f>HLOOKUP($E$4,E$51:R$53,3)</f>
        <v>27</v>
      </c>
      <c r="E51" s="404">
        <v>2007</v>
      </c>
      <c r="F51" s="404">
        <v>2008</v>
      </c>
      <c r="G51" s="404">
        <v>2009</v>
      </c>
      <c r="H51" s="404">
        <v>2010</v>
      </c>
      <c r="I51" s="404">
        <v>2011</v>
      </c>
      <c r="J51" s="404">
        <v>2012</v>
      </c>
      <c r="K51" s="404">
        <v>2013</v>
      </c>
      <c r="L51" s="404">
        <v>2014</v>
      </c>
      <c r="M51" s="404">
        <v>2015</v>
      </c>
      <c r="N51">
        <v>2016</v>
      </c>
      <c r="O51">
        <v>2017</v>
      </c>
      <c r="P51">
        <v>2018</v>
      </c>
      <c r="Q51">
        <v>2019</v>
      </c>
      <c r="R51">
        <v>2020</v>
      </c>
      <c r="S51" s="283"/>
      <c r="T51" s="283"/>
      <c r="U51" s="283"/>
      <c r="V51" s="283"/>
      <c r="W51" s="283"/>
      <c r="X51" s="283"/>
      <c r="Y51" s="283"/>
      <c r="Z51" s="283"/>
      <c r="AA51" s="283"/>
      <c r="AB51" s="283"/>
      <c r="AC51" s="283"/>
      <c r="AD51" s="283"/>
      <c r="AE51" s="283"/>
      <c r="AF51" s="283"/>
      <c r="AG51" s="283"/>
      <c r="AH51" s="283"/>
      <c r="AI51" s="283"/>
      <c r="AJ51" s="283"/>
      <c r="AK51" s="283"/>
      <c r="AL51" s="283"/>
      <c r="AM51" s="283"/>
    </row>
    <row r="52" spans="1:39">
      <c r="A52" s="174"/>
      <c r="B52" s="174"/>
      <c r="C52" s="336"/>
      <c r="D52" s="403">
        <f>HLOOKUP($E$4,E$51:R$53,2)</f>
        <v>26</v>
      </c>
      <c r="E52" s="404">
        <v>2</v>
      </c>
      <c r="F52" s="404">
        <v>4</v>
      </c>
      <c r="G52" s="404">
        <v>6</v>
      </c>
      <c r="H52" s="404">
        <v>8</v>
      </c>
      <c r="I52" s="404">
        <v>10</v>
      </c>
      <c r="J52" s="404">
        <v>12</v>
      </c>
      <c r="K52" s="404">
        <v>14</v>
      </c>
      <c r="L52" s="404">
        <v>16</v>
      </c>
      <c r="M52" s="404">
        <v>18</v>
      </c>
      <c r="N52" s="283">
        <v>20</v>
      </c>
      <c r="O52" s="283">
        <v>22</v>
      </c>
      <c r="P52" s="283">
        <v>24</v>
      </c>
      <c r="Q52" s="283">
        <v>26</v>
      </c>
      <c r="R52" s="283">
        <v>28</v>
      </c>
      <c r="S52" s="283"/>
      <c r="T52" s="283"/>
      <c r="U52" s="283"/>
      <c r="V52" s="283"/>
      <c r="W52" s="283"/>
      <c r="X52" s="283"/>
      <c r="Y52" s="283"/>
      <c r="Z52" s="283"/>
      <c r="AA52" s="283"/>
      <c r="AB52" s="283"/>
      <c r="AC52" s="283"/>
      <c r="AD52" s="283"/>
      <c r="AE52" s="283"/>
      <c r="AF52" s="283"/>
      <c r="AG52" s="283"/>
      <c r="AH52" s="283"/>
      <c r="AI52" s="283"/>
      <c r="AJ52" s="283"/>
      <c r="AK52" s="283"/>
      <c r="AL52" s="283"/>
      <c r="AM52" s="283"/>
    </row>
    <row r="53" spans="1:39">
      <c r="A53" s="174"/>
      <c r="B53" s="174"/>
      <c r="C53" s="336"/>
      <c r="D53" s="405"/>
      <c r="E53" s="404">
        <v>3</v>
      </c>
      <c r="F53" s="404">
        <v>5</v>
      </c>
      <c r="G53" s="404">
        <v>7</v>
      </c>
      <c r="H53" s="404">
        <v>9</v>
      </c>
      <c r="I53" s="404">
        <v>11</v>
      </c>
      <c r="J53" s="404">
        <v>13</v>
      </c>
      <c r="K53" s="404">
        <v>15</v>
      </c>
      <c r="L53" s="404">
        <v>17</v>
      </c>
      <c r="M53" s="404">
        <v>19</v>
      </c>
      <c r="N53" s="283">
        <v>21</v>
      </c>
      <c r="O53" s="283">
        <v>23</v>
      </c>
      <c r="P53" s="283">
        <v>25</v>
      </c>
      <c r="Q53" s="283">
        <v>27</v>
      </c>
      <c r="R53" s="283">
        <v>29</v>
      </c>
      <c r="S53" s="283"/>
      <c r="T53" s="283"/>
      <c r="U53" s="283"/>
      <c r="V53" s="283"/>
      <c r="W53" s="283"/>
      <c r="X53" s="283"/>
      <c r="Y53" s="283"/>
      <c r="Z53" s="283"/>
      <c r="AA53" s="283"/>
      <c r="AB53" s="283"/>
      <c r="AC53" s="283"/>
      <c r="AD53" s="283"/>
      <c r="AE53" s="283"/>
      <c r="AF53" s="283"/>
      <c r="AG53" s="283"/>
      <c r="AH53" s="283"/>
      <c r="AI53" s="283"/>
      <c r="AJ53" s="283"/>
      <c r="AK53" s="283"/>
      <c r="AL53" s="283"/>
      <c r="AM53" s="283"/>
    </row>
    <row r="54" spans="1:39">
      <c r="A54" s="174"/>
      <c r="B54" s="174"/>
      <c r="C54" s="178"/>
      <c r="D54" s="178"/>
      <c r="E54" s="178"/>
      <c r="F54" s="178"/>
      <c r="G54" s="178"/>
      <c r="H54" s="178"/>
      <c r="I54" s="178"/>
      <c r="J54" s="178"/>
      <c r="K54" s="178"/>
      <c r="L54" s="178"/>
      <c r="M54" s="178"/>
      <c r="N54" s="178"/>
      <c r="O54" s="178"/>
      <c r="P54" s="178"/>
      <c r="Q54" s="178"/>
      <c r="R54" s="178"/>
      <c r="S54" s="178"/>
      <c r="T54" s="178"/>
      <c r="U54" s="178"/>
      <c r="V54" s="178"/>
      <c r="W54" s="178"/>
      <c r="X54" s="178"/>
      <c r="Y54" s="178"/>
      <c r="Z54" s="178"/>
      <c r="AA54" s="178"/>
      <c r="AB54" s="178"/>
      <c r="AC54" s="178"/>
      <c r="AD54" s="178"/>
      <c r="AE54" s="178"/>
      <c r="AF54" s="178"/>
      <c r="AG54" s="178"/>
      <c r="AH54" s="178"/>
      <c r="AI54" s="178"/>
      <c r="AJ54" s="178"/>
      <c r="AK54" s="178"/>
      <c r="AL54" s="178"/>
      <c r="AM54" s="178"/>
    </row>
    <row r="55" spans="1:39">
      <c r="A55" s="174"/>
      <c r="B55" s="174"/>
      <c r="C55" s="129">
        <f>C53*100</f>
        <v>0</v>
      </c>
    </row>
    <row r="56" spans="1:39">
      <c r="A56" s="174"/>
      <c r="B56" s="174"/>
    </row>
    <row r="57" spans="1:39">
      <c r="A57" s="174"/>
      <c r="B57" s="174"/>
    </row>
    <row r="58" spans="1:39">
      <c r="A58" s="174"/>
      <c r="B58" s="174"/>
    </row>
    <row r="61" spans="1:39" ht="13.5" customHeight="1"/>
  </sheetData>
  <sheetProtection password="DFD3" sheet="1" objects="1" scenarios="1"/>
  <customSheetViews>
    <customSheetView guid="{55B80D82-F000-11D6-8735-C8E5A357943D}" showRuler="0">
      <selection activeCell="F8" sqref="F8"/>
      <pageMargins left="0" right="0" top="0" bottom="0" header="0" footer="0"/>
      <headerFooter alignWithMargins="0"/>
    </customSheetView>
  </customSheetViews>
  <phoneticPr fontId="0" type="noConversion"/>
  <pageMargins left="0.75" right="0.75" top="1" bottom="1" header="0.5" footer="0.5"/>
  <pageSetup orientation="portrait" horizontalDpi="4294967293"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BM56"/>
  <sheetViews>
    <sheetView topLeftCell="D1" workbookViewId="0">
      <selection activeCell="D3" sqref="D3"/>
    </sheetView>
  </sheetViews>
  <sheetFormatPr defaultColWidth="8.88671875" defaultRowHeight="13.2"/>
  <cols>
    <col min="1" max="1" width="207.33203125" style="178" customWidth="1"/>
    <col min="2" max="2" width="36.88671875" style="178" customWidth="1"/>
    <col min="3" max="3" width="20.44140625" customWidth="1"/>
    <col min="4" max="4" width="8.33203125" customWidth="1"/>
    <col min="5" max="5" width="6.6640625" customWidth="1"/>
  </cols>
  <sheetData>
    <row r="1" spans="1:65">
      <c r="A1" s="174"/>
      <c r="B1" s="174"/>
      <c r="C1" s="1" t="s">
        <v>603</v>
      </c>
    </row>
    <row r="2" spans="1:65">
      <c r="A2" s="174"/>
      <c r="B2" s="174"/>
      <c r="C2" s="1" t="s">
        <v>373</v>
      </c>
      <c r="D2" s="1">
        <v>2019</v>
      </c>
    </row>
    <row r="3" spans="1:65">
      <c r="A3" s="174"/>
      <c r="B3" s="174"/>
      <c r="D3" t="s">
        <v>219</v>
      </c>
      <c r="E3" t="s">
        <v>222</v>
      </c>
      <c r="F3" t="s">
        <v>231</v>
      </c>
      <c r="G3" t="s">
        <v>221</v>
      </c>
      <c r="H3" t="s">
        <v>223</v>
      </c>
      <c r="I3" t="s">
        <v>240</v>
      </c>
      <c r="J3" t="s">
        <v>216</v>
      </c>
      <c r="K3" t="s">
        <v>217</v>
      </c>
      <c r="L3" t="s">
        <v>218</v>
      </c>
      <c r="M3" t="s">
        <v>228</v>
      </c>
      <c r="N3" t="s">
        <v>237</v>
      </c>
      <c r="O3" t="s">
        <v>232</v>
      </c>
      <c r="P3" t="s">
        <v>248</v>
      </c>
      <c r="Q3" t="s">
        <v>220</v>
      </c>
      <c r="R3" t="s">
        <v>229</v>
      </c>
      <c r="S3" t="s">
        <v>238</v>
      </c>
      <c r="T3" t="s">
        <v>254</v>
      </c>
      <c r="U3" t="s">
        <v>245</v>
      </c>
      <c r="V3" t="s">
        <v>230</v>
      </c>
      <c r="W3" t="s">
        <v>225</v>
      </c>
      <c r="X3" t="s">
        <v>227</v>
      </c>
      <c r="Y3" t="s">
        <v>234</v>
      </c>
      <c r="Z3" t="s">
        <v>246</v>
      </c>
      <c r="AA3" t="s">
        <v>252</v>
      </c>
      <c r="AB3" t="s">
        <v>251</v>
      </c>
      <c r="AC3" t="s">
        <v>239</v>
      </c>
      <c r="AD3" t="s">
        <v>260</v>
      </c>
      <c r="AE3" t="str">
        <f>'User Add-in Location'!E10</f>
        <v>MyCounty</v>
      </c>
      <c r="AF3" t="str">
        <f>'User Add-in Location'!F10</f>
        <v>MyRegion</v>
      </c>
      <c r="AG3" t="s">
        <v>264</v>
      </c>
      <c r="AH3" t="s">
        <v>266</v>
      </c>
      <c r="AI3" t="s">
        <v>242</v>
      </c>
      <c r="AJ3" t="s">
        <v>489</v>
      </c>
      <c r="AK3" t="s">
        <v>247</v>
      </c>
      <c r="AL3" t="s">
        <v>250</v>
      </c>
      <c r="AM3" t="s">
        <v>236</v>
      </c>
      <c r="AN3" t="s">
        <v>268</v>
      </c>
      <c r="AO3" t="s">
        <v>258</v>
      </c>
      <c r="AP3" t="s">
        <v>253</v>
      </c>
      <c r="AQ3" t="s">
        <v>270</v>
      </c>
      <c r="AR3" t="s">
        <v>235</v>
      </c>
      <c r="AS3" s="281" t="s">
        <v>207</v>
      </c>
      <c r="AT3" s="281" t="s">
        <v>208</v>
      </c>
      <c r="AU3" s="281" t="s">
        <v>209</v>
      </c>
      <c r="AV3" s="281" t="s">
        <v>210</v>
      </c>
      <c r="AW3" s="281" t="s">
        <v>211</v>
      </c>
      <c r="AX3" s="281" t="s">
        <v>212</v>
      </c>
      <c r="AY3" s="281" t="s">
        <v>213</v>
      </c>
      <c r="AZ3" s="281" t="s">
        <v>214</v>
      </c>
      <c r="BA3" t="s">
        <v>256</v>
      </c>
      <c r="BB3" t="s">
        <v>490</v>
      </c>
      <c r="BC3" t="s">
        <v>272</v>
      </c>
      <c r="BD3" t="s">
        <v>491</v>
      </c>
      <c r="BE3" t="s">
        <v>492</v>
      </c>
      <c r="BF3" s="290" t="s">
        <v>604</v>
      </c>
      <c r="BG3" t="s">
        <v>274</v>
      </c>
      <c r="BH3" t="s">
        <v>262</v>
      </c>
      <c r="BI3" t="s">
        <v>244</v>
      </c>
      <c r="BJ3" t="s">
        <v>275</v>
      </c>
      <c r="BK3" t="s">
        <v>243</v>
      </c>
      <c r="BL3" t="s">
        <v>263</v>
      </c>
      <c r="BM3" t="s">
        <v>493</v>
      </c>
    </row>
    <row r="4" spans="1:65">
      <c r="A4" s="174"/>
      <c r="B4" s="174"/>
      <c r="C4" s="406" t="s">
        <v>383</v>
      </c>
      <c r="D4" s="313">
        <v>6.0206852077091012E-3</v>
      </c>
      <c r="E4" s="313">
        <v>1.1926085921823615E-3</v>
      </c>
      <c r="F4" s="313">
        <v>4.0310886332966265E-3</v>
      </c>
      <c r="G4" s="313">
        <v>6.66058989574603E-3</v>
      </c>
      <c r="H4" s="313">
        <v>2.6950245076963241E-3</v>
      </c>
      <c r="I4" s="313">
        <v>5.1672722768694775E-3</v>
      </c>
      <c r="J4" s="313">
        <v>1.0389631471381972E-3</v>
      </c>
      <c r="K4" s="313">
        <v>3.7151583300570243E-3</v>
      </c>
      <c r="L4" s="313">
        <v>1.965315297376505E-5</v>
      </c>
      <c r="M4" s="313">
        <v>2.295004171002132E-3</v>
      </c>
      <c r="N4" s="313">
        <v>4.7332284329354799E-3</v>
      </c>
      <c r="O4" s="313">
        <v>2.0432158246978119E-3</v>
      </c>
      <c r="P4" s="313">
        <v>7.9782462882406029E-3</v>
      </c>
      <c r="Q4" s="313">
        <v>1.0176838818515273E-3</v>
      </c>
      <c r="R4" s="313">
        <v>2.87235809038212E-3</v>
      </c>
      <c r="S4" s="313">
        <v>6.099994270581402E-3</v>
      </c>
      <c r="T4" s="313">
        <v>6.0256489662632818E-3</v>
      </c>
      <c r="U4" s="313">
        <v>5.3474655088096498E-3</v>
      </c>
      <c r="V4" s="313">
        <v>2.8350652078011768E-3</v>
      </c>
      <c r="W4" s="313">
        <v>3.6232906641589396E-3</v>
      </c>
      <c r="X4" s="313">
        <v>1.8305632098963489E-3</v>
      </c>
      <c r="Y4" s="313">
        <v>1.824542692365865E-4</v>
      </c>
      <c r="Z4" s="313">
        <v>2.9391060964472828E-3</v>
      </c>
      <c r="AA4" s="313">
        <v>3.736752029479486E-3</v>
      </c>
      <c r="AB4" s="313">
        <v>6.5456037545747921E-3</v>
      </c>
      <c r="AC4" s="313">
        <v>4.351485482408695E-3</v>
      </c>
      <c r="AD4" s="313">
        <v>6.8353995495790817E-3</v>
      </c>
      <c r="AE4" s="182">
        <f>'User Add-in Location'!E11</f>
        <v>0</v>
      </c>
      <c r="AF4" s="182">
        <f>'User Add-in Location'!F11</f>
        <v>0</v>
      </c>
      <c r="AG4" s="313">
        <v>5.8061322807717169E-3</v>
      </c>
      <c r="AH4" s="313">
        <v>2.1163225744144074E-3</v>
      </c>
      <c r="AI4" s="313">
        <v>1.6047398347101526E-3</v>
      </c>
      <c r="AJ4" s="313">
        <v>5.2813575195401132E-4</v>
      </c>
      <c r="AK4" s="313">
        <v>7.2260831700437667E-3</v>
      </c>
      <c r="AL4" s="313">
        <v>2.0514872223205923E-3</v>
      </c>
      <c r="AM4" s="313">
        <v>5.3099756422370402E-3</v>
      </c>
      <c r="AN4" s="313">
        <v>3.0467243716278897E-3</v>
      </c>
      <c r="AO4" s="313">
        <v>2.6960808926493936E-3</v>
      </c>
      <c r="AP4" s="313">
        <v>6.3947911878864576E-3</v>
      </c>
      <c r="AQ4" s="313">
        <v>5.6807134669934461E-3</v>
      </c>
      <c r="AR4" s="313">
        <v>2.9119555232776681E-3</v>
      </c>
      <c r="AS4" s="313">
        <v>0</v>
      </c>
      <c r="AT4" s="313">
        <v>0</v>
      </c>
      <c r="AU4" s="313">
        <v>0</v>
      </c>
      <c r="AV4" s="313">
        <v>0</v>
      </c>
      <c r="AW4" s="313">
        <v>0</v>
      </c>
      <c r="AX4" s="313">
        <v>0</v>
      </c>
      <c r="AY4" s="313">
        <v>0</v>
      </c>
      <c r="AZ4" s="313">
        <v>0</v>
      </c>
      <c r="BA4" s="313">
        <v>1.3411996693031081E-4</v>
      </c>
      <c r="BB4" s="313">
        <v>3.3090401356709836E-3</v>
      </c>
      <c r="BC4" s="313">
        <v>5.732487587183345E-3</v>
      </c>
      <c r="BD4" s="313">
        <v>2.7111661122636499E-3</v>
      </c>
      <c r="BE4" s="313">
        <v>3.5397953587522906E-3</v>
      </c>
      <c r="BF4" s="313">
        <v>4.5840992369040011E-3</v>
      </c>
      <c r="BG4" s="313">
        <v>3.6358352833448238E-3</v>
      </c>
      <c r="BH4" s="313">
        <v>7.7937345422177404E-3</v>
      </c>
      <c r="BI4" s="313">
        <v>3.358704207217989E-3</v>
      </c>
      <c r="BJ4" s="313">
        <v>3.5459305804447401E-3</v>
      </c>
      <c r="BK4" s="313">
        <v>2.2892948416870537E-3</v>
      </c>
      <c r="BL4" s="313">
        <v>6.023360816500979E-3</v>
      </c>
      <c r="BM4" s="313">
        <v>3.3310835425569498E-3</v>
      </c>
    </row>
    <row r="5" spans="1:65" ht="22.8">
      <c r="A5" s="175" t="s">
        <v>423</v>
      </c>
      <c r="B5" s="175"/>
      <c r="C5" s="406" t="s">
        <v>384</v>
      </c>
      <c r="D5" s="313">
        <v>2.1987386161449437E-4</v>
      </c>
      <c r="E5" s="313">
        <v>5.706478820342269E-3</v>
      </c>
      <c r="F5" s="313">
        <v>2.4401540535886609E-4</v>
      </c>
      <c r="G5" s="313">
        <v>4.3706874038790987E-4</v>
      </c>
      <c r="H5" s="313">
        <v>1.7696337961767901E-4</v>
      </c>
      <c r="I5" s="313">
        <v>1.7113512958029072E-3</v>
      </c>
      <c r="J5" s="313">
        <v>6.5606744096607283E-5</v>
      </c>
      <c r="K5" s="313">
        <v>3.6984452301368292E-5</v>
      </c>
      <c r="L5" s="313">
        <v>1.1918218099932091E-5</v>
      </c>
      <c r="M5" s="313">
        <v>1.7607201098107558E-4</v>
      </c>
      <c r="N5" s="313">
        <v>1.0688454689470635E-4</v>
      </c>
      <c r="O5" s="313">
        <v>8.2625611830283908E-5</v>
      </c>
      <c r="P5" s="313">
        <v>2.9352391890894439E-4</v>
      </c>
      <c r="Q5" s="313">
        <v>1.6200950664475397E-4</v>
      </c>
      <c r="R5" s="313">
        <v>1.0374708474767327E-4</v>
      </c>
      <c r="S5" s="313">
        <v>9.6596557680311146E-5</v>
      </c>
      <c r="T5" s="313">
        <v>1.1230131793654816E-3</v>
      </c>
      <c r="U5" s="313">
        <v>2.9780090811205715E-4</v>
      </c>
      <c r="V5" s="313">
        <v>1.3627908793254128E-3</v>
      </c>
      <c r="W5" s="313">
        <v>5.4002934605915943E-5</v>
      </c>
      <c r="X5" s="313">
        <v>8.3841842954370977E-5</v>
      </c>
      <c r="Y5" s="313">
        <v>4.3433689844823073E-5</v>
      </c>
      <c r="Z5" s="313">
        <v>1.090804971215732E-4</v>
      </c>
      <c r="AA5" s="313">
        <v>2.1166242904038692E-4</v>
      </c>
      <c r="AB5" s="313">
        <v>4.9256407183903171E-4</v>
      </c>
      <c r="AC5" s="313">
        <v>1.4497567202670803E-4</v>
      </c>
      <c r="AD5" s="313">
        <v>1.9133112183590748E-3</v>
      </c>
      <c r="AE5" s="182">
        <f>'User Add-in Location'!E12</f>
        <v>0</v>
      </c>
      <c r="AF5" s="182">
        <f>'User Add-in Location'!F12</f>
        <v>0</v>
      </c>
      <c r="AG5" s="313">
        <v>1.4165504562094111E-4</v>
      </c>
      <c r="AH5" s="313">
        <v>1.3590524829966218E-3</v>
      </c>
      <c r="AI5" s="313">
        <v>8.5370077359418829E-5</v>
      </c>
      <c r="AJ5" s="313">
        <v>4.8605618844802896E-5</v>
      </c>
      <c r="AK5" s="313">
        <v>4.2462696253055664E-3</v>
      </c>
      <c r="AL5" s="313">
        <v>7.5693141559814972E-5</v>
      </c>
      <c r="AM5" s="313">
        <v>9.3751054752577544E-5</v>
      </c>
      <c r="AN5" s="313">
        <v>4.3922192866785803E-3</v>
      </c>
      <c r="AO5" s="313">
        <v>3.0738311641982581E-4</v>
      </c>
      <c r="AP5" s="313">
        <v>5.1501420620014482E-3</v>
      </c>
      <c r="AQ5" s="313">
        <v>1.0274266510918893E-4</v>
      </c>
      <c r="AR5" s="313">
        <v>6.2444526127930424E-4</v>
      </c>
      <c r="AS5" s="313">
        <v>0</v>
      </c>
      <c r="AT5" s="313">
        <v>0</v>
      </c>
      <c r="AU5" s="313">
        <v>0</v>
      </c>
      <c r="AV5" s="313">
        <v>0</v>
      </c>
      <c r="AW5" s="313">
        <v>0</v>
      </c>
      <c r="AX5" s="313">
        <v>0</v>
      </c>
      <c r="AY5" s="313">
        <v>0</v>
      </c>
      <c r="AZ5" s="313">
        <v>0</v>
      </c>
      <c r="BA5" s="313">
        <v>3.4110277340954229E-5</v>
      </c>
      <c r="BB5" s="313">
        <v>8.3707650110812247E-5</v>
      </c>
      <c r="BC5" s="313">
        <v>2.451877742789044E-4</v>
      </c>
      <c r="BD5" s="313">
        <v>8.1140132747039624E-5</v>
      </c>
      <c r="BE5" s="313">
        <v>3.0245730953645518E-3</v>
      </c>
      <c r="BF5" s="313">
        <v>5.5561278468903275E-4</v>
      </c>
      <c r="BG5" s="313">
        <v>6.5626079190726891E-4</v>
      </c>
      <c r="BH5" s="313">
        <v>1.761464248495377E-4</v>
      </c>
      <c r="BI5" s="313">
        <v>1.9978630042365064E-4</v>
      </c>
      <c r="BJ5" s="313">
        <v>2.7349479745951165E-5</v>
      </c>
      <c r="BK5" s="313">
        <v>4.9532614956162646E-4</v>
      </c>
      <c r="BL5" s="313">
        <v>2.8699179322324755E-5</v>
      </c>
      <c r="BM5" s="313">
        <v>1.3094530084779986E-3</v>
      </c>
    </row>
    <row r="6" spans="1:65">
      <c r="A6" s="174"/>
      <c r="B6" s="174"/>
      <c r="C6" s="406" t="s">
        <v>385</v>
      </c>
      <c r="D6" s="313">
        <v>0</v>
      </c>
      <c r="E6" s="313">
        <v>0</v>
      </c>
      <c r="F6" s="313">
        <v>0</v>
      </c>
      <c r="G6" s="313">
        <v>0</v>
      </c>
      <c r="H6" s="313">
        <v>0</v>
      </c>
      <c r="I6" s="313">
        <v>0</v>
      </c>
      <c r="J6" s="313">
        <v>0</v>
      </c>
      <c r="K6" s="313">
        <v>0</v>
      </c>
      <c r="L6" s="313">
        <v>0</v>
      </c>
      <c r="M6" s="313">
        <v>0</v>
      </c>
      <c r="N6" s="313">
        <v>0</v>
      </c>
      <c r="O6" s="313">
        <v>0</v>
      </c>
      <c r="P6" s="313">
        <v>0</v>
      </c>
      <c r="Q6" s="313">
        <v>0</v>
      </c>
      <c r="R6" s="313">
        <v>0</v>
      </c>
      <c r="S6" s="313">
        <v>0</v>
      </c>
      <c r="T6" s="313">
        <v>0</v>
      </c>
      <c r="U6" s="313">
        <v>0</v>
      </c>
      <c r="V6" s="313">
        <v>0</v>
      </c>
      <c r="W6" s="313">
        <v>0</v>
      </c>
      <c r="X6" s="313">
        <v>0</v>
      </c>
      <c r="Y6" s="313">
        <v>0</v>
      </c>
      <c r="Z6" s="313">
        <v>0</v>
      </c>
      <c r="AA6" s="313">
        <v>0</v>
      </c>
      <c r="AB6" s="313">
        <v>0</v>
      </c>
      <c r="AC6" s="313">
        <v>0</v>
      </c>
      <c r="AD6" s="313">
        <v>0</v>
      </c>
      <c r="AE6" s="182">
        <f>'User Add-in Location'!E13</f>
        <v>0</v>
      </c>
      <c r="AF6" s="182">
        <f>'User Add-in Location'!F13</f>
        <v>0</v>
      </c>
      <c r="AG6" s="313">
        <v>0</v>
      </c>
      <c r="AH6" s="313">
        <v>0</v>
      </c>
      <c r="AI6" s="313">
        <v>0</v>
      </c>
      <c r="AJ6" s="313">
        <v>0</v>
      </c>
      <c r="AK6" s="313">
        <v>0</v>
      </c>
      <c r="AL6" s="313">
        <v>0</v>
      </c>
      <c r="AM6" s="313">
        <v>0</v>
      </c>
      <c r="AN6" s="313">
        <v>0</v>
      </c>
      <c r="AO6" s="313">
        <v>0</v>
      </c>
      <c r="AP6" s="313">
        <v>0</v>
      </c>
      <c r="AQ6" s="313">
        <v>0</v>
      </c>
      <c r="AR6" s="313">
        <v>0</v>
      </c>
      <c r="AS6" s="313">
        <v>0</v>
      </c>
      <c r="AT6" s="313">
        <v>0</v>
      </c>
      <c r="AU6" s="313">
        <v>0</v>
      </c>
      <c r="AV6" s="313">
        <v>0</v>
      </c>
      <c r="AW6" s="313">
        <v>0</v>
      </c>
      <c r="AX6" s="313">
        <v>0</v>
      </c>
      <c r="AY6" s="313">
        <v>0</v>
      </c>
      <c r="AZ6" s="313">
        <v>0</v>
      </c>
      <c r="BA6" s="313">
        <v>0</v>
      </c>
      <c r="BB6" s="313">
        <v>0</v>
      </c>
      <c r="BC6" s="313">
        <v>0</v>
      </c>
      <c r="BD6" s="313">
        <v>0</v>
      </c>
      <c r="BE6" s="313">
        <v>0</v>
      </c>
      <c r="BF6" s="313">
        <v>0</v>
      </c>
      <c r="BG6" s="313">
        <v>0</v>
      </c>
      <c r="BH6" s="313">
        <v>0</v>
      </c>
      <c r="BI6" s="313">
        <v>0</v>
      </c>
      <c r="BJ6" s="313">
        <v>0</v>
      </c>
      <c r="BK6" s="313">
        <v>0</v>
      </c>
      <c r="BL6" s="313">
        <v>0</v>
      </c>
      <c r="BM6" s="313">
        <v>0</v>
      </c>
    </row>
    <row r="7" spans="1:65" ht="15.6">
      <c r="A7" s="176" t="s">
        <v>424</v>
      </c>
      <c r="B7" s="176"/>
      <c r="C7" s="406" t="s">
        <v>386</v>
      </c>
      <c r="D7" s="313">
        <v>0</v>
      </c>
      <c r="E7" s="313">
        <v>0</v>
      </c>
      <c r="F7" s="313">
        <v>0</v>
      </c>
      <c r="G7" s="313">
        <v>0</v>
      </c>
      <c r="H7" s="313">
        <v>0</v>
      </c>
      <c r="I7" s="313">
        <v>0</v>
      </c>
      <c r="J7" s="313">
        <v>0</v>
      </c>
      <c r="K7" s="313">
        <v>0</v>
      </c>
      <c r="L7" s="313">
        <v>0</v>
      </c>
      <c r="M7" s="313">
        <v>0</v>
      </c>
      <c r="N7" s="313">
        <v>0</v>
      </c>
      <c r="O7" s="313">
        <v>0</v>
      </c>
      <c r="P7" s="313">
        <v>0</v>
      </c>
      <c r="Q7" s="313">
        <v>0</v>
      </c>
      <c r="R7" s="313">
        <v>0</v>
      </c>
      <c r="S7" s="313">
        <v>0</v>
      </c>
      <c r="T7" s="313">
        <v>0</v>
      </c>
      <c r="U7" s="313">
        <v>0</v>
      </c>
      <c r="V7" s="313">
        <v>0</v>
      </c>
      <c r="W7" s="313">
        <v>0</v>
      </c>
      <c r="X7" s="313">
        <v>0</v>
      </c>
      <c r="Y7" s="313">
        <v>0</v>
      </c>
      <c r="Z7" s="313">
        <v>0</v>
      </c>
      <c r="AA7" s="313">
        <v>0</v>
      </c>
      <c r="AB7" s="313">
        <v>0</v>
      </c>
      <c r="AC7" s="313">
        <v>0</v>
      </c>
      <c r="AD7" s="313">
        <v>0</v>
      </c>
      <c r="AE7" s="182">
        <f>'User Add-in Location'!E14</f>
        <v>0</v>
      </c>
      <c r="AF7" s="182">
        <f>'User Add-in Location'!F14</f>
        <v>0</v>
      </c>
      <c r="AG7" s="313">
        <v>0</v>
      </c>
      <c r="AH7" s="313">
        <v>0</v>
      </c>
      <c r="AI7" s="313">
        <v>0</v>
      </c>
      <c r="AJ7" s="313">
        <v>0</v>
      </c>
      <c r="AK7" s="313">
        <v>0</v>
      </c>
      <c r="AL7" s="313">
        <v>0</v>
      </c>
      <c r="AM7" s="313">
        <v>0</v>
      </c>
      <c r="AN7" s="313">
        <v>0</v>
      </c>
      <c r="AO7" s="313">
        <v>0</v>
      </c>
      <c r="AP7" s="313">
        <v>0</v>
      </c>
      <c r="AQ7" s="313">
        <v>0</v>
      </c>
      <c r="AR7" s="313">
        <v>0</v>
      </c>
      <c r="AS7" s="313">
        <v>0</v>
      </c>
      <c r="AT7" s="313">
        <v>0</v>
      </c>
      <c r="AU7" s="313">
        <v>0</v>
      </c>
      <c r="AV7" s="313">
        <v>0</v>
      </c>
      <c r="AW7" s="313">
        <v>0</v>
      </c>
      <c r="AX7" s="313">
        <v>0</v>
      </c>
      <c r="AY7" s="313">
        <v>0</v>
      </c>
      <c r="AZ7" s="313">
        <v>0</v>
      </c>
      <c r="BA7" s="313">
        <v>0</v>
      </c>
      <c r="BB7" s="313">
        <v>0</v>
      </c>
      <c r="BC7" s="313">
        <v>0</v>
      </c>
      <c r="BD7" s="313">
        <v>0</v>
      </c>
      <c r="BE7" s="313">
        <v>0</v>
      </c>
      <c r="BF7" s="313">
        <v>0</v>
      </c>
      <c r="BG7" s="313">
        <v>0</v>
      </c>
      <c r="BH7" s="313">
        <v>0</v>
      </c>
      <c r="BI7" s="313">
        <v>0</v>
      </c>
      <c r="BJ7" s="313">
        <v>0</v>
      </c>
      <c r="BK7" s="313">
        <v>0</v>
      </c>
      <c r="BL7" s="313">
        <v>0</v>
      </c>
      <c r="BM7" s="313">
        <v>0</v>
      </c>
    </row>
    <row r="8" spans="1:65" ht="15">
      <c r="A8" s="177"/>
      <c r="B8" s="177"/>
      <c r="C8" s="406" t="s">
        <v>387</v>
      </c>
      <c r="D8" s="313">
        <v>0</v>
      </c>
      <c r="E8" s="313">
        <v>0</v>
      </c>
      <c r="F8" s="313">
        <v>0</v>
      </c>
      <c r="G8" s="313">
        <v>0</v>
      </c>
      <c r="H8" s="313">
        <v>0</v>
      </c>
      <c r="I8" s="313">
        <v>0</v>
      </c>
      <c r="J8" s="313">
        <v>0</v>
      </c>
      <c r="K8" s="313">
        <v>0</v>
      </c>
      <c r="L8" s="313">
        <v>0</v>
      </c>
      <c r="M8" s="313">
        <v>0</v>
      </c>
      <c r="N8" s="313">
        <v>0</v>
      </c>
      <c r="O8" s="313">
        <v>0</v>
      </c>
      <c r="P8" s="313">
        <v>0</v>
      </c>
      <c r="Q8" s="313">
        <v>0</v>
      </c>
      <c r="R8" s="313">
        <v>0</v>
      </c>
      <c r="S8" s="313">
        <v>0</v>
      </c>
      <c r="T8" s="313">
        <v>0</v>
      </c>
      <c r="U8" s="313">
        <v>0</v>
      </c>
      <c r="V8" s="313">
        <v>0</v>
      </c>
      <c r="W8" s="313">
        <v>0</v>
      </c>
      <c r="X8" s="313">
        <v>0</v>
      </c>
      <c r="Y8" s="313">
        <v>0</v>
      </c>
      <c r="Z8" s="313">
        <v>0</v>
      </c>
      <c r="AA8" s="313">
        <v>0</v>
      </c>
      <c r="AB8" s="313">
        <v>0</v>
      </c>
      <c r="AC8" s="313">
        <v>0</v>
      </c>
      <c r="AD8" s="313">
        <v>0</v>
      </c>
      <c r="AE8" s="182">
        <f>'User Add-in Location'!E15</f>
        <v>0</v>
      </c>
      <c r="AF8" s="182">
        <f>'User Add-in Location'!F15</f>
        <v>0</v>
      </c>
      <c r="AG8" s="313">
        <v>0</v>
      </c>
      <c r="AH8" s="313">
        <v>0</v>
      </c>
      <c r="AI8" s="313">
        <v>0</v>
      </c>
      <c r="AJ8" s="313">
        <v>0</v>
      </c>
      <c r="AK8" s="313">
        <v>0</v>
      </c>
      <c r="AL8" s="313">
        <v>0</v>
      </c>
      <c r="AM8" s="313">
        <v>0</v>
      </c>
      <c r="AN8" s="313">
        <v>0</v>
      </c>
      <c r="AO8" s="313">
        <v>0</v>
      </c>
      <c r="AP8" s="313">
        <v>0</v>
      </c>
      <c r="AQ8" s="313">
        <v>0</v>
      </c>
      <c r="AR8" s="313">
        <v>0</v>
      </c>
      <c r="AS8" s="313">
        <v>0</v>
      </c>
      <c r="AT8" s="313">
        <v>0</v>
      </c>
      <c r="AU8" s="313">
        <v>0</v>
      </c>
      <c r="AV8" s="313">
        <v>0</v>
      </c>
      <c r="AW8" s="313">
        <v>0</v>
      </c>
      <c r="AX8" s="313">
        <v>0</v>
      </c>
      <c r="AY8" s="313">
        <v>0</v>
      </c>
      <c r="AZ8" s="313">
        <v>0</v>
      </c>
      <c r="BA8" s="313">
        <v>0</v>
      </c>
      <c r="BB8" s="313">
        <v>0</v>
      </c>
      <c r="BC8" s="313">
        <v>0</v>
      </c>
      <c r="BD8" s="313">
        <v>0</v>
      </c>
      <c r="BE8" s="313">
        <v>0</v>
      </c>
      <c r="BF8" s="313">
        <v>0</v>
      </c>
      <c r="BG8" s="313">
        <v>0</v>
      </c>
      <c r="BH8" s="313">
        <v>0</v>
      </c>
      <c r="BI8" s="313">
        <v>0</v>
      </c>
      <c r="BJ8" s="313">
        <v>0</v>
      </c>
      <c r="BK8" s="313">
        <v>0</v>
      </c>
      <c r="BL8" s="313">
        <v>0</v>
      </c>
      <c r="BM8" s="313">
        <v>0</v>
      </c>
    </row>
    <row r="9" spans="1:65" ht="15.6">
      <c r="A9" s="176" t="s">
        <v>428</v>
      </c>
      <c r="B9" s="176"/>
      <c r="C9" s="406" t="s">
        <v>388</v>
      </c>
      <c r="D9" s="313">
        <v>0.11313074368136956</v>
      </c>
      <c r="E9" s="313">
        <v>6.636981633094198E-2</v>
      </c>
      <c r="F9" s="313">
        <v>2.8079567649695776E-2</v>
      </c>
      <c r="G9" s="313">
        <v>0.12366707065279518</v>
      </c>
      <c r="H9" s="313">
        <v>0.10529483214087607</v>
      </c>
      <c r="I9" s="313">
        <v>7.9149794147639535E-2</v>
      </c>
      <c r="J9" s="313">
        <v>9.6922674997513461E-2</v>
      </c>
      <c r="K9" s="313">
        <v>0.11717897044116415</v>
      </c>
      <c r="L9" s="313">
        <v>1.567400289986212E-3</v>
      </c>
      <c r="M9" s="313">
        <v>6.6014062781172445E-2</v>
      </c>
      <c r="N9" s="313">
        <v>9.7830679286158614E-2</v>
      </c>
      <c r="O9" s="313">
        <v>4.1013809366758809E-2</v>
      </c>
      <c r="P9" s="313">
        <v>0.11665158120202283</v>
      </c>
      <c r="Q9" s="313">
        <v>0.10914413833887057</v>
      </c>
      <c r="R9" s="313">
        <v>0.14054167925419234</v>
      </c>
      <c r="S9" s="313">
        <v>0.14770223581524805</v>
      </c>
      <c r="T9" s="313">
        <v>0.14968918293218075</v>
      </c>
      <c r="U9" s="313">
        <v>0.12537831207557465</v>
      </c>
      <c r="V9" s="313">
        <v>0.16620013018187396</v>
      </c>
      <c r="W9" s="313">
        <v>8.1851616206923813E-2</v>
      </c>
      <c r="X9" s="313">
        <v>6.3301021910661212E-2</v>
      </c>
      <c r="Y9" s="313">
        <v>9.0064666408343264E-2</v>
      </c>
      <c r="Z9" s="313">
        <v>0.10282983053362788</v>
      </c>
      <c r="AA9" s="313">
        <v>0.11939515194859916</v>
      </c>
      <c r="AB9" s="313">
        <v>0.16578473493005752</v>
      </c>
      <c r="AC9" s="313">
        <v>0.11400410644783425</v>
      </c>
      <c r="AD9" s="313">
        <v>0.11141981324032174</v>
      </c>
      <c r="AE9" s="182">
        <f>'User Add-in Location'!E16</f>
        <v>0</v>
      </c>
      <c r="AF9" s="182">
        <f>'User Add-in Location'!F16</f>
        <v>0</v>
      </c>
      <c r="AG9" s="313">
        <v>0.13720606868874302</v>
      </c>
      <c r="AH9" s="313">
        <v>5.6496629142032774E-2</v>
      </c>
      <c r="AI9" s="313">
        <v>0.11042452310261268</v>
      </c>
      <c r="AJ9" s="313">
        <v>9.7358793087317222E-2</v>
      </c>
      <c r="AK9" s="313">
        <v>7.7066337244651312E-2</v>
      </c>
      <c r="AL9" s="313">
        <v>6.5948109227436227E-2</v>
      </c>
      <c r="AM9" s="313">
        <v>0.16070047387339143</v>
      </c>
      <c r="AN9" s="313">
        <v>0.12161424546171484</v>
      </c>
      <c r="AO9" s="313">
        <v>0.10552991922281768</v>
      </c>
      <c r="AP9" s="313">
        <v>0.12705717809930539</v>
      </c>
      <c r="AQ9" s="313">
        <v>9.0681726559223005E-2</v>
      </c>
      <c r="AR9" s="313">
        <v>0.10492573192905173</v>
      </c>
      <c r="AS9" s="313">
        <v>0</v>
      </c>
      <c r="AT9" s="313">
        <v>0</v>
      </c>
      <c r="AU9" s="313">
        <v>0</v>
      </c>
      <c r="AV9" s="313">
        <v>0</v>
      </c>
      <c r="AW9" s="313">
        <v>0</v>
      </c>
      <c r="AX9" s="313">
        <v>0</v>
      </c>
      <c r="AY9" s="313">
        <v>0</v>
      </c>
      <c r="AZ9" s="313">
        <v>0</v>
      </c>
      <c r="BA9" s="313">
        <v>7.1042595665202962E-2</v>
      </c>
      <c r="BB9" s="313">
        <v>0.11173181847801662</v>
      </c>
      <c r="BC9" s="313">
        <v>0.11202658410619011</v>
      </c>
      <c r="BD9" s="313">
        <v>8.6579798838441122E-2</v>
      </c>
      <c r="BE9" s="313">
        <v>0.14083401827417094</v>
      </c>
      <c r="BF9" s="313">
        <v>0.10194163126242713</v>
      </c>
      <c r="BG9" s="313">
        <v>0.12893756845166662</v>
      </c>
      <c r="BH9" s="313">
        <v>9.0409351295070536E-2</v>
      </c>
      <c r="BI9" s="313">
        <v>9.4772823295589906E-2</v>
      </c>
      <c r="BJ9" s="313">
        <v>3.7635043378087235E-2</v>
      </c>
      <c r="BK9" s="313">
        <v>1.8806716191558805E-2</v>
      </c>
      <c r="BL9" s="313">
        <v>3.9160293955025099E-2</v>
      </c>
      <c r="BM9" s="313">
        <v>2.4482038660530486E-2</v>
      </c>
    </row>
    <row r="10" spans="1:65" ht="15.6">
      <c r="A10" s="176"/>
      <c r="B10" s="176"/>
      <c r="C10" s="406" t="s">
        <v>389</v>
      </c>
      <c r="D10" s="313">
        <v>8.5997823412818002E-5</v>
      </c>
      <c r="E10" s="313">
        <v>2.8988309020984702E-5</v>
      </c>
      <c r="F10" s="313">
        <v>1.7201912302437693E-5</v>
      </c>
      <c r="G10" s="313">
        <v>6.9240923372159883E-5</v>
      </c>
      <c r="H10" s="313">
        <v>2.1672953910970052E-5</v>
      </c>
      <c r="I10" s="313">
        <v>4.0521081859300975E-5</v>
      </c>
      <c r="J10" s="313">
        <v>2.5974550391106035E-5</v>
      </c>
      <c r="K10" s="313">
        <v>5.3335088658396078E-5</v>
      </c>
      <c r="L10" s="313">
        <v>0</v>
      </c>
      <c r="M10" s="313">
        <v>3.1357870479301879E-5</v>
      </c>
      <c r="N10" s="313">
        <v>2.14329584289394E-5</v>
      </c>
      <c r="O10" s="313">
        <v>1.0148061124806908E-5</v>
      </c>
      <c r="P10" s="313">
        <v>5.7433923405157328E-5</v>
      </c>
      <c r="Q10" s="313">
        <v>3.2398624029488142E-5</v>
      </c>
      <c r="R10" s="313">
        <v>4.9368593465363589E-5</v>
      </c>
      <c r="S10" s="313">
        <v>6.5388419368077989E-5</v>
      </c>
      <c r="T10" s="313">
        <v>5.4449478183621057E-5</v>
      </c>
      <c r="U10" s="313">
        <v>2.6059834430538946E-5</v>
      </c>
      <c r="V10" s="313">
        <v>4.8335709051767194E-5</v>
      </c>
      <c r="W10" s="313">
        <v>6.1052286778827327E-5</v>
      </c>
      <c r="X10" s="313">
        <v>1.5508898907335087E-5</v>
      </c>
      <c r="Y10" s="313">
        <v>1.5254832892325462E-5</v>
      </c>
      <c r="Z10" s="313">
        <v>3.2017083598802877E-5</v>
      </c>
      <c r="AA10" s="313">
        <v>2.853439701749919E-5</v>
      </c>
      <c r="AB10" s="313">
        <v>6.184437759823969E-5</v>
      </c>
      <c r="AC10" s="313">
        <v>3.156628444614243E-5</v>
      </c>
      <c r="AD10" s="313">
        <v>9.7413726173738597E-5</v>
      </c>
      <c r="AE10" s="182">
        <f>'User Add-in Location'!E17</f>
        <v>0</v>
      </c>
      <c r="AF10" s="182">
        <f>'User Add-in Location'!F17</f>
        <v>0</v>
      </c>
      <c r="AG10" s="313">
        <v>1.182027244060516E-4</v>
      </c>
      <c r="AH10" s="313">
        <v>5.0847528931889596E-5</v>
      </c>
      <c r="AI10" s="313">
        <v>4.4057770635706929E-5</v>
      </c>
      <c r="AJ10" s="313">
        <v>1.6595837309294408E-5</v>
      </c>
      <c r="AK10" s="313">
        <v>2.4301619774740847E-5</v>
      </c>
      <c r="AL10" s="313">
        <v>2.091029042688175E-5</v>
      </c>
      <c r="AM10" s="313">
        <v>6.7895430389738998E-5</v>
      </c>
      <c r="AN10" s="313">
        <v>6.9355318989759279E-5</v>
      </c>
      <c r="AO10" s="313">
        <v>3.7624160142106381E-5</v>
      </c>
      <c r="AP10" s="313">
        <v>1.0244650465173826E-4</v>
      </c>
      <c r="AQ10" s="313">
        <v>4.5759242233335529E-5</v>
      </c>
      <c r="AR10" s="313">
        <v>4.9059403703176851E-5</v>
      </c>
      <c r="AS10" s="313">
        <v>0</v>
      </c>
      <c r="AT10" s="313">
        <v>0</v>
      </c>
      <c r="AU10" s="313">
        <v>0</v>
      </c>
      <c r="AV10" s="313">
        <v>0</v>
      </c>
      <c r="AW10" s="313">
        <v>0</v>
      </c>
      <c r="AX10" s="313">
        <v>0</v>
      </c>
      <c r="AY10" s="313">
        <v>0</v>
      </c>
      <c r="AZ10" s="313">
        <v>0</v>
      </c>
      <c r="BA10" s="313">
        <v>1.0819263240645432E-5</v>
      </c>
      <c r="BB10" s="313">
        <v>4.3727794565446136E-5</v>
      </c>
      <c r="BC10" s="313">
        <v>3.0326636801438831E-5</v>
      </c>
      <c r="BD10" s="313">
        <v>3.3448014480315691E-5</v>
      </c>
      <c r="BE10" s="313">
        <v>7.8700995248076269E-5</v>
      </c>
      <c r="BF10" s="313">
        <v>4.6535689630517494E-5</v>
      </c>
      <c r="BG10" s="313">
        <v>1.3251802100004755E-4</v>
      </c>
      <c r="BH10" s="313">
        <v>2.6036100059062326E-5</v>
      </c>
      <c r="BI10" s="313">
        <v>7.6710549685598311E-5</v>
      </c>
      <c r="BJ10" s="313">
        <v>1.4776370326102105E-5</v>
      </c>
      <c r="BK10" s="313">
        <v>1.5373613226174778E-5</v>
      </c>
      <c r="BL10" s="313">
        <v>2.1989868517789496E-5</v>
      </c>
      <c r="BM10" s="313">
        <v>1.285020957307221E-5</v>
      </c>
    </row>
    <row r="11" spans="1:65" ht="15.6">
      <c r="A11" s="176" t="s">
        <v>454</v>
      </c>
      <c r="B11" s="176"/>
      <c r="C11" s="406" t="s">
        <v>390</v>
      </c>
      <c r="D11" s="313">
        <v>8.0777040881593669E-6</v>
      </c>
      <c r="E11" s="313">
        <v>3.4534233229249426E-6</v>
      </c>
      <c r="F11" s="313">
        <v>2.6876345942796499E-6</v>
      </c>
      <c r="G11" s="313">
        <v>1.847866106861802E-5</v>
      </c>
      <c r="H11" s="313">
        <v>2.5429673553643029E-5</v>
      </c>
      <c r="I11" s="313">
        <v>7.6046270713277231E-5</v>
      </c>
      <c r="J11" s="313">
        <v>3.5571072565228893E-5</v>
      </c>
      <c r="K11" s="313">
        <v>1.2658539796437232E-5</v>
      </c>
      <c r="L11" s="313">
        <v>0</v>
      </c>
      <c r="M11" s="313">
        <v>1.9302598513415477E-5</v>
      </c>
      <c r="N11" s="313">
        <v>1.1190496185721692E-5</v>
      </c>
      <c r="O11" s="313">
        <v>0</v>
      </c>
      <c r="P11" s="313">
        <v>1.3636437107828494E-5</v>
      </c>
      <c r="Q11" s="313">
        <v>3.8083553641043913E-5</v>
      </c>
      <c r="R11" s="313">
        <v>1.9603354320439574E-5</v>
      </c>
      <c r="S11" s="313">
        <v>6.4499202288696028E-5</v>
      </c>
      <c r="T11" s="313">
        <v>2.8736970953162907E-5</v>
      </c>
      <c r="U11" s="313">
        <v>1.7392901890607443E-5</v>
      </c>
      <c r="V11" s="313">
        <v>3.7844728373285848E-6</v>
      </c>
      <c r="W11" s="313">
        <v>3.4073924693908057E-5</v>
      </c>
      <c r="X11" s="313">
        <v>4.0551716844049765E-6</v>
      </c>
      <c r="Y11" s="313">
        <v>2.9415808825029378E-5</v>
      </c>
      <c r="Z11" s="313">
        <v>3.5439462822513167E-5</v>
      </c>
      <c r="AA11" s="313">
        <v>2.3118039475857155E-5</v>
      </c>
      <c r="AB11" s="313">
        <v>1.1208782597045565E-5</v>
      </c>
      <c r="AC11" s="313">
        <v>1.295982481933888E-5</v>
      </c>
      <c r="AD11" s="313">
        <v>3.1780861627161715E-6</v>
      </c>
      <c r="AE11" s="182">
        <f>'User Add-in Location'!E18</f>
        <v>0</v>
      </c>
      <c r="AF11" s="182">
        <f>'User Add-in Location'!F18</f>
        <v>0</v>
      </c>
      <c r="AG11" s="313">
        <v>1.2205989338209271E-5</v>
      </c>
      <c r="AH11" s="313">
        <v>4.5908684191172864E-6</v>
      </c>
      <c r="AI11" s="313">
        <v>3.5955230011871797E-5</v>
      </c>
      <c r="AJ11" s="313">
        <v>2.1575294594673514E-5</v>
      </c>
      <c r="AK11" s="313">
        <v>1.6222343360649057E-6</v>
      </c>
      <c r="AL11" s="313">
        <v>3.331151666265433E-5</v>
      </c>
      <c r="AM11" s="313">
        <v>4.1650262885056622E-5</v>
      </c>
      <c r="AN11" s="313">
        <v>1.5246201732050775E-5</v>
      </c>
      <c r="AO11" s="313">
        <v>3.633301388777274E-5</v>
      </c>
      <c r="AP11" s="313">
        <v>2.1804111722542886E-5</v>
      </c>
      <c r="AQ11" s="313">
        <v>1.790770058695382E-5</v>
      </c>
      <c r="AR11" s="313">
        <v>2.8113369592584737E-5</v>
      </c>
      <c r="AS11" s="313">
        <v>0</v>
      </c>
      <c r="AT11" s="313">
        <v>0</v>
      </c>
      <c r="AU11" s="313">
        <v>0</v>
      </c>
      <c r="AV11" s="313">
        <v>0</v>
      </c>
      <c r="AW11" s="313">
        <v>0</v>
      </c>
      <c r="AX11" s="313">
        <v>0</v>
      </c>
      <c r="AY11" s="313">
        <v>0</v>
      </c>
      <c r="AZ11" s="313">
        <v>0</v>
      </c>
      <c r="BA11" s="313">
        <v>1.5444036469557981E-5</v>
      </c>
      <c r="BB11" s="313">
        <v>5.360923894502631E-5</v>
      </c>
      <c r="BC11" s="313">
        <v>7.3001946306420608E-5</v>
      </c>
      <c r="BD11" s="313">
        <v>9.7019788406012019E-6</v>
      </c>
      <c r="BE11" s="313">
        <v>2.1146435090728776E-5</v>
      </c>
      <c r="BF11" s="313">
        <v>2.3927225059021437E-5</v>
      </c>
      <c r="BG11" s="313">
        <v>2.7019487796886146E-5</v>
      </c>
      <c r="BH11" s="313">
        <v>5.1239733384117028E-5</v>
      </c>
      <c r="BI11" s="313">
        <v>1.4154415553673998E-5</v>
      </c>
      <c r="BJ11" s="313">
        <v>4.3868463151107323E-6</v>
      </c>
      <c r="BK11" s="313">
        <v>9.8113637784692934E-7</v>
      </c>
      <c r="BL11" s="313">
        <v>1.7032118224773181E-5</v>
      </c>
      <c r="BM11" s="313">
        <v>1.3411408705666834E-6</v>
      </c>
    </row>
    <row r="12" spans="1:65">
      <c r="A12" s="174"/>
      <c r="B12" s="174"/>
      <c r="C12" s="406" t="s">
        <v>391</v>
      </c>
      <c r="D12" s="313">
        <v>2.8349553491431784E-5</v>
      </c>
      <c r="E12" s="313">
        <v>7.3045300299071271E-6</v>
      </c>
      <c r="F12" s="313">
        <v>2.2506858640559513E-5</v>
      </c>
      <c r="G12" s="313">
        <v>3.2258043238653518E-5</v>
      </c>
      <c r="H12" s="313">
        <v>5.4258307020990196E-5</v>
      </c>
      <c r="I12" s="313">
        <v>2.2775478286485488E-5</v>
      </c>
      <c r="J12" s="313">
        <v>9.4853705201561908E-5</v>
      </c>
      <c r="K12" s="313">
        <v>6.2762879774586928E-5</v>
      </c>
      <c r="L12" s="313">
        <v>4.5012864105464656E-7</v>
      </c>
      <c r="M12" s="313">
        <v>4.5918354295134941E-5</v>
      </c>
      <c r="N12" s="313">
        <v>5.0337605711956316E-5</v>
      </c>
      <c r="O12" s="313">
        <v>0</v>
      </c>
      <c r="P12" s="313">
        <v>8.6725836671224551E-5</v>
      </c>
      <c r="Q12" s="313">
        <v>8.0855581589557978E-5</v>
      </c>
      <c r="R12" s="313">
        <v>2.7081982734310636E-5</v>
      </c>
      <c r="S12" s="313">
        <v>3.9431912318564521E-5</v>
      </c>
      <c r="T12" s="313">
        <v>3.6283434591640796E-5</v>
      </c>
      <c r="U12" s="313">
        <v>2.3450247476508688E-5</v>
      </c>
      <c r="V12" s="313">
        <v>1.9253614369544025E-5</v>
      </c>
      <c r="W12" s="313">
        <v>2.405738952287266E-5</v>
      </c>
      <c r="X12" s="313">
        <v>2.4257291560462319E-5</v>
      </c>
      <c r="Y12" s="313">
        <v>7.8241090417110348E-5</v>
      </c>
      <c r="Z12" s="313">
        <v>2.8693482541627876E-5</v>
      </c>
      <c r="AA12" s="313">
        <v>5.866515863430065E-5</v>
      </c>
      <c r="AB12" s="313">
        <v>1.7415860192246643E-4</v>
      </c>
      <c r="AC12" s="313">
        <v>7.8261917145638882E-5</v>
      </c>
      <c r="AD12" s="313">
        <v>1.8316663474714796E-5</v>
      </c>
      <c r="AE12" s="182">
        <f>'User Add-in Location'!E19</f>
        <v>0</v>
      </c>
      <c r="AF12" s="182">
        <f>'User Add-in Location'!F19</f>
        <v>0</v>
      </c>
      <c r="AG12" s="313">
        <v>5.7060448611814464E-5</v>
      </c>
      <c r="AH12" s="313">
        <v>9.8593048838680288E-5</v>
      </c>
      <c r="AI12" s="313">
        <v>7.6402919195611761E-5</v>
      </c>
      <c r="AJ12" s="313">
        <v>5.0496809092731011E-5</v>
      </c>
      <c r="AK12" s="313">
        <v>2.4651079342901988E-5</v>
      </c>
      <c r="AL12" s="313">
        <v>4.8089147419845503E-5</v>
      </c>
      <c r="AM12" s="313">
        <v>1.2626539465992323E-4</v>
      </c>
      <c r="AN12" s="313">
        <v>7.5671716286269917E-6</v>
      </c>
      <c r="AO12" s="313">
        <v>4.9957402445520488E-5</v>
      </c>
      <c r="AP12" s="313">
        <v>2.1634358432933446E-5</v>
      </c>
      <c r="AQ12" s="313">
        <v>4.4073945915972262E-5</v>
      </c>
      <c r="AR12" s="313">
        <v>8.5540723286291981E-5</v>
      </c>
      <c r="AS12" s="313">
        <v>0</v>
      </c>
      <c r="AT12" s="313">
        <v>0</v>
      </c>
      <c r="AU12" s="313">
        <v>0</v>
      </c>
      <c r="AV12" s="313">
        <v>0</v>
      </c>
      <c r="AW12" s="313">
        <v>0</v>
      </c>
      <c r="AX12" s="313">
        <v>0</v>
      </c>
      <c r="AY12" s="313">
        <v>0</v>
      </c>
      <c r="AZ12" s="313">
        <v>0</v>
      </c>
      <c r="BA12" s="313">
        <v>4.525810426623181E-5</v>
      </c>
      <c r="BB12" s="313">
        <v>9.4938941239098128E-5</v>
      </c>
      <c r="BC12" s="313">
        <v>4.0912923099434846E-5</v>
      </c>
      <c r="BD12" s="313">
        <v>4.9711305380290078E-5</v>
      </c>
      <c r="BE12" s="313">
        <v>3.7721129651020348E-5</v>
      </c>
      <c r="BF12" s="313">
        <v>5.9479594707469825E-5</v>
      </c>
      <c r="BG12" s="313">
        <v>2.0894154686236337E-5</v>
      </c>
      <c r="BH12" s="313">
        <v>4.0983436478027221E-5</v>
      </c>
      <c r="BI12" s="313">
        <v>6.5785843344941632E-5</v>
      </c>
      <c r="BJ12" s="313">
        <v>1.2178580164889638E-5</v>
      </c>
      <c r="BK12" s="313">
        <v>1.7728098028683256E-6</v>
      </c>
      <c r="BL12" s="313">
        <v>3.8746777808464715E-5</v>
      </c>
      <c r="BM12" s="313">
        <v>3.3476944857860393E-6</v>
      </c>
    </row>
    <row r="13" spans="1:65">
      <c r="A13" s="174"/>
      <c r="B13" s="174"/>
      <c r="C13" s="406" t="s">
        <v>392</v>
      </c>
      <c r="D13" s="313">
        <v>1.4907693644295361E-4</v>
      </c>
      <c r="E13" s="313">
        <v>0</v>
      </c>
      <c r="F13" s="313">
        <v>8.5161919504736641E-5</v>
      </c>
      <c r="G13" s="313">
        <v>1.9339242458422313E-4</v>
      </c>
      <c r="H13" s="313">
        <v>1.2668914053803293E-4</v>
      </c>
      <c r="I13" s="313">
        <v>2.5016139245795096E-5</v>
      </c>
      <c r="J13" s="313">
        <v>6.471536700122999E-5</v>
      </c>
      <c r="K13" s="313">
        <v>2.0884027620341744E-4</v>
      </c>
      <c r="L13" s="313">
        <v>0</v>
      </c>
      <c r="M13" s="313">
        <v>1.4109126175725566E-4</v>
      </c>
      <c r="N13" s="313">
        <v>2.0841822044573627E-4</v>
      </c>
      <c r="O13" s="313">
        <v>0</v>
      </c>
      <c r="P13" s="313">
        <v>0</v>
      </c>
      <c r="Q13" s="313">
        <v>1.2299010313403681E-4</v>
      </c>
      <c r="R13" s="313">
        <v>1.3594610026204261E-4</v>
      </c>
      <c r="S13" s="313">
        <v>2.1933658723450504E-4</v>
      </c>
      <c r="T13" s="313">
        <v>1.9389044018275581E-4</v>
      </c>
      <c r="U13" s="313">
        <v>2.1707981014822001E-4</v>
      </c>
      <c r="V13" s="313">
        <v>5.7758990225188908E-6</v>
      </c>
      <c r="W13" s="313">
        <v>0</v>
      </c>
      <c r="X13" s="313">
        <v>9.660458465397157E-5</v>
      </c>
      <c r="Y13" s="313">
        <v>3.3924591389083215E-5</v>
      </c>
      <c r="Z13" s="313">
        <v>1.6844884305408363E-4</v>
      </c>
      <c r="AA13" s="313">
        <v>6.3452460886604987E-6</v>
      </c>
      <c r="AB13" s="313">
        <v>5.8538970510968412E-5</v>
      </c>
      <c r="AC13" s="313">
        <v>1.9744244480921351E-4</v>
      </c>
      <c r="AD13" s="313">
        <v>0</v>
      </c>
      <c r="AE13" s="182">
        <f>'User Add-in Location'!E20</f>
        <v>0</v>
      </c>
      <c r="AF13" s="182">
        <f>'User Add-in Location'!F20</f>
        <v>0</v>
      </c>
      <c r="AG13" s="313">
        <v>0</v>
      </c>
      <c r="AH13" s="313">
        <v>2.1303556735649881E-4</v>
      </c>
      <c r="AI13" s="313">
        <v>0</v>
      </c>
      <c r="AJ13" s="313">
        <v>2.1263372761214128E-5</v>
      </c>
      <c r="AK13" s="313">
        <v>0</v>
      </c>
      <c r="AL13" s="313">
        <v>1.887788134085467E-6</v>
      </c>
      <c r="AM13" s="313">
        <v>1.3477296823987618E-4</v>
      </c>
      <c r="AN13" s="313">
        <v>0</v>
      </c>
      <c r="AO13" s="313">
        <v>1.8642937972035759E-4</v>
      </c>
      <c r="AP13" s="313">
        <v>3.5840846565805185E-5</v>
      </c>
      <c r="AQ13" s="313">
        <v>1.6039517804308375E-4</v>
      </c>
      <c r="AR13" s="313">
        <v>6.4704778339488167E-5</v>
      </c>
      <c r="AS13" s="313">
        <v>0</v>
      </c>
      <c r="AT13" s="313">
        <v>0</v>
      </c>
      <c r="AU13" s="313">
        <v>0</v>
      </c>
      <c r="AV13" s="313">
        <v>0</v>
      </c>
      <c r="AW13" s="313">
        <v>0</v>
      </c>
      <c r="AX13" s="313">
        <v>0</v>
      </c>
      <c r="AY13" s="313">
        <v>0</v>
      </c>
      <c r="AZ13" s="313">
        <v>0</v>
      </c>
      <c r="BA13" s="313">
        <v>6.4955327082868552E-5</v>
      </c>
      <c r="BB13" s="313">
        <v>2.3650210390247295E-4</v>
      </c>
      <c r="BC13" s="313">
        <v>0</v>
      </c>
      <c r="BD13" s="313">
        <v>2.2211970380568556E-4</v>
      </c>
      <c r="BE13" s="313">
        <v>1.8774506857783562E-5</v>
      </c>
      <c r="BF13" s="313">
        <v>1.4105071932372907E-4</v>
      </c>
      <c r="BG13" s="313">
        <v>6.9912030061812852E-5</v>
      </c>
      <c r="BH13" s="313">
        <v>0</v>
      </c>
      <c r="BI13" s="313">
        <v>3.2478963281507732E-6</v>
      </c>
      <c r="BJ13" s="313">
        <v>1.1077319390025012E-6</v>
      </c>
      <c r="BK13" s="313">
        <v>2.587134163698657E-6</v>
      </c>
      <c r="BL13" s="313">
        <v>1.9271008553662257E-5</v>
      </c>
      <c r="BM13" s="313">
        <v>0</v>
      </c>
    </row>
    <row r="14" spans="1:65">
      <c r="A14" s="174"/>
      <c r="B14" s="174"/>
      <c r="C14" s="406" t="s">
        <v>393</v>
      </c>
      <c r="D14" s="313">
        <v>2.9441077991754501E-6</v>
      </c>
      <c r="E14" s="313">
        <v>0</v>
      </c>
      <c r="F14" s="313">
        <v>1.7093054595442406E-6</v>
      </c>
      <c r="G14" s="313">
        <v>1.4186512535794953E-5</v>
      </c>
      <c r="H14" s="313">
        <v>5.2417143402611251E-6</v>
      </c>
      <c r="I14" s="313">
        <v>3.7591577182302762E-6</v>
      </c>
      <c r="J14" s="313">
        <v>4.7222784037049554E-5</v>
      </c>
      <c r="K14" s="313">
        <v>0</v>
      </c>
      <c r="L14" s="313">
        <v>1.7929858549355204E-7</v>
      </c>
      <c r="M14" s="313">
        <v>1.7580734947126155E-5</v>
      </c>
      <c r="N14" s="313">
        <v>1.4880221397438145E-5</v>
      </c>
      <c r="O14" s="313">
        <v>0</v>
      </c>
      <c r="P14" s="313">
        <v>9.4935572814226538E-6</v>
      </c>
      <c r="Q14" s="313">
        <v>1.0220939562174867E-5</v>
      </c>
      <c r="R14" s="313">
        <v>7.8917075457919664E-6</v>
      </c>
      <c r="S14" s="313">
        <v>0</v>
      </c>
      <c r="T14" s="313">
        <v>2.8131069901273878E-6</v>
      </c>
      <c r="U14" s="313">
        <v>1.8175697128813846E-6</v>
      </c>
      <c r="V14" s="313">
        <v>2.1634115826641413E-7</v>
      </c>
      <c r="W14" s="313">
        <v>4.2823834826290023E-6</v>
      </c>
      <c r="X14" s="313">
        <v>4.6859540628051287E-6</v>
      </c>
      <c r="Y14" s="313">
        <v>3.5694647182702856E-5</v>
      </c>
      <c r="Z14" s="313">
        <v>2.4957768987843719E-7</v>
      </c>
      <c r="AA14" s="313">
        <v>7.6174105535645514E-6</v>
      </c>
      <c r="AB14" s="313">
        <v>2.5437225924390499E-6</v>
      </c>
      <c r="AC14" s="313">
        <v>0</v>
      </c>
      <c r="AD14" s="313">
        <v>8.9636942889639572E-6</v>
      </c>
      <c r="AE14" s="182">
        <f>'User Add-in Location'!E21</f>
        <v>0</v>
      </c>
      <c r="AF14" s="182">
        <f>'User Add-in Location'!F21</f>
        <v>0</v>
      </c>
      <c r="AG14" s="313">
        <v>1.5722694917817117E-5</v>
      </c>
      <c r="AH14" s="313">
        <v>3.9491493166127846E-4</v>
      </c>
      <c r="AI14" s="313">
        <v>2.5040218935052858E-4</v>
      </c>
      <c r="AJ14" s="313">
        <v>7.5439394075065928E-6</v>
      </c>
      <c r="AK14" s="313">
        <v>3.2337875527936013E-6</v>
      </c>
      <c r="AL14" s="313">
        <v>5.2046451237871456E-6</v>
      </c>
      <c r="AM14" s="313">
        <v>2.4978112824542745E-5</v>
      </c>
      <c r="AN14" s="313">
        <v>1.2134308680278327E-5</v>
      </c>
      <c r="AO14" s="313">
        <v>4.6103632520879094E-6</v>
      </c>
      <c r="AP14" s="313">
        <v>0</v>
      </c>
      <c r="AQ14" s="313">
        <v>0</v>
      </c>
      <c r="AR14" s="313">
        <v>1.3329831616232153E-5</v>
      </c>
      <c r="AS14" s="313">
        <v>0</v>
      </c>
      <c r="AT14" s="313">
        <v>0</v>
      </c>
      <c r="AU14" s="313">
        <v>0</v>
      </c>
      <c r="AV14" s="313">
        <v>0</v>
      </c>
      <c r="AW14" s="313">
        <v>0</v>
      </c>
      <c r="AX14" s="313">
        <v>0</v>
      </c>
      <c r="AY14" s="313">
        <v>0</v>
      </c>
      <c r="AZ14" s="313">
        <v>0</v>
      </c>
      <c r="BA14" s="313">
        <v>2.6806034508284434E-6</v>
      </c>
      <c r="BB14" s="313">
        <v>2.0410001272836175E-5</v>
      </c>
      <c r="BC14" s="313">
        <v>0</v>
      </c>
      <c r="BD14" s="313">
        <v>1.1773804442861342E-6</v>
      </c>
      <c r="BE14" s="313">
        <v>9.9809933295602459E-6</v>
      </c>
      <c r="BF14" s="313">
        <v>1.0894092286512738E-5</v>
      </c>
      <c r="BG14" s="313">
        <v>4.1277661992443804E-6</v>
      </c>
      <c r="BH14" s="313">
        <v>7.3436006076950757E-5</v>
      </c>
      <c r="BI14" s="313">
        <v>5.2651300457382403E-6</v>
      </c>
      <c r="BJ14" s="313">
        <v>3.8189917919614672E-7</v>
      </c>
      <c r="BK14" s="313">
        <v>7.30479780671973E-7</v>
      </c>
      <c r="BL14" s="313">
        <v>3.738961667310549E-6</v>
      </c>
      <c r="BM14" s="313">
        <v>5.0286070583101127E-6</v>
      </c>
    </row>
    <row r="15" spans="1:65">
      <c r="A15" s="174"/>
      <c r="B15" s="174"/>
      <c r="C15" s="406" t="s">
        <v>394</v>
      </c>
      <c r="D15" s="313">
        <v>4.7780775121223688E-2</v>
      </c>
      <c r="E15" s="313">
        <v>2.4834744188711934E-2</v>
      </c>
      <c r="F15" s="313">
        <v>5.2344569638781348E-2</v>
      </c>
      <c r="G15" s="313">
        <v>4.5172619718655063E-2</v>
      </c>
      <c r="H15" s="313">
        <v>5.0687102028490534E-2</v>
      </c>
      <c r="I15" s="313">
        <v>5.4263075835598619E-2</v>
      </c>
      <c r="J15" s="313">
        <v>4.7670126661904122E-2</v>
      </c>
      <c r="K15" s="313">
        <v>2.5740863793231025E-2</v>
      </c>
      <c r="L15" s="313">
        <v>1.8611353210172626E-2</v>
      </c>
      <c r="M15" s="313">
        <v>5.3421151673460947E-2</v>
      </c>
      <c r="N15" s="313">
        <v>6.060210266005258E-2</v>
      </c>
      <c r="O15" s="313">
        <v>4.3238601549040148E-2</v>
      </c>
      <c r="P15" s="313">
        <v>4.7297034519191171E-2</v>
      </c>
      <c r="Q15" s="313">
        <v>4.8483647462554173E-2</v>
      </c>
      <c r="R15" s="313">
        <v>3.900117297261451E-2</v>
      </c>
      <c r="S15" s="313">
        <v>4.6525769541252225E-2</v>
      </c>
      <c r="T15" s="313">
        <v>4.5888153058283136E-2</v>
      </c>
      <c r="U15" s="313">
        <v>4.9236727107232724E-2</v>
      </c>
      <c r="V15" s="313">
        <v>3.6602222610747345E-2</v>
      </c>
      <c r="W15" s="313">
        <v>3.8347838960603953E-2</v>
      </c>
      <c r="X15" s="313">
        <v>3.7366791871184836E-2</v>
      </c>
      <c r="Y15" s="313">
        <v>5.0019562593427165E-2</v>
      </c>
      <c r="Z15" s="313">
        <v>3.5530110575170464E-2</v>
      </c>
      <c r="AA15" s="313">
        <v>5.0200098631073969E-2</v>
      </c>
      <c r="AB15" s="313">
        <v>3.8806237663463854E-2</v>
      </c>
      <c r="AC15" s="313">
        <v>5.3822601450930194E-2</v>
      </c>
      <c r="AD15" s="313">
        <v>3.403469445222105E-2</v>
      </c>
      <c r="AE15" s="182">
        <f>'User Add-in Location'!E22</f>
        <v>0</v>
      </c>
      <c r="AF15" s="182">
        <f>'User Add-in Location'!F22</f>
        <v>0</v>
      </c>
      <c r="AG15" s="313">
        <v>4.7131061805224424E-2</v>
      </c>
      <c r="AH15" s="313">
        <v>3.8652575484680401E-2</v>
      </c>
      <c r="AI15" s="313">
        <v>3.4743986964885239E-2</v>
      </c>
      <c r="AJ15" s="313">
        <v>4.8711989827890309E-2</v>
      </c>
      <c r="AK15" s="313">
        <v>3.6750520635968752E-2</v>
      </c>
      <c r="AL15" s="313">
        <v>5.1280487620827854E-2</v>
      </c>
      <c r="AM15" s="313">
        <v>5.3468517417823852E-2</v>
      </c>
      <c r="AN15" s="313">
        <v>3.9426239439031362E-2</v>
      </c>
      <c r="AO15" s="313">
        <v>4.8207786046236467E-3</v>
      </c>
      <c r="AP15" s="313">
        <v>4.2387288992270497E-2</v>
      </c>
      <c r="AQ15" s="313">
        <v>5.4417374008636131E-2</v>
      </c>
      <c r="AR15" s="313">
        <v>4.305408776208703E-2</v>
      </c>
      <c r="AS15" s="313">
        <v>0</v>
      </c>
      <c r="AT15" s="313">
        <v>0</v>
      </c>
      <c r="AU15" s="313">
        <v>0</v>
      </c>
      <c r="AV15" s="313">
        <v>0</v>
      </c>
      <c r="AW15" s="313">
        <v>0</v>
      </c>
      <c r="AX15" s="313">
        <v>0</v>
      </c>
      <c r="AY15" s="313">
        <v>0</v>
      </c>
      <c r="AZ15" s="313">
        <v>0</v>
      </c>
      <c r="BA15" s="313">
        <v>2.89244652112455E-2</v>
      </c>
      <c r="BB15" s="313">
        <v>4.1989444412145589E-2</v>
      </c>
      <c r="BC15" s="313">
        <v>5.0375151910316988E-2</v>
      </c>
      <c r="BD15" s="313">
        <v>6.0377059478316376E-2</v>
      </c>
      <c r="BE15" s="313">
        <v>5.5726691955327957E-2</v>
      </c>
      <c r="BF15" s="313">
        <v>4.3689863372770268E-2</v>
      </c>
      <c r="BG15" s="313">
        <v>5.5267738973926547E-2</v>
      </c>
      <c r="BH15" s="313">
        <v>2.7848892229587644E-2</v>
      </c>
      <c r="BI15" s="313">
        <v>3.261537490999207E-2</v>
      </c>
      <c r="BJ15" s="313">
        <v>4.3121659867884875E-2</v>
      </c>
      <c r="BK15" s="313">
        <v>4.552912216204779E-2</v>
      </c>
      <c r="BL15" s="313">
        <v>4.6819912488099802E-2</v>
      </c>
      <c r="BM15" s="313">
        <v>3.5899927093895077E-2</v>
      </c>
    </row>
    <row r="16" spans="1:65">
      <c r="A16" s="174"/>
      <c r="B16" s="174"/>
      <c r="C16" s="406" t="s">
        <v>395</v>
      </c>
      <c r="D16" s="313">
        <v>0.15332477001046188</v>
      </c>
      <c r="E16" s="313">
        <v>0.10512778134810394</v>
      </c>
      <c r="F16" s="313">
        <v>0.14280941394227037</v>
      </c>
      <c r="G16" s="313">
        <v>0.1535936058469605</v>
      </c>
      <c r="H16" s="313">
        <v>0.11983326570056159</v>
      </c>
      <c r="I16" s="313">
        <v>0.12905088330245146</v>
      </c>
      <c r="J16" s="313">
        <v>0.12219406966960045</v>
      </c>
      <c r="K16" s="313">
        <v>0.12373536933067197</v>
      </c>
      <c r="L16" s="313">
        <v>8.0080295176680513E-2</v>
      </c>
      <c r="M16" s="313">
        <v>0.14200682846335991</v>
      </c>
      <c r="N16" s="313">
        <v>0.14589362432483366</v>
      </c>
      <c r="O16" s="313">
        <v>0.13511893587547336</v>
      </c>
      <c r="P16" s="313">
        <v>0.15193063867655446</v>
      </c>
      <c r="Q16" s="313">
        <v>0.11580604739091672</v>
      </c>
      <c r="R16" s="313">
        <v>0.13285319811001745</v>
      </c>
      <c r="S16" s="313">
        <v>0.14302468218290107</v>
      </c>
      <c r="T16" s="313">
        <v>0.13490621658490493</v>
      </c>
      <c r="U16" s="313">
        <v>0.14897473880007747</v>
      </c>
      <c r="V16" s="313">
        <v>0.13826118706549259</v>
      </c>
      <c r="W16" s="313">
        <v>0.14960741655648208</v>
      </c>
      <c r="X16" s="313">
        <v>0.12036269244898451</v>
      </c>
      <c r="Y16" s="313">
        <v>0.11477585995855399</v>
      </c>
      <c r="Z16" s="313">
        <v>0.12931137258310071</v>
      </c>
      <c r="AA16" s="313">
        <v>0.11739759557976327</v>
      </c>
      <c r="AB16" s="313">
        <v>0.15101510179276958</v>
      </c>
      <c r="AC16" s="313">
        <v>0.12947213884131478</v>
      </c>
      <c r="AD16" s="313">
        <v>0.1289568920565807</v>
      </c>
      <c r="AE16" s="182">
        <f>'User Add-in Location'!E23</f>
        <v>0</v>
      </c>
      <c r="AF16" s="182">
        <f>'User Add-in Location'!F23</f>
        <v>0</v>
      </c>
      <c r="AG16" s="313">
        <v>0.13414212873345804</v>
      </c>
      <c r="AH16" s="313">
        <v>0.14001981711000774</v>
      </c>
      <c r="AI16" s="313">
        <v>0.12326413268879256</v>
      </c>
      <c r="AJ16" s="313">
        <v>0.12043840056047946</v>
      </c>
      <c r="AK16" s="313">
        <v>0.13079239421784303</v>
      </c>
      <c r="AL16" s="313">
        <v>0.12215033213080691</v>
      </c>
      <c r="AM16" s="313">
        <v>0.15194976745093516</v>
      </c>
      <c r="AN16" s="313">
        <v>0.14241749168312368</v>
      </c>
      <c r="AO16" s="313">
        <v>0.12614855794297639</v>
      </c>
      <c r="AP16" s="313">
        <v>0.14250789808316094</v>
      </c>
      <c r="AQ16" s="313">
        <v>0.13008389613682131</v>
      </c>
      <c r="AR16" s="313">
        <v>0.11731205151152019</v>
      </c>
      <c r="AS16" s="313">
        <v>0</v>
      </c>
      <c r="AT16" s="313">
        <v>0</v>
      </c>
      <c r="AU16" s="313">
        <v>0</v>
      </c>
      <c r="AV16" s="313">
        <v>0</v>
      </c>
      <c r="AW16" s="313">
        <v>0</v>
      </c>
      <c r="AX16" s="313">
        <v>0</v>
      </c>
      <c r="AY16" s="313">
        <v>0</v>
      </c>
      <c r="AZ16" s="313">
        <v>0</v>
      </c>
      <c r="BA16" s="313">
        <v>0.10318425414666831</v>
      </c>
      <c r="BB16" s="313">
        <v>0.17023172159687161</v>
      </c>
      <c r="BC16" s="313">
        <v>0.12242462762344004</v>
      </c>
      <c r="BD16" s="313">
        <v>0.14946288727422943</v>
      </c>
      <c r="BE16" s="313">
        <v>0.13305244699006041</v>
      </c>
      <c r="BF16" s="313">
        <v>0.10837306877409518</v>
      </c>
      <c r="BG16" s="313">
        <v>0.14908985914527728</v>
      </c>
      <c r="BH16" s="313">
        <v>0.12755028475483421</v>
      </c>
      <c r="BI16" s="313">
        <v>0.12356040576329515</v>
      </c>
      <c r="BJ16" s="313">
        <v>0.12022787680386714</v>
      </c>
      <c r="BK16" s="313">
        <v>0.14726042709701415</v>
      </c>
      <c r="BL16" s="313">
        <v>0.12901389002771038</v>
      </c>
      <c r="BM16" s="313">
        <v>0.14924395660526371</v>
      </c>
    </row>
    <row r="17" spans="1:65">
      <c r="A17" s="174"/>
      <c r="B17" s="174"/>
      <c r="C17" s="406" t="s">
        <v>396</v>
      </c>
      <c r="D17" s="313">
        <v>2.6854452136088388E-2</v>
      </c>
      <c r="E17" s="313">
        <v>3.7667969087436061E-2</v>
      </c>
      <c r="F17" s="313">
        <v>3.097853369592345E-2</v>
      </c>
      <c r="G17" s="313">
        <v>3.0249412726432348E-2</v>
      </c>
      <c r="H17" s="313">
        <v>2.8893446458433825E-2</v>
      </c>
      <c r="I17" s="313">
        <v>3.6554297267850727E-2</v>
      </c>
      <c r="J17" s="313">
        <v>2.8219940842299555E-2</v>
      </c>
      <c r="K17" s="313">
        <v>3.6849504543653391E-2</v>
      </c>
      <c r="L17" s="313">
        <v>1.5757185879162364E-2</v>
      </c>
      <c r="M17" s="313">
        <v>2.7129000296645625E-2</v>
      </c>
      <c r="N17" s="313">
        <v>3.3522147541465624E-2</v>
      </c>
      <c r="O17" s="313">
        <v>1.9052572754755581E-2</v>
      </c>
      <c r="P17" s="313">
        <v>2.564166350125521E-2</v>
      </c>
      <c r="Q17" s="313">
        <v>2.8453937969876268E-2</v>
      </c>
      <c r="R17" s="313">
        <v>2.7783154327642591E-2</v>
      </c>
      <c r="S17" s="313">
        <v>2.4890087457823104E-2</v>
      </c>
      <c r="T17" s="313">
        <v>2.8245594695562693E-2</v>
      </c>
      <c r="U17" s="313">
        <v>2.46652724487657E-2</v>
      </c>
      <c r="V17" s="313">
        <v>2.6949575718500072E-2</v>
      </c>
      <c r="W17" s="313">
        <v>3.0010281568136468E-2</v>
      </c>
      <c r="X17" s="313">
        <v>2.8343240814464377E-2</v>
      </c>
      <c r="Y17" s="313">
        <v>2.5053964096613542E-2</v>
      </c>
      <c r="Z17" s="313">
        <v>2.5523294916862744E-2</v>
      </c>
      <c r="AA17" s="313">
        <v>2.5415130039573564E-2</v>
      </c>
      <c r="AB17" s="313">
        <v>2.7125790887363398E-2</v>
      </c>
      <c r="AC17" s="313">
        <v>2.8654452139454518E-2</v>
      </c>
      <c r="AD17" s="313">
        <v>3.2524661900753461E-2</v>
      </c>
      <c r="AE17" s="182">
        <f>'User Add-in Location'!E24</f>
        <v>0</v>
      </c>
      <c r="AF17" s="182">
        <f>'User Add-in Location'!F24</f>
        <v>0</v>
      </c>
      <c r="AG17" s="313">
        <v>2.9802790979693808E-2</v>
      </c>
      <c r="AH17" s="313">
        <v>2.9244843686772843E-2</v>
      </c>
      <c r="AI17" s="313">
        <v>2.3479055726422046E-2</v>
      </c>
      <c r="AJ17" s="313">
        <v>3.0045561803812088E-2</v>
      </c>
      <c r="AK17" s="313">
        <v>3.0145654791141292E-2</v>
      </c>
      <c r="AL17" s="313">
        <v>3.430197157549706E-2</v>
      </c>
      <c r="AM17" s="313">
        <v>2.8900131369039968E-2</v>
      </c>
      <c r="AN17" s="313">
        <v>2.9005885471622771E-2</v>
      </c>
      <c r="AO17" s="313">
        <v>2.7109084664681364E-2</v>
      </c>
      <c r="AP17" s="313">
        <v>3.0238605775226936E-2</v>
      </c>
      <c r="AQ17" s="313">
        <v>2.6155507306706623E-2</v>
      </c>
      <c r="AR17" s="313">
        <v>3.0049455739057845E-2</v>
      </c>
      <c r="AS17" s="313">
        <v>0</v>
      </c>
      <c r="AT17" s="313">
        <v>0</v>
      </c>
      <c r="AU17" s="313">
        <v>0</v>
      </c>
      <c r="AV17" s="313">
        <v>0</v>
      </c>
      <c r="AW17" s="313">
        <v>0</v>
      </c>
      <c r="AX17" s="313">
        <v>0</v>
      </c>
      <c r="AY17" s="313">
        <v>0</v>
      </c>
      <c r="AZ17" s="313">
        <v>0</v>
      </c>
      <c r="BA17" s="313">
        <v>2.3113759850659617E-2</v>
      </c>
      <c r="BB17" s="313">
        <v>2.2628746834691561E-2</v>
      </c>
      <c r="BC17" s="313">
        <v>2.6866104783529878E-2</v>
      </c>
      <c r="BD17" s="313">
        <v>2.3602577117157349E-2</v>
      </c>
      <c r="BE17" s="313">
        <v>2.8731525547239043E-2</v>
      </c>
      <c r="BF17" s="313">
        <v>3.2886994620782033E-2</v>
      </c>
      <c r="BG17" s="313">
        <v>2.5848531176919289E-2</v>
      </c>
      <c r="BH17" s="313">
        <v>3.1344037383648549E-2</v>
      </c>
      <c r="BI17" s="313">
        <v>2.9426690615099199E-2</v>
      </c>
      <c r="BJ17" s="313">
        <v>3.0734550673801212E-2</v>
      </c>
      <c r="BK17" s="313">
        <v>2.9696634694804384E-2</v>
      </c>
      <c r="BL17" s="313">
        <v>2.8553019332885957E-2</v>
      </c>
      <c r="BM17" s="313">
        <v>4.6194636331186291E-2</v>
      </c>
    </row>
    <row r="18" spans="1:65">
      <c r="A18" s="174"/>
      <c r="B18" s="174"/>
      <c r="C18" s="406" t="s">
        <v>397</v>
      </c>
      <c r="D18" s="313">
        <v>0.21799032799014909</v>
      </c>
      <c r="E18" s="313">
        <v>0.2171925429682065</v>
      </c>
      <c r="F18" s="313">
        <v>0.23161564630075829</v>
      </c>
      <c r="G18" s="313">
        <v>0.19777055825828055</v>
      </c>
      <c r="H18" s="313">
        <v>0.24320885298214265</v>
      </c>
      <c r="I18" s="313">
        <v>0.22248218663693248</v>
      </c>
      <c r="J18" s="313">
        <v>0.23468186692901441</v>
      </c>
      <c r="K18" s="313">
        <v>0.18328424521776054</v>
      </c>
      <c r="L18" s="313">
        <v>0.24993455137019949</v>
      </c>
      <c r="M18" s="313">
        <v>0.22836446702670538</v>
      </c>
      <c r="N18" s="313">
        <v>0.21212290835593722</v>
      </c>
      <c r="O18" s="313">
        <v>0.2480291331961271</v>
      </c>
      <c r="P18" s="313">
        <v>0.21217967863166307</v>
      </c>
      <c r="Q18" s="313">
        <v>0.19755362045052396</v>
      </c>
      <c r="R18" s="313">
        <v>0.17169280087751546</v>
      </c>
      <c r="S18" s="313">
        <v>0.18726135628706606</v>
      </c>
      <c r="T18" s="313">
        <v>0.20271425423468686</v>
      </c>
      <c r="U18" s="313">
        <v>0.18415355892844384</v>
      </c>
      <c r="V18" s="313">
        <v>0.18625354753569789</v>
      </c>
      <c r="W18" s="313">
        <v>0.19494206361533761</v>
      </c>
      <c r="X18" s="313">
        <v>0.24973716535113849</v>
      </c>
      <c r="Y18" s="313">
        <v>0.21243238058950464</v>
      </c>
      <c r="Z18" s="313">
        <v>0.1894896725796236</v>
      </c>
      <c r="AA18" s="313">
        <v>0.18741148552703776</v>
      </c>
      <c r="AB18" s="313">
        <v>0.2082710953381062</v>
      </c>
      <c r="AC18" s="313">
        <v>0.18888879426558727</v>
      </c>
      <c r="AD18" s="313">
        <v>0.18508874208686432</v>
      </c>
      <c r="AE18" s="182">
        <f>'User Add-in Location'!E25</f>
        <v>0</v>
      </c>
      <c r="AF18" s="182">
        <f>'User Add-in Location'!F25</f>
        <v>0</v>
      </c>
      <c r="AG18" s="313">
        <v>0.19245901722904368</v>
      </c>
      <c r="AH18" s="313">
        <v>0.26270025028117094</v>
      </c>
      <c r="AI18" s="313">
        <v>0.226423541890904</v>
      </c>
      <c r="AJ18" s="313">
        <v>0.221686680706844</v>
      </c>
      <c r="AK18" s="313">
        <v>0.20859151256085615</v>
      </c>
      <c r="AL18" s="313">
        <v>0.21066630341511072</v>
      </c>
      <c r="AM18" s="313">
        <v>0.19887395211744313</v>
      </c>
      <c r="AN18" s="313">
        <v>0.16375072201267862</v>
      </c>
      <c r="AO18" s="313">
        <v>0.19568292060330184</v>
      </c>
      <c r="AP18" s="313">
        <v>0.19608659484458668</v>
      </c>
      <c r="AQ18" s="313">
        <v>0.21445803913182909</v>
      </c>
      <c r="AR18" s="313">
        <v>0.1911284737928256</v>
      </c>
      <c r="AS18" s="313">
        <v>0</v>
      </c>
      <c r="AT18" s="313">
        <v>0</v>
      </c>
      <c r="AU18" s="313">
        <v>0</v>
      </c>
      <c r="AV18" s="313">
        <v>0</v>
      </c>
      <c r="AW18" s="313">
        <v>0</v>
      </c>
      <c r="AX18" s="313">
        <v>0</v>
      </c>
      <c r="AY18" s="313">
        <v>0</v>
      </c>
      <c r="AZ18" s="313">
        <v>0</v>
      </c>
      <c r="BA18" s="313">
        <v>0.25630258906238629</v>
      </c>
      <c r="BB18" s="313">
        <v>0.21974576693803258</v>
      </c>
      <c r="BC18" s="313">
        <v>0.18460943888085235</v>
      </c>
      <c r="BD18" s="313">
        <v>0.20796638649739954</v>
      </c>
      <c r="BE18" s="313">
        <v>0.20035568689670902</v>
      </c>
      <c r="BF18" s="313">
        <v>0.21281185312088269</v>
      </c>
      <c r="BG18" s="313">
        <v>0.20602403631932339</v>
      </c>
      <c r="BH18" s="313">
        <v>0.19582312726863019</v>
      </c>
      <c r="BI18" s="313">
        <v>0.24822440908751284</v>
      </c>
      <c r="BJ18" s="313">
        <v>0.24489713814407518</v>
      </c>
      <c r="BK18" s="313">
        <v>0.21978782907744429</v>
      </c>
      <c r="BL18" s="313">
        <v>0.23612355522483944</v>
      </c>
      <c r="BM18" s="313">
        <v>0.30614475266221314</v>
      </c>
    </row>
    <row r="19" spans="1:65">
      <c r="A19" s="174"/>
      <c r="B19" s="174"/>
      <c r="C19" s="406" t="s">
        <v>398</v>
      </c>
      <c r="D19" s="313">
        <v>4.3241803117903287E-2</v>
      </c>
      <c r="E19" s="313">
        <v>2.6064787080653809E-2</v>
      </c>
      <c r="F19" s="313">
        <v>3.300867972428629E-2</v>
      </c>
      <c r="G19" s="313">
        <v>4.2153928841190777E-2</v>
      </c>
      <c r="H19" s="313">
        <v>3.8294226064705464E-2</v>
      </c>
      <c r="I19" s="313">
        <v>3.4486530083041908E-2</v>
      </c>
      <c r="J19" s="313">
        <v>3.3893278298969008E-2</v>
      </c>
      <c r="K19" s="313">
        <v>3.148459650543569E-2</v>
      </c>
      <c r="L19" s="313">
        <v>5.6627892977335621E-2</v>
      </c>
      <c r="M19" s="313">
        <v>4.5156531404956207E-2</v>
      </c>
      <c r="N19" s="313">
        <v>3.8492015642072136E-2</v>
      </c>
      <c r="O19" s="313">
        <v>3.0529407658992262E-2</v>
      </c>
      <c r="P19" s="313">
        <v>4.2547231524650876E-2</v>
      </c>
      <c r="Q19" s="313">
        <v>4.0158132263930918E-2</v>
      </c>
      <c r="R19" s="313">
        <v>2.4465521825782158E-2</v>
      </c>
      <c r="S19" s="313">
        <v>3.9033746101421275E-2</v>
      </c>
      <c r="T19" s="313">
        <v>4.3822266483421635E-2</v>
      </c>
      <c r="U19" s="313">
        <v>3.0928567935622316E-2</v>
      </c>
      <c r="V19" s="313">
        <v>2.8843791962030362E-2</v>
      </c>
      <c r="W19" s="313">
        <v>2.302504362769759E-2</v>
      </c>
      <c r="X19" s="313">
        <v>2.4435523823484986E-2</v>
      </c>
      <c r="Y19" s="313">
        <v>3.4536610661076453E-2</v>
      </c>
      <c r="Z19" s="313">
        <v>2.9008294055753E-2</v>
      </c>
      <c r="AA19" s="313">
        <v>3.3950200400668956E-2</v>
      </c>
      <c r="AB19" s="313">
        <v>3.4756757124129165E-2</v>
      </c>
      <c r="AC19" s="313">
        <v>4.1794538122514234E-2</v>
      </c>
      <c r="AD19" s="313">
        <v>3.5729981380525702E-2</v>
      </c>
      <c r="AE19" s="182">
        <f>'User Add-in Location'!E26</f>
        <v>0</v>
      </c>
      <c r="AF19" s="182">
        <f>'User Add-in Location'!F26</f>
        <v>0</v>
      </c>
      <c r="AG19" s="313">
        <v>4.8655733561479481E-2</v>
      </c>
      <c r="AH19" s="313">
        <v>7.2072388164888243E-2</v>
      </c>
      <c r="AI19" s="313">
        <v>2.6991032957851789E-2</v>
      </c>
      <c r="AJ19" s="313">
        <v>2.3815526542011193E-2</v>
      </c>
      <c r="AK19" s="313">
        <v>2.857887895548927E-2</v>
      </c>
      <c r="AL19" s="313">
        <v>4.5382092083542463E-2</v>
      </c>
      <c r="AM19" s="313">
        <v>3.2422668670509358E-2</v>
      </c>
      <c r="AN19" s="313">
        <v>4.6456632743772576E-2</v>
      </c>
      <c r="AO19" s="313">
        <v>4.7227369957887677E-2</v>
      </c>
      <c r="AP19" s="313">
        <v>4.1848459164235935E-2</v>
      </c>
      <c r="AQ19" s="313">
        <v>2.73045086112697E-2</v>
      </c>
      <c r="AR19" s="313">
        <v>3.6545252833245633E-2</v>
      </c>
      <c r="AS19" s="313">
        <v>0</v>
      </c>
      <c r="AT19" s="313">
        <v>0</v>
      </c>
      <c r="AU19" s="313">
        <v>0</v>
      </c>
      <c r="AV19" s="313">
        <v>0</v>
      </c>
      <c r="AW19" s="313">
        <v>0</v>
      </c>
      <c r="AX19" s="313">
        <v>0</v>
      </c>
      <c r="AY19" s="313">
        <v>0</v>
      </c>
      <c r="AZ19" s="313">
        <v>0</v>
      </c>
      <c r="BA19" s="313">
        <v>3.9891939933213619E-2</v>
      </c>
      <c r="BB19" s="313">
        <v>2.8496693193906738E-2</v>
      </c>
      <c r="BC19" s="313">
        <v>5.8876970903387234E-2</v>
      </c>
      <c r="BD19" s="313">
        <v>3.7002545369853215E-2</v>
      </c>
      <c r="BE19" s="313">
        <v>4.5833653087858431E-2</v>
      </c>
      <c r="BF19" s="313">
        <v>4.7144857049199983E-2</v>
      </c>
      <c r="BG19" s="313">
        <v>4.9246684678990925E-2</v>
      </c>
      <c r="BH19" s="313">
        <v>2.1035525514082089E-2</v>
      </c>
      <c r="BI19" s="313">
        <v>4.5005078048512524E-2</v>
      </c>
      <c r="BJ19" s="313">
        <v>3.3782768414954534E-2</v>
      </c>
      <c r="BK19" s="313">
        <v>2.9761561203055786E-2</v>
      </c>
      <c r="BL19" s="313">
        <v>4.3370950518533326E-2</v>
      </c>
      <c r="BM19" s="313">
        <v>5.892840722299314E-2</v>
      </c>
    </row>
    <row r="20" spans="1:65">
      <c r="A20" s="174"/>
      <c r="B20" s="174"/>
      <c r="C20" s="406" t="s">
        <v>399</v>
      </c>
      <c r="D20" s="313">
        <v>7.1079125880620314E-3</v>
      </c>
      <c r="E20" s="313">
        <v>7.6493958583308749E-3</v>
      </c>
      <c r="F20" s="313">
        <v>9.1179180084477122E-3</v>
      </c>
      <c r="G20" s="313">
        <v>6.5109743857337931E-3</v>
      </c>
      <c r="H20" s="313">
        <v>1.2729319291007048E-2</v>
      </c>
      <c r="I20" s="313">
        <v>1.1672120761360628E-2</v>
      </c>
      <c r="J20" s="313">
        <v>1.5214268626518864E-2</v>
      </c>
      <c r="K20" s="313">
        <v>8.5942503786997637E-3</v>
      </c>
      <c r="L20" s="313">
        <v>1.3594870813809149E-2</v>
      </c>
      <c r="M20" s="313">
        <v>8.2507107953956639E-3</v>
      </c>
      <c r="N20" s="313">
        <v>1.0020024571551151E-2</v>
      </c>
      <c r="O20" s="313">
        <v>9.2805263825133343E-3</v>
      </c>
      <c r="P20" s="313">
        <v>5.5125475446012118E-3</v>
      </c>
      <c r="Q20" s="313">
        <v>1.6104381673036718E-2</v>
      </c>
      <c r="R20" s="313">
        <v>8.4481430895538469E-3</v>
      </c>
      <c r="S20" s="313">
        <v>9.8361271356077092E-3</v>
      </c>
      <c r="T20" s="313">
        <v>9.0858290623188134E-3</v>
      </c>
      <c r="U20" s="313">
        <v>7.9595966162181488E-3</v>
      </c>
      <c r="V20" s="313">
        <v>6.7027256749662509E-3</v>
      </c>
      <c r="W20" s="313">
        <v>8.6330898717418489E-3</v>
      </c>
      <c r="X20" s="313">
        <v>1.4254118409670414E-2</v>
      </c>
      <c r="Y20" s="313">
        <v>1.6100011290936623E-2</v>
      </c>
      <c r="Z20" s="313">
        <v>1.413306692214508E-2</v>
      </c>
      <c r="AA20" s="313">
        <v>1.318215709260525E-2</v>
      </c>
      <c r="AB20" s="313">
        <v>5.5926698237514887E-3</v>
      </c>
      <c r="AC20" s="313">
        <v>1.1663838654029741E-2</v>
      </c>
      <c r="AD20" s="313">
        <v>6.427107349736976E-3</v>
      </c>
      <c r="AE20" s="182">
        <f>'User Add-in Location'!E27</f>
        <v>0</v>
      </c>
      <c r="AF20" s="182">
        <f>'User Add-in Location'!F27</f>
        <v>0</v>
      </c>
      <c r="AG20" s="313">
        <v>9.9954344846648179E-3</v>
      </c>
      <c r="AH20" s="313">
        <v>8.4335250679015341E-3</v>
      </c>
      <c r="AI20" s="313">
        <v>1.1270211134668832E-2</v>
      </c>
      <c r="AJ20" s="313">
        <v>1.9003838594275946E-2</v>
      </c>
      <c r="AK20" s="313">
        <v>1.1822506858404991E-2</v>
      </c>
      <c r="AL20" s="313">
        <v>1.7334529648470397E-2</v>
      </c>
      <c r="AM20" s="313">
        <v>5.2216613899529682E-3</v>
      </c>
      <c r="AN20" s="313">
        <v>6.0177971712120472E-3</v>
      </c>
      <c r="AO20" s="313">
        <v>1.3003555363262817E-2</v>
      </c>
      <c r="AP20" s="313">
        <v>5.8222710262177445E-3</v>
      </c>
      <c r="AQ20" s="313">
        <v>1.0957498305514608E-2</v>
      </c>
      <c r="AR20" s="313">
        <v>1.5169465566195597E-2</v>
      </c>
      <c r="AS20" s="313">
        <v>0</v>
      </c>
      <c r="AT20" s="313">
        <v>0</v>
      </c>
      <c r="AU20" s="313">
        <v>0</v>
      </c>
      <c r="AV20" s="313">
        <v>0</v>
      </c>
      <c r="AW20" s="313">
        <v>0</v>
      </c>
      <c r="AX20" s="313">
        <v>0</v>
      </c>
      <c r="AY20" s="313">
        <v>0</v>
      </c>
      <c r="AZ20" s="313">
        <v>0</v>
      </c>
      <c r="BA20" s="313">
        <v>7.5455864337012086E-3</v>
      </c>
      <c r="BB20" s="313">
        <v>6.1758327271532005E-3</v>
      </c>
      <c r="BC20" s="313">
        <v>5.7161860031411833E-3</v>
      </c>
      <c r="BD20" s="313">
        <v>7.4226173581483394E-3</v>
      </c>
      <c r="BE20" s="313">
        <v>1.0231745920366339E-2</v>
      </c>
      <c r="BF20" s="313">
        <v>1.2250750296615924E-2</v>
      </c>
      <c r="BG20" s="313">
        <v>8.5942580080133127E-3</v>
      </c>
      <c r="BH20" s="313">
        <v>1.2761158890026414E-2</v>
      </c>
      <c r="BI20" s="313">
        <v>1.287293104432944E-2</v>
      </c>
      <c r="BJ20" s="313">
        <v>1.3166582284047778E-2</v>
      </c>
      <c r="BK20" s="313">
        <v>1.1893955828540309E-2</v>
      </c>
      <c r="BL20" s="313">
        <v>1.4026290371731035E-2</v>
      </c>
      <c r="BM20" s="313">
        <v>4.7830419181345302E-3</v>
      </c>
    </row>
    <row r="21" spans="1:65">
      <c r="A21" s="174"/>
      <c r="B21" s="174"/>
      <c r="C21" s="406" t="s">
        <v>400</v>
      </c>
      <c r="D21" s="313">
        <v>9.4555203716423404E-4</v>
      </c>
      <c r="E21" s="313">
        <v>8.6967457346112122E-4</v>
      </c>
      <c r="F21" s="313">
        <v>1.5816367617301898E-3</v>
      </c>
      <c r="G21" s="313">
        <v>8.3226033220793383E-4</v>
      </c>
      <c r="H21" s="313">
        <v>1.7342709344930764E-3</v>
      </c>
      <c r="I21" s="313">
        <v>1.8394140667925571E-3</v>
      </c>
      <c r="J21" s="313">
        <v>1.8291888898785227E-3</v>
      </c>
      <c r="K21" s="313">
        <v>1.1447598271974611E-3</v>
      </c>
      <c r="L21" s="313">
        <v>5.0937407223283111E-3</v>
      </c>
      <c r="M21" s="313">
        <v>1.6236072784845395E-3</v>
      </c>
      <c r="N21" s="313">
        <v>1.951337138029091E-3</v>
      </c>
      <c r="O21" s="313">
        <v>1.2255485396897063E-3</v>
      </c>
      <c r="P21" s="313">
        <v>8.0344125756125402E-4</v>
      </c>
      <c r="Q21" s="313">
        <v>1.8975905194961054E-3</v>
      </c>
      <c r="R21" s="313">
        <v>8.1072919147383456E-4</v>
      </c>
      <c r="S21" s="313">
        <v>9.4813257822937245E-4</v>
      </c>
      <c r="T21" s="313">
        <v>1.0901298676187902E-3</v>
      </c>
      <c r="U21" s="313">
        <v>9.7309579108182038E-4</v>
      </c>
      <c r="V21" s="313">
        <v>8.2804111702353914E-4</v>
      </c>
      <c r="W21" s="313">
        <v>1.1703162527345078E-3</v>
      </c>
      <c r="X21" s="313">
        <v>1.9369047339313217E-3</v>
      </c>
      <c r="Y21" s="313">
        <v>2.0524250361469609E-3</v>
      </c>
      <c r="Z21" s="313">
        <v>1.1363054524029215E-3</v>
      </c>
      <c r="AA21" s="313">
        <v>1.3453510613974629E-3</v>
      </c>
      <c r="AB21" s="313">
        <v>7.1206488852208023E-4</v>
      </c>
      <c r="AC21" s="313">
        <v>1.4723683341895423E-3</v>
      </c>
      <c r="AD21" s="313">
        <v>1.0369929754674091E-3</v>
      </c>
      <c r="AE21" s="182">
        <f>'User Add-in Location'!E28</f>
        <v>0</v>
      </c>
      <c r="AF21" s="182">
        <f>'User Add-in Location'!F28</f>
        <v>0</v>
      </c>
      <c r="AG21" s="313">
        <v>1.1224091357968232E-3</v>
      </c>
      <c r="AH21" s="313">
        <v>1.1581633107974048E-3</v>
      </c>
      <c r="AI21" s="313">
        <v>1.2512774306044927E-3</v>
      </c>
      <c r="AJ21" s="313">
        <v>2.1171672244875207E-3</v>
      </c>
      <c r="AK21" s="313">
        <v>6.7865140694253203E-4</v>
      </c>
      <c r="AL21" s="313">
        <v>2.319333017468954E-3</v>
      </c>
      <c r="AM21" s="313">
        <v>1.1039862122916475E-3</v>
      </c>
      <c r="AN21" s="313">
        <v>6.8788245481644786E-4</v>
      </c>
      <c r="AO21" s="313">
        <v>1.2283684306379152E-3</v>
      </c>
      <c r="AP21" s="313">
        <v>1.2890379566773845E-3</v>
      </c>
      <c r="AQ21" s="313">
        <v>1.1652453397173414E-3</v>
      </c>
      <c r="AR21" s="313">
        <v>1.7210877447407852E-3</v>
      </c>
      <c r="AS21" s="313">
        <v>0</v>
      </c>
      <c r="AT21" s="313">
        <v>0</v>
      </c>
      <c r="AU21" s="313">
        <v>0</v>
      </c>
      <c r="AV21" s="313">
        <v>0</v>
      </c>
      <c r="AW21" s="313">
        <v>0</v>
      </c>
      <c r="AX21" s="313">
        <v>0</v>
      </c>
      <c r="AY21" s="313">
        <v>0</v>
      </c>
      <c r="AZ21" s="313">
        <v>0</v>
      </c>
      <c r="BA21" s="313">
        <v>1.3217513574143517E-3</v>
      </c>
      <c r="BB21" s="313">
        <v>1.1563870647240059E-3</v>
      </c>
      <c r="BC21" s="313">
        <v>6.4970285250539825E-4</v>
      </c>
      <c r="BD21" s="313">
        <v>9.6885946770042741E-4</v>
      </c>
      <c r="BE21" s="313">
        <v>1.5069732629683795E-3</v>
      </c>
      <c r="BF21" s="313">
        <v>1.4863803381040222E-3</v>
      </c>
      <c r="BG21" s="313">
        <v>1.1101239463740945E-3</v>
      </c>
      <c r="BH21" s="313">
        <v>1.0989150517334519E-3</v>
      </c>
      <c r="BI21" s="313">
        <v>1.9748690902728393E-3</v>
      </c>
      <c r="BJ21" s="313">
        <v>1.5530322106587745E-3</v>
      </c>
      <c r="BK21" s="313">
        <v>7.9260332591118336E-4</v>
      </c>
      <c r="BL21" s="313">
        <v>1.0447922211850988E-3</v>
      </c>
      <c r="BM21" s="313">
        <v>8.8405170164441874E-4</v>
      </c>
    </row>
    <row r="22" spans="1:65">
      <c r="A22" s="174"/>
      <c r="B22" s="174"/>
      <c r="C22" s="406" t="s">
        <v>401</v>
      </c>
      <c r="D22" s="313">
        <v>2.3687887378584827E-4</v>
      </c>
      <c r="E22" s="313">
        <v>3.9132249617553289E-4</v>
      </c>
      <c r="F22" s="313">
        <v>3.1752955588950813E-4</v>
      </c>
      <c r="G22" s="313">
        <v>1.4504592679435782E-4</v>
      </c>
      <c r="H22" s="313">
        <v>3.651904636490742E-4</v>
      </c>
      <c r="I22" s="313">
        <v>3.9463798980401927E-4</v>
      </c>
      <c r="J22" s="313">
        <v>3.5327289405004934E-4</v>
      </c>
      <c r="K22" s="313">
        <v>2.4212859035085006E-4</v>
      </c>
      <c r="L22" s="313">
        <v>1.0285759587808729E-3</v>
      </c>
      <c r="M22" s="313">
        <v>3.1245032130473985E-4</v>
      </c>
      <c r="N22" s="313">
        <v>4.105921539622069E-4</v>
      </c>
      <c r="O22" s="313">
        <v>3.1420403818106161E-4</v>
      </c>
      <c r="P22" s="313">
        <v>1.8744912703966298E-4</v>
      </c>
      <c r="Q22" s="313">
        <v>3.6645229486890579E-4</v>
      </c>
      <c r="R22" s="313">
        <v>1.7406821453669821E-4</v>
      </c>
      <c r="S22" s="313">
        <v>1.83520782102863E-4</v>
      </c>
      <c r="T22" s="313">
        <v>2.3466145356869521E-4</v>
      </c>
      <c r="U22" s="313">
        <v>1.720379841235097E-4</v>
      </c>
      <c r="V22" s="313">
        <v>2.4828740236113896E-4</v>
      </c>
      <c r="W22" s="313">
        <v>2.4706672814086037E-4</v>
      </c>
      <c r="X22" s="313">
        <v>4.1590223083079258E-4</v>
      </c>
      <c r="Y22" s="313">
        <v>4.365737667386365E-4</v>
      </c>
      <c r="Z22" s="313">
        <v>2.6187852726074814E-4</v>
      </c>
      <c r="AA22" s="313">
        <v>2.8794268133232353E-4</v>
      </c>
      <c r="AB22" s="313">
        <v>1.3203884612999741E-4</v>
      </c>
      <c r="AC22" s="313">
        <v>2.8775471159402349E-4</v>
      </c>
      <c r="AD22" s="313">
        <v>2.194443486760145E-4</v>
      </c>
      <c r="AE22" s="182">
        <f>'User Add-in Location'!E29</f>
        <v>0</v>
      </c>
      <c r="AF22" s="182">
        <f>'User Add-in Location'!F29</f>
        <v>0</v>
      </c>
      <c r="AG22" s="313">
        <v>2.3048932599776238E-4</v>
      </c>
      <c r="AH22" s="313">
        <v>2.6081523755046472E-4</v>
      </c>
      <c r="AI22" s="313">
        <v>2.6811922127109697E-4</v>
      </c>
      <c r="AJ22" s="313">
        <v>4.4597208877118874E-4</v>
      </c>
      <c r="AK22" s="313">
        <v>1.9136619204661277E-4</v>
      </c>
      <c r="AL22" s="313">
        <v>4.8311637974964337E-4</v>
      </c>
      <c r="AM22" s="313">
        <v>2.3289558487070964E-4</v>
      </c>
      <c r="AN22" s="313">
        <v>1.8491132743306732E-4</v>
      </c>
      <c r="AO22" s="313">
        <v>2.6085588745957463E-4</v>
      </c>
      <c r="AP22" s="313">
        <v>1.6322249157226947E-4</v>
      </c>
      <c r="AQ22" s="313">
        <v>2.478864560849264E-4</v>
      </c>
      <c r="AR22" s="313">
        <v>3.9005096440137567E-4</v>
      </c>
      <c r="AS22" s="313">
        <v>0</v>
      </c>
      <c r="AT22" s="313">
        <v>0</v>
      </c>
      <c r="AU22" s="313">
        <v>0</v>
      </c>
      <c r="AV22" s="313">
        <v>0</v>
      </c>
      <c r="AW22" s="313">
        <v>0</v>
      </c>
      <c r="AX22" s="313">
        <v>0</v>
      </c>
      <c r="AY22" s="313">
        <v>0</v>
      </c>
      <c r="AZ22" s="313">
        <v>0</v>
      </c>
      <c r="BA22" s="313">
        <v>2.679603460703149E-4</v>
      </c>
      <c r="BB22" s="313">
        <v>2.8116955126377031E-4</v>
      </c>
      <c r="BC22" s="313">
        <v>1.4253148766175488E-4</v>
      </c>
      <c r="BD22" s="313">
        <v>2.0621944881690608E-4</v>
      </c>
      <c r="BE22" s="313">
        <v>3.3135220248948252E-4</v>
      </c>
      <c r="BF22" s="313">
        <v>2.9771634658941066E-4</v>
      </c>
      <c r="BG22" s="313">
        <v>2.3826810294619362E-4</v>
      </c>
      <c r="BH22" s="313">
        <v>2.3668699293689964E-4</v>
      </c>
      <c r="BI22" s="313">
        <v>4.2337285061054656E-4</v>
      </c>
      <c r="BJ22" s="313">
        <v>3.5079232548736281E-4</v>
      </c>
      <c r="BK22" s="313">
        <v>1.7946787912235377E-4</v>
      </c>
      <c r="BL22" s="313">
        <v>2.5971365012723255E-4</v>
      </c>
      <c r="BM22" s="313">
        <v>1.8451369748694052E-4</v>
      </c>
    </row>
    <row r="23" spans="1:65">
      <c r="A23" s="174"/>
      <c r="B23" s="174"/>
      <c r="C23" s="406" t="s">
        <v>402</v>
      </c>
      <c r="D23" s="313">
        <v>0.36660124638305353</v>
      </c>
      <c r="E23" s="313">
        <v>0.48599372555855375</v>
      </c>
      <c r="F23" s="313">
        <v>0.45062317201615137</v>
      </c>
      <c r="G23" s="313">
        <v>0.3805544292192477</v>
      </c>
      <c r="H23" s="313">
        <v>0.38117928817442459</v>
      </c>
      <c r="I23" s="313">
        <v>0.40770802928906419</v>
      </c>
      <c r="J23" s="313">
        <v>0.4027854062487069</v>
      </c>
      <c r="K23" s="313">
        <v>0.45424964935180762</v>
      </c>
      <c r="L23" s="313">
        <v>0.51726699666401199</v>
      </c>
      <c r="M23" s="313">
        <v>0.41356952966026356</v>
      </c>
      <c r="N23" s="313">
        <v>0.38217650725365837</v>
      </c>
      <c r="O23" s="313">
        <v>0.45187564600946228</v>
      </c>
      <c r="P23" s="313">
        <v>0.37503348819760085</v>
      </c>
      <c r="Q23" s="313">
        <v>0.42944109926191659</v>
      </c>
      <c r="R23" s="313">
        <v>0.43947631024839917</v>
      </c>
      <c r="S23" s="313">
        <v>0.38162078925719339</v>
      </c>
      <c r="T23" s="313">
        <v>0.36383330699573235</v>
      </c>
      <c r="U23" s="313">
        <v>0.40829271156230773</v>
      </c>
      <c r="V23" s="313">
        <v>0.39283277989804188</v>
      </c>
      <c r="W23" s="313">
        <v>0.45428980662807467</v>
      </c>
      <c r="X23" s="313">
        <v>0.43733235710228613</v>
      </c>
      <c r="Y23" s="313">
        <v>0.44024762389809391</v>
      </c>
      <c r="Z23" s="313">
        <v>0.45661687516508509</v>
      </c>
      <c r="AA23" s="313">
        <v>0.43465186939570122</v>
      </c>
      <c r="AB23" s="313">
        <v>0.34807466693286926</v>
      </c>
      <c r="AC23" s="313">
        <v>0.4130323210469749</v>
      </c>
      <c r="AD23" s="313">
        <v>0.44260528427051754</v>
      </c>
      <c r="AE23" s="182">
        <f>'User Add-in Location'!E30</f>
        <v>0</v>
      </c>
      <c r="AF23" s="182">
        <f>'User Add-in Location'!F30</f>
        <v>0</v>
      </c>
      <c r="AG23" s="313">
        <v>0.3822739828791768</v>
      </c>
      <c r="AH23" s="313">
        <v>0.37459648321774325</v>
      </c>
      <c r="AI23" s="313">
        <v>0.42596760816420232</v>
      </c>
      <c r="AJ23" s="313">
        <v>0.42235614035366947</v>
      </c>
      <c r="AK23" s="313">
        <v>0.43967325804420765</v>
      </c>
      <c r="AL23" s="313">
        <v>0.43317219007305924</v>
      </c>
      <c r="AM23" s="313">
        <v>0.34736775425442018</v>
      </c>
      <c r="AN23" s="313">
        <v>0.42917716836312902</v>
      </c>
      <c r="AO23" s="313">
        <v>0.46272823528646329</v>
      </c>
      <c r="AP23" s="313">
        <v>0.3847254531273856</v>
      </c>
      <c r="AQ23" s="313">
        <v>0.42336970425641013</v>
      </c>
      <c r="AR23" s="313">
        <v>0.44363688403233176</v>
      </c>
      <c r="AS23" s="313">
        <v>0</v>
      </c>
      <c r="AT23" s="313">
        <v>0</v>
      </c>
      <c r="AU23" s="313">
        <v>0</v>
      </c>
      <c r="AV23" s="313">
        <v>0</v>
      </c>
      <c r="AW23" s="313">
        <v>0</v>
      </c>
      <c r="AX23" s="313">
        <v>0</v>
      </c>
      <c r="AY23" s="313">
        <v>0</v>
      </c>
      <c r="AZ23" s="313">
        <v>0</v>
      </c>
      <c r="BA23" s="313">
        <v>0.45196012343944247</v>
      </c>
      <c r="BB23" s="313">
        <v>0.37902223786594585</v>
      </c>
      <c r="BC23" s="313">
        <v>0.41944369865254899</v>
      </c>
      <c r="BD23" s="313">
        <v>0.41208814270372668</v>
      </c>
      <c r="BE23" s="313">
        <v>0.36447896208098812</v>
      </c>
      <c r="BF23" s="313">
        <v>0.42125346002848019</v>
      </c>
      <c r="BG23" s="313">
        <v>0.3572872111125317</v>
      </c>
      <c r="BH23" s="313">
        <v>0.47057084351829953</v>
      </c>
      <c r="BI23" s="313">
        <v>0.38955151738156607</v>
      </c>
      <c r="BJ23" s="313">
        <v>0.45515694594643252</v>
      </c>
      <c r="BK23" s="313">
        <v>0.47810074540244418</v>
      </c>
      <c r="BL23" s="313">
        <v>0.44264403013419684</v>
      </c>
      <c r="BM23" s="313">
        <v>0.34924133125594875</v>
      </c>
    </row>
    <row r="24" spans="1:65">
      <c r="A24" s="174"/>
      <c r="B24" s="174"/>
      <c r="C24" s="406" t="s">
        <v>403</v>
      </c>
      <c r="D24" s="313">
        <v>1.6270346289753664E-2</v>
      </c>
      <c r="E24" s="313">
        <v>2.0899259424872727E-2</v>
      </c>
      <c r="F24" s="313">
        <v>1.5027888025886537E-2</v>
      </c>
      <c r="G24" s="313">
        <v>1.1922464288596155E-2</v>
      </c>
      <c r="H24" s="313">
        <v>1.45774831029469E-2</v>
      </c>
      <c r="I24" s="313">
        <v>1.5328596341871573E-2</v>
      </c>
      <c r="J24" s="313">
        <v>1.485899717618434E-2</v>
      </c>
      <c r="K24" s="313">
        <v>1.3405669415812943E-2</v>
      </c>
      <c r="L24" s="313">
        <v>4.0404373012126127E-2</v>
      </c>
      <c r="M24" s="313">
        <v>1.1385293105054907E-2</v>
      </c>
      <c r="N24" s="313">
        <v>1.1830720789964227E-2</v>
      </c>
      <c r="O24" s="313">
        <v>1.8185532944960624E-2</v>
      </c>
      <c r="P24" s="313">
        <v>1.3371523024664725E-2</v>
      </c>
      <c r="Q24" s="313">
        <v>1.112571651473397E-2</v>
      </c>
      <c r="R24" s="313">
        <v>1.1536934501601415E-2</v>
      </c>
      <c r="S24" s="313">
        <v>1.238574862686433E-2</v>
      </c>
      <c r="T24" s="313">
        <v>1.3024890574813257E-2</v>
      </c>
      <c r="U24" s="313">
        <v>1.3332905713262172E-2</v>
      </c>
      <c r="V24" s="313">
        <v>1.2002363953922277E-2</v>
      </c>
      <c r="W24" s="313">
        <v>1.4034991956334536E-2</v>
      </c>
      <c r="X24" s="313">
        <v>2.0452498396677305E-2</v>
      </c>
      <c r="Y24" s="313">
        <v>1.3782556501384524E-2</v>
      </c>
      <c r="Z24" s="313">
        <v>1.2844972906804406E-2</v>
      </c>
      <c r="AA24" s="313">
        <v>1.267128909198703E-2</v>
      </c>
      <c r="AB24" s="313">
        <v>1.2380080144481609E-2</v>
      </c>
      <c r="AC24" s="313">
        <v>1.2082163408418745E-2</v>
      </c>
      <c r="AD24" s="313">
        <v>1.307946048993905E-2</v>
      </c>
      <c r="AE24" s="182">
        <f>'User Add-in Location'!E31</f>
        <v>0</v>
      </c>
      <c r="AF24" s="182">
        <f>'User Add-in Location'!F31</f>
        <v>0</v>
      </c>
      <c r="AG24" s="313">
        <v>1.0823745960343746E-2</v>
      </c>
      <c r="AH24" s="313">
        <v>1.2124444926755981E-2</v>
      </c>
      <c r="AI24" s="313">
        <v>1.3791928891014897E-2</v>
      </c>
      <c r="AJ24" s="313">
        <v>1.3310383582474073E-2</v>
      </c>
      <c r="AK24" s="313">
        <v>2.4064236210666546E-2</v>
      </c>
      <c r="AL24" s="313">
        <v>1.470094453052651E-2</v>
      </c>
      <c r="AM24" s="313">
        <v>1.3910870027264934E-2</v>
      </c>
      <c r="AN24" s="313">
        <v>1.3700075916822011E-2</v>
      </c>
      <c r="AO24" s="313">
        <v>1.2934565267511612E-2</v>
      </c>
      <c r="AP24" s="313">
        <v>1.6144760935085795E-2</v>
      </c>
      <c r="AQ24" s="313">
        <v>1.4582436942074848E-2</v>
      </c>
      <c r="AR24" s="313">
        <v>1.2279162084614506E-2</v>
      </c>
      <c r="AS24" s="313">
        <v>0</v>
      </c>
      <c r="AT24" s="313">
        <v>0</v>
      </c>
      <c r="AU24" s="313">
        <v>0</v>
      </c>
      <c r="AV24" s="313">
        <v>0</v>
      </c>
      <c r="AW24" s="313">
        <v>0</v>
      </c>
      <c r="AX24" s="313">
        <v>0</v>
      </c>
      <c r="AY24" s="313">
        <v>0</v>
      </c>
      <c r="AZ24" s="313">
        <v>0</v>
      </c>
      <c r="BA24" s="313">
        <v>1.6131533806641361E-2</v>
      </c>
      <c r="BB24" s="313">
        <v>1.4697974786672048E-2</v>
      </c>
      <c r="BC24" s="313">
        <v>1.2712683422639136E-2</v>
      </c>
      <c r="BD24" s="313">
        <v>1.1214392300209375E-2</v>
      </c>
      <c r="BE24" s="313">
        <v>1.2103624346131023E-2</v>
      </c>
      <c r="BF24" s="313">
        <v>1.2404730860084151E-2</v>
      </c>
      <c r="BG24" s="313">
        <v>1.3758992082433604E-2</v>
      </c>
      <c r="BH24" s="313">
        <v>1.2954320057292931E-2</v>
      </c>
      <c r="BI24" s="313">
        <v>1.7832627000259289E-2</v>
      </c>
      <c r="BJ24" s="313">
        <v>1.5760482547024186E-2</v>
      </c>
      <c r="BK24" s="313">
        <v>1.5384704857994766E-2</v>
      </c>
      <c r="BL24" s="313">
        <v>1.2830636725357367E-2</v>
      </c>
      <c r="BM24" s="313">
        <v>1.9350238647680828E-2</v>
      </c>
    </row>
    <row r="25" spans="1:65">
      <c r="A25" s="174"/>
      <c r="B25" s="174"/>
      <c r="C25" s="406" t="s">
        <v>404</v>
      </c>
      <c r="D25" s="313">
        <v>1.8657642670154045E-7</v>
      </c>
      <c r="E25" s="313">
        <v>1.4740965334241315E-7</v>
      </c>
      <c r="F25" s="313">
        <v>9.1073011022119483E-5</v>
      </c>
      <c r="G25" s="313">
        <v>2.4146021722279789E-6</v>
      </c>
      <c r="H25" s="313">
        <v>9.744298159128378E-5</v>
      </c>
      <c r="I25" s="313">
        <v>2.3692577096810941E-5</v>
      </c>
      <c r="J25" s="313">
        <v>4.0013949293365525E-6</v>
      </c>
      <c r="K25" s="313">
        <v>2.5303742334835603E-7</v>
      </c>
      <c r="L25" s="313">
        <v>5.6312710651039E-7</v>
      </c>
      <c r="M25" s="313">
        <v>4.0040191220635107E-5</v>
      </c>
      <c r="N25" s="313">
        <v>9.6780031513381877E-7</v>
      </c>
      <c r="O25" s="313">
        <v>9.2186392828151691E-8</v>
      </c>
      <c r="P25" s="313">
        <v>4.0466283157953524E-4</v>
      </c>
      <c r="Q25" s="313">
        <v>9.9366882252194498E-7</v>
      </c>
      <c r="R25" s="313">
        <v>2.9047321278036016E-7</v>
      </c>
      <c r="S25" s="313">
        <v>2.5572848189894461E-6</v>
      </c>
      <c r="T25" s="313">
        <v>6.7848037801623648E-7</v>
      </c>
      <c r="U25" s="313">
        <v>1.4082567094491904E-6</v>
      </c>
      <c r="V25" s="313">
        <v>1.2475577664695404E-7</v>
      </c>
      <c r="W25" s="313">
        <v>3.97084445489855E-5</v>
      </c>
      <c r="X25" s="313">
        <v>2.2659529659538548E-6</v>
      </c>
      <c r="Y25" s="313">
        <v>7.9346269392651425E-5</v>
      </c>
      <c r="Z25" s="313">
        <v>1.2907388875758779E-6</v>
      </c>
      <c r="AA25" s="313">
        <v>1.903383997025246E-5</v>
      </c>
      <c r="AB25" s="313">
        <v>2.2993467208696591E-6</v>
      </c>
      <c r="AC25" s="313">
        <v>8.230951502054084E-6</v>
      </c>
      <c r="AD25" s="313">
        <v>3.4251035771205855E-7</v>
      </c>
      <c r="AE25" s="182">
        <f>'User Add-in Location'!E32</f>
        <v>0</v>
      </c>
      <c r="AF25" s="182">
        <f>'User Add-in Location'!F32</f>
        <v>0</v>
      </c>
      <c r="AG25" s="313">
        <v>6.1580327110691746E-6</v>
      </c>
      <c r="AH25" s="313">
        <v>2.7073670799533705E-6</v>
      </c>
      <c r="AI25" s="313">
        <v>2.7653805506750091E-5</v>
      </c>
      <c r="AJ25" s="313">
        <v>1.5329004003283746E-5</v>
      </c>
      <c r="AK25" s="313">
        <v>1.1852136542604245E-4</v>
      </c>
      <c r="AL25" s="313">
        <v>2.4006545856359418E-5</v>
      </c>
      <c r="AM25" s="313">
        <v>4.8032766067912336E-5</v>
      </c>
      <c r="AN25" s="313">
        <v>1.7701295306349509E-5</v>
      </c>
      <c r="AO25" s="313">
        <v>7.370439859166434E-6</v>
      </c>
      <c r="AP25" s="313">
        <v>2.5704330138848739E-6</v>
      </c>
      <c r="AQ25" s="313">
        <v>5.2458474683029664E-4</v>
      </c>
      <c r="AR25" s="313">
        <v>1.1147148833202129E-5</v>
      </c>
      <c r="AS25" s="313">
        <v>0</v>
      </c>
      <c r="AT25" s="313">
        <v>0</v>
      </c>
      <c r="AU25" s="313">
        <v>0</v>
      </c>
      <c r="AV25" s="313">
        <v>0</v>
      </c>
      <c r="AW25" s="313">
        <v>0</v>
      </c>
      <c r="AX25" s="313">
        <v>0</v>
      </c>
      <c r="AY25" s="313">
        <v>0</v>
      </c>
      <c r="AZ25" s="313">
        <v>0</v>
      </c>
      <c r="BA25" s="313">
        <v>6.0531685726086074E-6</v>
      </c>
      <c r="BB25" s="313">
        <v>2.7068486978223495E-7</v>
      </c>
      <c r="BC25" s="313">
        <v>3.4402506117363318E-5</v>
      </c>
      <c r="BD25" s="313">
        <v>4.9518039369412015E-8</v>
      </c>
      <c r="BE25" s="313">
        <v>8.2626921396861306E-5</v>
      </c>
      <c r="BF25" s="313">
        <v>3.7094587368715041E-5</v>
      </c>
      <c r="BG25" s="313">
        <v>5.0160466600752543E-5</v>
      </c>
      <c r="BH25" s="313">
        <v>2.0528080079211948E-4</v>
      </c>
      <c r="BI25" s="313">
        <v>1.6246570360348394E-5</v>
      </c>
      <c r="BJ25" s="313">
        <v>7.0159155642109351E-6</v>
      </c>
      <c r="BK25" s="313">
        <v>1.6611546204297489E-7</v>
      </c>
      <c r="BL25" s="313">
        <v>7.6619713108235668E-8</v>
      </c>
      <c r="BM25" s="313">
        <v>0</v>
      </c>
    </row>
    <row r="26" spans="1:65" ht="15.6">
      <c r="A26" s="176" t="s">
        <v>473</v>
      </c>
      <c r="B26" s="176"/>
      <c r="C26" s="3" t="s">
        <v>133</v>
      </c>
      <c r="D26" s="10">
        <f>SUM(D4:D25)</f>
        <v>1</v>
      </c>
      <c r="E26" s="10">
        <f t="shared" ref="E26:BM26" si="0">SUM(E4:E25)</f>
        <v>1</v>
      </c>
      <c r="F26" s="10">
        <f t="shared" si="0"/>
        <v>0.99999999999999989</v>
      </c>
      <c r="G26" s="10">
        <f t="shared" si="0"/>
        <v>0.99999999999999989</v>
      </c>
      <c r="H26" s="10">
        <f t="shared" si="0"/>
        <v>1</v>
      </c>
      <c r="I26" s="10">
        <f t="shared" si="0"/>
        <v>0.99999999999999978</v>
      </c>
      <c r="J26" s="10">
        <f t="shared" si="0"/>
        <v>0.99999999999999989</v>
      </c>
      <c r="K26" s="10">
        <f t="shared" si="0"/>
        <v>0.99999999999999989</v>
      </c>
      <c r="L26" s="10">
        <f t="shared" si="0"/>
        <v>1</v>
      </c>
      <c r="M26" s="10">
        <f t="shared" si="0"/>
        <v>1</v>
      </c>
      <c r="N26" s="10">
        <f t="shared" si="0"/>
        <v>1.0000000000000002</v>
      </c>
      <c r="O26" s="10">
        <f t="shared" si="0"/>
        <v>1</v>
      </c>
      <c r="P26" s="10">
        <f t="shared" si="0"/>
        <v>1</v>
      </c>
      <c r="Q26" s="10">
        <f t="shared" si="0"/>
        <v>1</v>
      </c>
      <c r="R26" s="10">
        <f t="shared" si="0"/>
        <v>1</v>
      </c>
      <c r="S26" s="10">
        <f t="shared" si="0"/>
        <v>1</v>
      </c>
      <c r="T26" s="10">
        <f t="shared" si="0"/>
        <v>1</v>
      </c>
      <c r="U26" s="10">
        <f t="shared" si="0"/>
        <v>1</v>
      </c>
      <c r="V26" s="10">
        <f t="shared" si="0"/>
        <v>0.99999999999999989</v>
      </c>
      <c r="W26" s="10">
        <f t="shared" si="0"/>
        <v>1</v>
      </c>
      <c r="X26" s="10">
        <f t="shared" si="0"/>
        <v>1</v>
      </c>
      <c r="Y26" s="10">
        <f t="shared" si="0"/>
        <v>1</v>
      </c>
      <c r="Z26" s="10">
        <f t="shared" si="0"/>
        <v>1.0000000000000002</v>
      </c>
      <c r="AA26" s="10">
        <f t="shared" si="0"/>
        <v>1</v>
      </c>
      <c r="AB26" s="10">
        <f t="shared" si="0"/>
        <v>1</v>
      </c>
      <c r="AC26" s="10">
        <f t="shared" si="0"/>
        <v>0.99999999999999989</v>
      </c>
      <c r="AD26" s="10">
        <f t="shared" si="0"/>
        <v>1</v>
      </c>
      <c r="AE26" s="10">
        <f t="shared" si="0"/>
        <v>0</v>
      </c>
      <c r="AF26" s="10">
        <f t="shared" si="0"/>
        <v>0</v>
      </c>
      <c r="AG26" s="10">
        <f t="shared" si="0"/>
        <v>1</v>
      </c>
      <c r="AH26" s="10">
        <f t="shared" si="0"/>
        <v>1.0000000000000002</v>
      </c>
      <c r="AI26" s="10">
        <f t="shared" si="0"/>
        <v>1</v>
      </c>
      <c r="AJ26" s="10">
        <f t="shared" si="0"/>
        <v>0.99999999999999989</v>
      </c>
      <c r="AK26" s="10">
        <f t="shared" si="0"/>
        <v>1.0000000000000002</v>
      </c>
      <c r="AL26" s="10">
        <f t="shared" si="0"/>
        <v>0.99999999999999989</v>
      </c>
      <c r="AM26" s="10">
        <f t="shared" si="0"/>
        <v>1</v>
      </c>
      <c r="AN26" s="10">
        <f t="shared" si="0"/>
        <v>0.99999999999999989</v>
      </c>
      <c r="AO26" s="10">
        <f t="shared" si="0"/>
        <v>1</v>
      </c>
      <c r="AP26" s="10">
        <f t="shared" si="0"/>
        <v>1</v>
      </c>
      <c r="AQ26" s="10">
        <f t="shared" si="0"/>
        <v>1</v>
      </c>
      <c r="AR26" s="10">
        <f t="shared" si="0"/>
        <v>0.99999999999999989</v>
      </c>
      <c r="AS26" s="10">
        <f t="shared" ref="AS26:AZ26" si="1">SUM(AS4:AS25)</f>
        <v>0</v>
      </c>
      <c r="AT26" s="10">
        <f t="shared" si="1"/>
        <v>0</v>
      </c>
      <c r="AU26" s="10">
        <f t="shared" si="1"/>
        <v>0</v>
      </c>
      <c r="AV26" s="10">
        <f t="shared" si="1"/>
        <v>0</v>
      </c>
      <c r="AW26" s="10">
        <f t="shared" si="1"/>
        <v>0</v>
      </c>
      <c r="AX26" s="10">
        <f t="shared" si="1"/>
        <v>0</v>
      </c>
      <c r="AY26" s="10">
        <f t="shared" si="1"/>
        <v>0</v>
      </c>
      <c r="AZ26" s="10">
        <f t="shared" si="1"/>
        <v>0</v>
      </c>
      <c r="BA26" s="10">
        <f t="shared" si="0"/>
        <v>0.99999999999999989</v>
      </c>
      <c r="BB26" s="10">
        <f t="shared" si="0"/>
        <v>0.99999999999999989</v>
      </c>
      <c r="BC26" s="10">
        <f t="shared" si="0"/>
        <v>1</v>
      </c>
      <c r="BD26" s="10">
        <f t="shared" si="0"/>
        <v>1</v>
      </c>
      <c r="BE26" s="10">
        <f t="shared" si="0"/>
        <v>0.99999999999999989</v>
      </c>
      <c r="BF26" s="10"/>
      <c r="BG26" s="10">
        <f t="shared" si="0"/>
        <v>1</v>
      </c>
      <c r="BH26" s="10">
        <f t="shared" si="0"/>
        <v>0.99999999999999978</v>
      </c>
      <c r="BI26" s="10">
        <f t="shared" si="0"/>
        <v>1</v>
      </c>
      <c r="BJ26" s="10">
        <f t="shared" si="0"/>
        <v>1</v>
      </c>
      <c r="BK26" s="10">
        <f t="shared" si="0"/>
        <v>1</v>
      </c>
      <c r="BL26" s="10">
        <f t="shared" si="0"/>
        <v>1</v>
      </c>
      <c r="BM26" s="10">
        <f t="shared" si="0"/>
        <v>1.0000000000000002</v>
      </c>
    </row>
    <row r="27" spans="1:65">
      <c r="A27" s="174"/>
      <c r="B27" s="174"/>
    </row>
    <row r="28" spans="1:65" ht="12.75" customHeight="1">
      <c r="A28" s="174"/>
      <c r="B28" s="174"/>
      <c r="C28" s="131" t="str">
        <f>CONCATENATE("Source:  All values are averages for all income classes and are derived from IMPLAN™ using ", D2," state data.")</f>
        <v>Source:  All values are averages for all income classes and are derived from IMPLAN™ using 2019 state data.</v>
      </c>
      <c r="I28" s="52"/>
    </row>
    <row r="29" spans="1:65" ht="17.850000000000001" customHeight="1">
      <c r="A29" s="174"/>
      <c r="B29" s="174"/>
      <c r="C29" s="131"/>
    </row>
    <row r="30" spans="1:65">
      <c r="A30" s="174"/>
      <c r="B30" s="174"/>
      <c r="C30" s="13"/>
    </row>
    <row r="31" spans="1:65">
      <c r="A31" s="174"/>
      <c r="B31" s="174"/>
    </row>
    <row r="32" spans="1:65">
      <c r="A32" s="174"/>
      <c r="B32" s="174"/>
    </row>
    <row r="33" spans="1:2">
      <c r="A33" s="174"/>
      <c r="B33" s="174"/>
    </row>
    <row r="34" spans="1:2">
      <c r="A34" s="174"/>
      <c r="B34" s="174"/>
    </row>
    <row r="35" spans="1:2">
      <c r="A35" s="174"/>
      <c r="B35" s="174"/>
    </row>
    <row r="36" spans="1:2">
      <c r="A36" s="174"/>
      <c r="B36" s="174"/>
    </row>
    <row r="37" spans="1:2">
      <c r="A37" s="174"/>
      <c r="B37" s="174"/>
    </row>
    <row r="38" spans="1:2">
      <c r="A38" s="174"/>
      <c r="B38" s="174"/>
    </row>
    <row r="39" spans="1:2">
      <c r="A39" s="174"/>
      <c r="B39" s="174"/>
    </row>
    <row r="40" spans="1:2">
      <c r="A40" s="174"/>
      <c r="B40" s="174"/>
    </row>
    <row r="41" spans="1:2">
      <c r="A41" s="174"/>
      <c r="B41" s="174"/>
    </row>
    <row r="42" spans="1:2">
      <c r="A42" s="174"/>
      <c r="B42" s="174"/>
    </row>
    <row r="43" spans="1:2">
      <c r="A43" s="174"/>
      <c r="B43" s="174"/>
    </row>
    <row r="44" spans="1:2">
      <c r="A44" s="174"/>
      <c r="B44" s="174"/>
    </row>
    <row r="45" spans="1:2">
      <c r="A45" s="174"/>
      <c r="B45" s="174"/>
    </row>
    <row r="46" spans="1:2">
      <c r="A46" s="174"/>
      <c r="B46" s="174"/>
    </row>
    <row r="47" spans="1:2">
      <c r="A47" s="174"/>
      <c r="B47" s="174"/>
    </row>
    <row r="48" spans="1:2">
      <c r="A48" s="174"/>
      <c r="B48" s="174"/>
    </row>
    <row r="49" spans="1:2">
      <c r="A49" s="174"/>
      <c r="B49" s="174"/>
    </row>
    <row r="50" spans="1:2">
      <c r="A50" s="174"/>
      <c r="B50" s="174"/>
    </row>
    <row r="51" spans="1:2">
      <c r="A51" s="174"/>
      <c r="B51" s="174"/>
    </row>
    <row r="52" spans="1:2">
      <c r="A52" s="174"/>
      <c r="B52" s="174"/>
    </row>
    <row r="53" spans="1:2">
      <c r="A53" s="174"/>
      <c r="B53" s="174"/>
    </row>
    <row r="54" spans="1:2">
      <c r="A54" s="174"/>
      <c r="B54" s="174"/>
    </row>
    <row r="55" spans="1:2">
      <c r="A55" s="174"/>
      <c r="B55" s="174"/>
    </row>
    <row r="56" spans="1:2">
      <c r="A56" s="174"/>
      <c r="B56" s="174"/>
    </row>
  </sheetData>
  <sheetProtection algorithmName="SHA-512" hashValue="+z1agY/JVGWG+wCE4DTRHSHrqGlayv/Os7fS6Kb4FZSXoZirOtnM6yqojMPEi/ZXSwPZvlR3B9vnr4pErPuSog==" saltValue="MwHbNWAj6EE0UwtAqi4zJg==" spinCount="100000" sheet="1" objects="1" scenarios="1"/>
  <customSheetViews>
    <customSheetView guid="{55B80D82-F000-11D6-8735-C8E5A357943D}" showRuler="0">
      <selection activeCell="D17" sqref="D17"/>
      <pageMargins left="0" right="0" top="0" bottom="0" header="0" footer="0"/>
      <headerFooter alignWithMargins="0"/>
    </customSheetView>
  </customSheetViews>
  <phoneticPr fontId="0" type="noConversion"/>
  <pageMargins left="0.75" right="0.75" top="1" bottom="1" header="0.5" footer="0.5"/>
  <pageSetup orientation="portrait" horizontalDpi="4294967293" verticalDpi="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BM329"/>
  <sheetViews>
    <sheetView topLeftCell="B287" zoomScaleNormal="100" workbookViewId="0">
      <selection activeCell="D279" sqref="D279:BM279"/>
    </sheetView>
  </sheetViews>
  <sheetFormatPr defaultColWidth="9.109375" defaultRowHeight="13.2"/>
  <cols>
    <col min="1" max="1" width="207.109375" style="180" customWidth="1"/>
    <col min="2" max="2" width="44.44140625" style="180" customWidth="1"/>
    <col min="3" max="3" width="27.44140625" style="52" customWidth="1"/>
    <col min="4" max="4" width="8.33203125" style="52" customWidth="1"/>
    <col min="5" max="7" width="10.44140625" style="52" bestFit="1" customWidth="1"/>
    <col min="8" max="8" width="9.44140625" style="52" bestFit="1" customWidth="1"/>
    <col min="9" max="24" width="10.44140625" style="52" bestFit="1" customWidth="1"/>
    <col min="25" max="25" width="13.88671875" style="52" customWidth="1"/>
    <col min="26" max="26" width="10.44140625" style="52" bestFit="1" customWidth="1"/>
    <col min="27" max="27" width="9.6640625" style="52" customWidth="1"/>
    <col min="28" max="28" width="10.33203125" style="52" customWidth="1"/>
    <col min="29" max="30" width="10.44140625" style="52" bestFit="1" customWidth="1"/>
    <col min="31" max="32" width="9.44140625" style="52" bestFit="1" customWidth="1"/>
    <col min="33" max="37" width="10.44140625" style="52" bestFit="1" customWidth="1"/>
    <col min="38" max="38" width="9.44140625" style="52" bestFit="1" customWidth="1"/>
    <col min="39" max="44" width="10.44140625" style="52" bestFit="1" customWidth="1"/>
    <col min="45" max="46" width="10.109375" style="52" customWidth="1"/>
    <col min="47" max="47" width="9.88671875" style="52" customWidth="1"/>
    <col min="48" max="48" width="10" style="52" customWidth="1"/>
    <col min="49" max="50" width="9.88671875" style="52" customWidth="1"/>
    <col min="51" max="51" width="10" style="52" customWidth="1"/>
    <col min="52" max="52" width="9.6640625" style="52" customWidth="1"/>
    <col min="53" max="53" width="10.44140625" style="52" bestFit="1" customWidth="1"/>
    <col min="54" max="54" width="9.44140625" style="52" bestFit="1" customWidth="1"/>
    <col min="55" max="61" width="10.44140625" style="52" bestFit="1" customWidth="1"/>
    <col min="62" max="62" width="9.44140625" style="52" bestFit="1" customWidth="1"/>
    <col min="63" max="65" width="10.44140625" style="52" bestFit="1" customWidth="1"/>
    <col min="66" max="16384" width="9.109375" style="52"/>
  </cols>
  <sheetData>
    <row r="1" spans="1:65" ht="15.6">
      <c r="A1" s="315"/>
      <c r="B1" s="316"/>
      <c r="C1" s="317" t="s">
        <v>371</v>
      </c>
    </row>
    <row r="2" spans="1:65">
      <c r="A2" s="315"/>
      <c r="B2" s="316"/>
      <c r="C2" s="318" t="s">
        <v>373</v>
      </c>
      <c r="D2" s="332">
        <v>2019</v>
      </c>
    </row>
    <row r="3" spans="1:65">
      <c r="A3" s="315"/>
      <c r="B3" s="316"/>
      <c r="C3" s="319" t="s">
        <v>378</v>
      </c>
    </row>
    <row r="4" spans="1:65">
      <c r="A4" s="315"/>
      <c r="B4" s="316"/>
      <c r="C4" s="320" t="s">
        <v>380</v>
      </c>
      <c r="D4" s="52" t="s">
        <v>219</v>
      </c>
      <c r="E4" s="52" t="s">
        <v>222</v>
      </c>
      <c r="F4" s="52" t="s">
        <v>231</v>
      </c>
      <c r="G4" s="52" t="s">
        <v>221</v>
      </c>
      <c r="H4" s="52" t="s">
        <v>223</v>
      </c>
      <c r="I4" s="52" t="s">
        <v>240</v>
      </c>
      <c r="J4" s="52" t="s">
        <v>216</v>
      </c>
      <c r="K4" s="52" t="s">
        <v>217</v>
      </c>
      <c r="L4" s="52" t="s">
        <v>218</v>
      </c>
      <c r="M4" s="52" t="s">
        <v>228</v>
      </c>
      <c r="N4" s="52" t="s">
        <v>237</v>
      </c>
      <c r="O4" s="52" t="s">
        <v>232</v>
      </c>
      <c r="P4" s="52" t="s">
        <v>248</v>
      </c>
      <c r="Q4" s="52" t="s">
        <v>220</v>
      </c>
      <c r="R4" s="52" t="s">
        <v>229</v>
      </c>
      <c r="S4" s="52" t="s">
        <v>238</v>
      </c>
      <c r="T4" s="52" t="s">
        <v>254</v>
      </c>
      <c r="U4" s="52" t="s">
        <v>245</v>
      </c>
      <c r="V4" s="52" t="s">
        <v>230</v>
      </c>
      <c r="W4" s="52" t="s">
        <v>225</v>
      </c>
      <c r="X4" s="52" t="s">
        <v>227</v>
      </c>
      <c r="Y4" s="52" t="s">
        <v>234</v>
      </c>
      <c r="Z4" s="52" t="s">
        <v>246</v>
      </c>
      <c r="AA4" s="52" t="s">
        <v>252</v>
      </c>
      <c r="AB4" s="52" t="s">
        <v>251</v>
      </c>
      <c r="AC4" s="52" t="s">
        <v>239</v>
      </c>
      <c r="AD4" s="52" t="s">
        <v>260</v>
      </c>
      <c r="AE4" s="52" t="s">
        <v>381</v>
      </c>
      <c r="AF4" s="52" t="s">
        <v>382</v>
      </c>
      <c r="AG4" s="52" t="s">
        <v>264</v>
      </c>
      <c r="AH4" s="52" t="s">
        <v>266</v>
      </c>
      <c r="AI4" s="52" t="s">
        <v>242</v>
      </c>
      <c r="AJ4" s="52" t="s">
        <v>489</v>
      </c>
      <c r="AK4" s="52" t="s">
        <v>247</v>
      </c>
      <c r="AL4" s="52" t="s">
        <v>250</v>
      </c>
      <c r="AM4" s="52" t="s">
        <v>236</v>
      </c>
      <c r="AN4" s="52" t="s">
        <v>268</v>
      </c>
      <c r="AO4" s="52" t="s">
        <v>258</v>
      </c>
      <c r="AP4" s="52" t="s">
        <v>253</v>
      </c>
      <c r="AQ4" s="52" t="s">
        <v>270</v>
      </c>
      <c r="AR4" s="52" t="s">
        <v>235</v>
      </c>
      <c r="AS4" s="407" t="s">
        <v>207</v>
      </c>
      <c r="AT4" s="407" t="s">
        <v>208</v>
      </c>
      <c r="AU4" s="407" t="s">
        <v>209</v>
      </c>
      <c r="AV4" s="407" t="s">
        <v>210</v>
      </c>
      <c r="AW4" s="407" t="s">
        <v>211</v>
      </c>
      <c r="AX4" s="407" t="s">
        <v>212</v>
      </c>
      <c r="AY4" s="407" t="s">
        <v>213</v>
      </c>
      <c r="AZ4" s="407" t="s">
        <v>214</v>
      </c>
      <c r="BA4" s="52" t="s">
        <v>256</v>
      </c>
      <c r="BB4" s="52" t="s">
        <v>490</v>
      </c>
      <c r="BC4" s="52" t="s">
        <v>272</v>
      </c>
      <c r="BD4" s="52" t="s">
        <v>491</v>
      </c>
      <c r="BE4" s="52" t="s">
        <v>492</v>
      </c>
      <c r="BF4" s="321" t="s">
        <v>604</v>
      </c>
      <c r="BG4" s="52" t="s">
        <v>274</v>
      </c>
      <c r="BH4" s="52" t="s">
        <v>262</v>
      </c>
      <c r="BI4" s="52" t="s">
        <v>244</v>
      </c>
      <c r="BJ4" s="52" t="s">
        <v>275</v>
      </c>
      <c r="BK4" s="52" t="s">
        <v>243</v>
      </c>
      <c r="BL4" s="52" t="s">
        <v>263</v>
      </c>
      <c r="BM4" s="52" t="s">
        <v>493</v>
      </c>
    </row>
    <row r="5" spans="1:65" ht="22.8">
      <c r="A5" s="322" t="s">
        <v>423</v>
      </c>
      <c r="B5" s="323"/>
      <c r="C5" s="408" t="s">
        <v>383</v>
      </c>
      <c r="D5" s="324">
        <v>8.821078</v>
      </c>
      <c r="E5" s="324">
        <v>8.6085930000000008</v>
      </c>
      <c r="F5" s="324">
        <v>8.9162309999999998</v>
      </c>
      <c r="G5" s="324">
        <v>6.8296900000000003</v>
      </c>
      <c r="H5" s="324">
        <v>8.7064109999999992</v>
      </c>
      <c r="I5" s="324">
        <v>7.9077270000000004</v>
      </c>
      <c r="J5" s="324">
        <v>16.786892999999999</v>
      </c>
      <c r="K5" s="324">
        <v>3.2251509999999999</v>
      </c>
      <c r="L5" s="324">
        <v>15.368733000000001</v>
      </c>
      <c r="M5" s="324">
        <v>12.434183000000001</v>
      </c>
      <c r="N5" s="324">
        <v>7.3202829999999999</v>
      </c>
      <c r="O5" s="324">
        <v>21.194478</v>
      </c>
      <c r="P5" s="324">
        <v>5.9934589999999996</v>
      </c>
      <c r="Q5" s="324">
        <v>5.3549639999999998</v>
      </c>
      <c r="R5" s="324">
        <v>6.8731819999999999</v>
      </c>
      <c r="S5" s="324">
        <v>3.5143369999999998</v>
      </c>
      <c r="T5" s="324">
        <v>4.3523290000000001</v>
      </c>
      <c r="U5" s="324">
        <v>15.942577</v>
      </c>
      <c r="V5" s="324">
        <v>12.198096</v>
      </c>
      <c r="W5" s="324">
        <v>16.745704</v>
      </c>
      <c r="X5" s="324">
        <v>9.4561279999999996</v>
      </c>
      <c r="Y5" s="324">
        <v>16.362325999999999</v>
      </c>
      <c r="Z5" s="324">
        <v>10.223515000000001</v>
      </c>
      <c r="AA5" s="324">
        <v>5.0516249999999996</v>
      </c>
      <c r="AB5" s="324">
        <v>8.4331549999999993</v>
      </c>
      <c r="AC5" s="324">
        <v>10.73072</v>
      </c>
      <c r="AD5" s="324">
        <v>9.2553470000000004</v>
      </c>
      <c r="AE5" s="52">
        <f>'User Add-in Location'!B11</f>
        <v>0</v>
      </c>
      <c r="AF5" s="52">
        <f>'User Add-in Location'!C11</f>
        <v>0</v>
      </c>
      <c r="AG5" s="324">
        <v>3.0295540000000001</v>
      </c>
      <c r="AH5" s="324">
        <v>7.6979220000000002</v>
      </c>
      <c r="AI5" s="324">
        <v>21.562519000000002</v>
      </c>
      <c r="AJ5" s="324">
        <v>15.501671999999999</v>
      </c>
      <c r="AK5" s="324">
        <v>10.734579999999999</v>
      </c>
      <c r="AL5" s="324">
        <v>11.215171</v>
      </c>
      <c r="AM5" s="324">
        <v>6.7069239999999999</v>
      </c>
      <c r="AN5" s="324">
        <v>4.4443520000000003</v>
      </c>
      <c r="AO5" s="324">
        <v>11.382930999999999</v>
      </c>
      <c r="AP5" s="324">
        <v>11.813653</v>
      </c>
      <c r="AQ5" s="324">
        <v>14.582007000000001</v>
      </c>
      <c r="AR5" s="324">
        <v>10.757237999999999</v>
      </c>
      <c r="AS5" s="324">
        <v>0</v>
      </c>
      <c r="AT5" s="324">
        <v>0</v>
      </c>
      <c r="AU5" s="324">
        <v>0</v>
      </c>
      <c r="AV5" s="324">
        <v>0</v>
      </c>
      <c r="AW5" s="324">
        <v>0</v>
      </c>
      <c r="AX5" s="324">
        <v>0</v>
      </c>
      <c r="AY5" s="324">
        <v>0</v>
      </c>
      <c r="AZ5" s="324">
        <v>0</v>
      </c>
      <c r="BA5" s="324">
        <v>19.552420999999999</v>
      </c>
      <c r="BB5" s="324">
        <v>12.439280999999999</v>
      </c>
      <c r="BC5" s="324">
        <v>4.2127470000000002</v>
      </c>
      <c r="BD5" s="324">
        <v>19.489229000000002</v>
      </c>
      <c r="BE5" s="324">
        <v>14.238986000000001</v>
      </c>
      <c r="BF5" s="324">
        <v>8.5422130000000003</v>
      </c>
      <c r="BG5" s="324">
        <v>12.022949000000001</v>
      </c>
      <c r="BH5" s="324">
        <v>13.639289</v>
      </c>
      <c r="BI5" s="324">
        <v>15.165253999999999</v>
      </c>
      <c r="BJ5" s="324">
        <v>11.317769999999999</v>
      </c>
      <c r="BK5" s="324">
        <v>32.134906999999998</v>
      </c>
      <c r="BL5" s="324">
        <v>8.0523779999999991</v>
      </c>
      <c r="BM5" s="324">
        <v>11.450298999999999</v>
      </c>
    </row>
    <row r="6" spans="1:65">
      <c r="A6" s="315"/>
      <c r="B6" s="316"/>
      <c r="C6" s="408" t="s">
        <v>384</v>
      </c>
      <c r="D6" s="324">
        <v>2.285876</v>
      </c>
      <c r="E6" s="324">
        <v>1.639046</v>
      </c>
      <c r="F6" s="324">
        <v>2.2467769999999998</v>
      </c>
      <c r="G6" s="324">
        <v>2.9140769999999998</v>
      </c>
      <c r="H6" s="324">
        <v>2.3565489999999998</v>
      </c>
      <c r="I6" s="324">
        <v>2.2259199999999999</v>
      </c>
      <c r="J6" s="324">
        <v>2.6386379999999998</v>
      </c>
      <c r="K6" s="324">
        <v>3.1596820000000001</v>
      </c>
      <c r="L6" s="324">
        <v>2.2050010000000002</v>
      </c>
      <c r="M6" s="324">
        <v>2.9987059999999999</v>
      </c>
      <c r="N6" s="324">
        <v>2.580006</v>
      </c>
      <c r="O6" s="324">
        <v>2.8327049999999998</v>
      </c>
      <c r="P6" s="324">
        <v>3.639961</v>
      </c>
      <c r="Q6" s="324">
        <v>2.976283</v>
      </c>
      <c r="R6" s="324">
        <v>2.892207</v>
      </c>
      <c r="S6" s="324">
        <v>2.9829029999999999</v>
      </c>
      <c r="T6" s="324">
        <v>3.287677</v>
      </c>
      <c r="U6" s="324">
        <v>2.900004</v>
      </c>
      <c r="V6" s="324">
        <v>2.5518770000000002</v>
      </c>
      <c r="W6" s="324">
        <v>4.3325050000000003</v>
      </c>
      <c r="X6" s="324">
        <v>2.8723269999999999</v>
      </c>
      <c r="Y6" s="324">
        <v>3.1610909999999999</v>
      </c>
      <c r="Z6" s="324">
        <v>2.7733620000000001</v>
      </c>
      <c r="AA6" s="324">
        <v>2.3855189999999999</v>
      </c>
      <c r="AB6" s="324">
        <v>3.2158690000000001</v>
      </c>
      <c r="AC6" s="324">
        <v>2.8064420000000001</v>
      </c>
      <c r="AD6" s="324">
        <v>2.5370159999999999</v>
      </c>
      <c r="AE6" s="52">
        <f>'User Add-in Location'!B12</f>
        <v>0</v>
      </c>
      <c r="AF6" s="52">
        <f>'User Add-in Location'!C12</f>
        <v>0</v>
      </c>
      <c r="AG6" s="324">
        <v>3.258184</v>
      </c>
      <c r="AH6" s="324">
        <v>2.408763</v>
      </c>
      <c r="AI6" s="324">
        <v>3.6129959999999999</v>
      </c>
      <c r="AJ6" s="324">
        <v>3.0138799999999999</v>
      </c>
      <c r="AK6" s="324">
        <v>2.0242629999999999</v>
      </c>
      <c r="AL6" s="324">
        <v>3.3962530000000002</v>
      </c>
      <c r="AM6" s="324">
        <v>3.1816460000000002</v>
      </c>
      <c r="AN6" s="324">
        <v>2.4215429999999998</v>
      </c>
      <c r="AO6" s="324">
        <v>1.6076680000000001</v>
      </c>
      <c r="AP6" s="324">
        <v>2.3224800000000001</v>
      </c>
      <c r="AQ6" s="324">
        <v>3.6354660000000001</v>
      </c>
      <c r="AR6" s="324">
        <v>1.811655</v>
      </c>
      <c r="AS6" s="324">
        <v>0</v>
      </c>
      <c r="AT6" s="324">
        <v>0</v>
      </c>
      <c r="AU6" s="324">
        <v>0</v>
      </c>
      <c r="AV6" s="324">
        <v>0</v>
      </c>
      <c r="AW6" s="324">
        <v>0</v>
      </c>
      <c r="AX6" s="324">
        <v>0</v>
      </c>
      <c r="AY6" s="324">
        <v>0</v>
      </c>
      <c r="AZ6" s="324">
        <v>0</v>
      </c>
      <c r="BA6" s="324">
        <v>2.9609519999999998</v>
      </c>
      <c r="BB6" s="324">
        <v>2.8679890000000001</v>
      </c>
      <c r="BC6" s="324">
        <v>3.5164360000000001</v>
      </c>
      <c r="BD6" s="324">
        <v>2.9809239999999999</v>
      </c>
      <c r="BE6" s="324">
        <v>1.8302769999999999</v>
      </c>
      <c r="BF6" s="324">
        <v>2.1577809999999999</v>
      </c>
      <c r="BG6" s="324">
        <v>2.5889980000000001</v>
      </c>
      <c r="BH6" s="324">
        <v>2.8882469999999998</v>
      </c>
      <c r="BI6" s="324">
        <v>2.7214070000000001</v>
      </c>
      <c r="BJ6" s="324">
        <v>3.3748749999999998</v>
      </c>
      <c r="BK6" s="324">
        <v>2.1889099999999999</v>
      </c>
      <c r="BL6" s="324">
        <v>2.1386449999999999</v>
      </c>
      <c r="BM6" s="324">
        <v>2.2368749999999999</v>
      </c>
    </row>
    <row r="7" spans="1:65" ht="15.6">
      <c r="A7" s="325" t="s">
        <v>424</v>
      </c>
      <c r="B7" s="326"/>
      <c r="C7" s="408" t="s">
        <v>385</v>
      </c>
      <c r="D7" s="324">
        <v>8.2767809999999997</v>
      </c>
      <c r="E7" s="324">
        <v>6.538195</v>
      </c>
      <c r="F7" s="324">
        <v>7.0511200000000001</v>
      </c>
      <c r="G7" s="324">
        <v>8.4689920000000001</v>
      </c>
      <c r="H7" s="324">
        <v>6.2543009999999999</v>
      </c>
      <c r="I7" s="324">
        <v>6.8238469999999998</v>
      </c>
      <c r="J7" s="324">
        <v>7.1391559999999998</v>
      </c>
      <c r="K7" s="324">
        <v>6.5940760000000003</v>
      </c>
      <c r="L7" s="324">
        <v>6.3198670000000003</v>
      </c>
      <c r="M7" s="324">
        <v>7.2555719999999999</v>
      </c>
      <c r="N7" s="324">
        <v>7.2025819999999996</v>
      </c>
      <c r="O7" s="324">
        <v>5.8313670000000002</v>
      </c>
      <c r="P7" s="324">
        <v>7.5936430000000001</v>
      </c>
      <c r="Q7" s="324">
        <v>6.6562049999999999</v>
      </c>
      <c r="R7" s="324">
        <v>7.495457</v>
      </c>
      <c r="S7" s="324">
        <v>7.6544819999999998</v>
      </c>
      <c r="T7" s="324">
        <v>7.5430890000000002</v>
      </c>
      <c r="U7" s="324">
        <v>7.5930160000000004</v>
      </c>
      <c r="V7" s="324">
        <v>7.7826300000000002</v>
      </c>
      <c r="W7" s="324">
        <v>9.1701099999999993</v>
      </c>
      <c r="X7" s="324">
        <v>7.0278980000000004</v>
      </c>
      <c r="Y7" s="324">
        <v>6.6821149999999996</v>
      </c>
      <c r="Z7" s="324">
        <v>7.0461939999999998</v>
      </c>
      <c r="AA7" s="324">
        <v>6.8034879999999998</v>
      </c>
      <c r="AB7" s="324">
        <v>8.7481419999999996</v>
      </c>
      <c r="AC7" s="324">
        <v>7.9014369999999996</v>
      </c>
      <c r="AD7" s="324">
        <v>7.9240459999999997</v>
      </c>
      <c r="AE7" s="52">
        <f>'User Add-in Location'!B13</f>
        <v>0</v>
      </c>
      <c r="AF7" s="52">
        <f>'User Add-in Location'!C13</f>
        <v>0</v>
      </c>
      <c r="AG7" s="324">
        <v>8.9778420000000008</v>
      </c>
      <c r="AH7" s="324">
        <v>6.7744010000000001</v>
      </c>
      <c r="AI7" s="324">
        <v>8.5393620000000006</v>
      </c>
      <c r="AJ7" s="324">
        <v>6.3175910000000002</v>
      </c>
      <c r="AK7" s="324">
        <v>7.9410670000000003</v>
      </c>
      <c r="AL7" s="324">
        <v>6.3362720000000001</v>
      </c>
      <c r="AM7" s="324">
        <v>7.9187349999999999</v>
      </c>
      <c r="AN7" s="324">
        <v>6.5388859999999998</v>
      </c>
      <c r="AO7" s="324">
        <v>7.2800010000000004</v>
      </c>
      <c r="AP7" s="324">
        <v>8.3332320000000006</v>
      </c>
      <c r="AQ7" s="324">
        <v>6.8826029999999996</v>
      </c>
      <c r="AR7" s="324">
        <v>6.7302900000000001</v>
      </c>
      <c r="AS7" s="324">
        <v>0</v>
      </c>
      <c r="AT7" s="324">
        <v>0</v>
      </c>
      <c r="AU7" s="324">
        <v>0</v>
      </c>
      <c r="AV7" s="324">
        <v>0</v>
      </c>
      <c r="AW7" s="324">
        <v>0</v>
      </c>
      <c r="AX7" s="324">
        <v>0</v>
      </c>
      <c r="AY7" s="324">
        <v>0</v>
      </c>
      <c r="AZ7" s="324">
        <v>0</v>
      </c>
      <c r="BA7" s="324">
        <v>7.0258099999999999</v>
      </c>
      <c r="BB7" s="324">
        <v>7.1757900000000001</v>
      </c>
      <c r="BC7" s="324">
        <v>8.1257380000000001</v>
      </c>
      <c r="BD7" s="324">
        <v>7.6537179999999996</v>
      </c>
      <c r="BE7" s="324">
        <v>7.0755600000000003</v>
      </c>
      <c r="BF7" s="324">
        <v>7.0165480000000002</v>
      </c>
      <c r="BG7" s="324">
        <v>6.8036300000000001</v>
      </c>
      <c r="BH7" s="324">
        <v>9.5204839999999997</v>
      </c>
      <c r="BI7" s="324">
        <v>7.2371920000000003</v>
      </c>
      <c r="BJ7" s="324">
        <v>6.1631090000000004</v>
      </c>
      <c r="BK7" s="324">
        <v>6.7814959999999997</v>
      </c>
      <c r="BL7" s="324">
        <v>7.0667910000000003</v>
      </c>
      <c r="BM7" s="324">
        <v>6.9476399999999998</v>
      </c>
    </row>
    <row r="8" spans="1:65" ht="15">
      <c r="A8" s="327"/>
      <c r="B8" s="328"/>
      <c r="C8" s="408" t="s">
        <v>386</v>
      </c>
      <c r="D8" s="324">
        <v>5.4461820000000003</v>
      </c>
      <c r="E8" s="324">
        <v>4.7200220000000002</v>
      </c>
      <c r="F8" s="324">
        <v>4.4787150000000002</v>
      </c>
      <c r="G8" s="324">
        <v>5.3936500000000001</v>
      </c>
      <c r="H8" s="324">
        <v>4.1588130000000003</v>
      </c>
      <c r="I8" s="324">
        <v>4.4455989999999996</v>
      </c>
      <c r="J8" s="324">
        <v>5.1617189999999997</v>
      </c>
      <c r="K8" s="324">
        <v>4.2582190000000004</v>
      </c>
      <c r="L8" s="324">
        <v>4.2074910000000001</v>
      </c>
      <c r="M8" s="324">
        <v>4.5231859999999999</v>
      </c>
      <c r="N8" s="324">
        <v>4.5656720000000002</v>
      </c>
      <c r="O8" s="324">
        <v>3.8489710000000001</v>
      </c>
      <c r="P8" s="324">
        <v>4.7164979999999996</v>
      </c>
      <c r="Q8" s="324">
        <v>4.3654479999999998</v>
      </c>
      <c r="R8" s="324">
        <v>4.8882680000000001</v>
      </c>
      <c r="S8" s="324">
        <v>5.0714399999999999</v>
      </c>
      <c r="T8" s="324">
        <v>4.8561019999999999</v>
      </c>
      <c r="U8" s="324">
        <v>4.849037</v>
      </c>
      <c r="V8" s="324">
        <v>5.1432419999999999</v>
      </c>
      <c r="W8" s="324">
        <v>6.2472539999999999</v>
      </c>
      <c r="X8" s="324">
        <v>4.6626399999999997</v>
      </c>
      <c r="Y8" s="324">
        <v>4.7104210000000002</v>
      </c>
      <c r="Z8" s="324">
        <v>4.5426820000000001</v>
      </c>
      <c r="AA8" s="324">
        <v>4.5623379999999996</v>
      </c>
      <c r="AB8" s="324">
        <v>5.5413290000000002</v>
      </c>
      <c r="AC8" s="324">
        <v>5.2482759999999997</v>
      </c>
      <c r="AD8" s="324">
        <v>5.2191720000000004</v>
      </c>
      <c r="AE8" s="52">
        <f>'User Add-in Location'!B14</f>
        <v>0</v>
      </c>
      <c r="AF8" s="52">
        <f>'User Add-in Location'!C14</f>
        <v>0</v>
      </c>
      <c r="AG8" s="324">
        <v>6.122573</v>
      </c>
      <c r="AH8" s="324">
        <v>4.4349160000000003</v>
      </c>
      <c r="AI8" s="324">
        <v>6.5795539999999999</v>
      </c>
      <c r="AJ8" s="324">
        <v>4.2580900000000002</v>
      </c>
      <c r="AK8" s="324">
        <v>5.176876</v>
      </c>
      <c r="AL8" s="324">
        <v>4.2443840000000002</v>
      </c>
      <c r="AM8" s="324">
        <v>5.1684479999999997</v>
      </c>
      <c r="AN8" s="324">
        <v>4.332084</v>
      </c>
      <c r="AO8" s="324">
        <v>4.7837319999999997</v>
      </c>
      <c r="AP8" s="324">
        <v>5.4984970000000004</v>
      </c>
      <c r="AQ8" s="324">
        <v>4.5935689999999996</v>
      </c>
      <c r="AR8" s="324">
        <v>4.4621409999999999</v>
      </c>
      <c r="AS8" s="324">
        <v>0</v>
      </c>
      <c r="AT8" s="324">
        <v>0</v>
      </c>
      <c r="AU8" s="324">
        <v>0</v>
      </c>
      <c r="AV8" s="324">
        <v>0</v>
      </c>
      <c r="AW8" s="324">
        <v>0</v>
      </c>
      <c r="AX8" s="324">
        <v>0</v>
      </c>
      <c r="AY8" s="324">
        <v>0</v>
      </c>
      <c r="AZ8" s="324">
        <v>0</v>
      </c>
      <c r="BA8" s="324">
        <v>4.6453540000000002</v>
      </c>
      <c r="BB8" s="324">
        <v>4.4707689999999998</v>
      </c>
      <c r="BC8" s="324">
        <v>5.3542459999999998</v>
      </c>
      <c r="BD8" s="324">
        <v>5.2342209999999998</v>
      </c>
      <c r="BE8" s="324">
        <v>4.7062929999999996</v>
      </c>
      <c r="BF8" s="324">
        <v>4.6173570000000002</v>
      </c>
      <c r="BG8" s="324">
        <v>4.3046990000000003</v>
      </c>
      <c r="BH8" s="324">
        <v>6.7716820000000002</v>
      </c>
      <c r="BI8" s="324">
        <v>4.6884990000000002</v>
      </c>
      <c r="BJ8" s="324">
        <v>4.0626490000000004</v>
      </c>
      <c r="BK8" s="324">
        <v>4.4916099999999997</v>
      </c>
      <c r="BL8" s="324">
        <v>4.6724189999999997</v>
      </c>
      <c r="BM8" s="324">
        <v>4.7479149999999999</v>
      </c>
    </row>
    <row r="9" spans="1:65" ht="15.6">
      <c r="A9" s="325" t="s">
        <v>428</v>
      </c>
      <c r="B9" s="326"/>
      <c r="C9" s="408" t="s">
        <v>387</v>
      </c>
      <c r="D9" s="324">
        <v>5.8271300000000004</v>
      </c>
      <c r="E9" s="324">
        <v>5.1002640000000001</v>
      </c>
      <c r="F9" s="324">
        <v>4.917071</v>
      </c>
      <c r="G9" s="324">
        <v>5.830597</v>
      </c>
      <c r="H9" s="324">
        <v>4.5443740000000004</v>
      </c>
      <c r="I9" s="324">
        <v>4.8751110000000004</v>
      </c>
      <c r="J9" s="324">
        <v>5.3950279999999999</v>
      </c>
      <c r="K9" s="324">
        <v>4.7558170000000004</v>
      </c>
      <c r="L9" s="324">
        <v>4.558694</v>
      </c>
      <c r="M9" s="324">
        <v>4.982551</v>
      </c>
      <c r="N9" s="324">
        <v>5.0304979999999997</v>
      </c>
      <c r="O9" s="324">
        <v>4.2672509999999999</v>
      </c>
      <c r="P9" s="324">
        <v>5.1986030000000003</v>
      </c>
      <c r="Q9" s="324">
        <v>4.8005690000000003</v>
      </c>
      <c r="R9" s="324">
        <v>5.3383479999999999</v>
      </c>
      <c r="S9" s="324">
        <v>5.5139909999999999</v>
      </c>
      <c r="T9" s="324">
        <v>5.3015499999999998</v>
      </c>
      <c r="U9" s="324">
        <v>5.3366300000000004</v>
      </c>
      <c r="V9" s="324">
        <v>5.501995</v>
      </c>
      <c r="W9" s="324">
        <v>6.4486230000000004</v>
      </c>
      <c r="X9" s="324">
        <v>5.0500939999999996</v>
      </c>
      <c r="Y9" s="324">
        <v>5.0448880000000003</v>
      </c>
      <c r="Z9" s="324">
        <v>5.0199819999999997</v>
      </c>
      <c r="AA9" s="324">
        <v>4.9996020000000003</v>
      </c>
      <c r="AB9" s="324">
        <v>5.9439339999999996</v>
      </c>
      <c r="AC9" s="324">
        <v>5.6513039999999997</v>
      </c>
      <c r="AD9" s="324">
        <v>5.681082</v>
      </c>
      <c r="AE9" s="52">
        <f>'User Add-in Location'!B15</f>
        <v>0</v>
      </c>
      <c r="AF9" s="52">
        <f>'User Add-in Location'!C15</f>
        <v>0</v>
      </c>
      <c r="AG9" s="324">
        <v>6.4128239999999996</v>
      </c>
      <c r="AH9" s="324">
        <v>4.8416110000000003</v>
      </c>
      <c r="AI9" s="324">
        <v>6.5483859999999998</v>
      </c>
      <c r="AJ9" s="324">
        <v>4.632403</v>
      </c>
      <c r="AK9" s="324">
        <v>5.6078359999999998</v>
      </c>
      <c r="AL9" s="324">
        <v>4.6244779999999999</v>
      </c>
      <c r="AM9" s="324">
        <v>5.5889540000000002</v>
      </c>
      <c r="AN9" s="324">
        <v>4.7975289999999999</v>
      </c>
      <c r="AO9" s="324">
        <v>5.204453</v>
      </c>
      <c r="AP9" s="324">
        <v>5.9027459999999996</v>
      </c>
      <c r="AQ9" s="324">
        <v>5.0512730000000001</v>
      </c>
      <c r="AR9" s="324">
        <v>4.9034069999999996</v>
      </c>
      <c r="AS9" s="324">
        <v>0</v>
      </c>
      <c r="AT9" s="324">
        <v>0</v>
      </c>
      <c r="AU9" s="324">
        <v>0</v>
      </c>
      <c r="AV9" s="324">
        <v>0</v>
      </c>
      <c r="AW9" s="324">
        <v>0</v>
      </c>
      <c r="AX9" s="324">
        <v>0</v>
      </c>
      <c r="AY9" s="324">
        <v>0</v>
      </c>
      <c r="AZ9" s="324">
        <v>0</v>
      </c>
      <c r="BA9" s="324">
        <v>5.0594330000000003</v>
      </c>
      <c r="BB9" s="324">
        <v>4.9601040000000003</v>
      </c>
      <c r="BC9" s="324">
        <v>5.740685</v>
      </c>
      <c r="BD9" s="324">
        <v>5.5682999999999998</v>
      </c>
      <c r="BE9" s="324">
        <v>5.1058029999999999</v>
      </c>
      <c r="BF9" s="324">
        <v>5.0278890000000001</v>
      </c>
      <c r="BG9" s="324">
        <v>4.7801600000000004</v>
      </c>
      <c r="BH9" s="324">
        <v>6.8414089999999996</v>
      </c>
      <c r="BI9" s="324">
        <v>5.132504</v>
      </c>
      <c r="BJ9" s="324">
        <v>4.2778600000000004</v>
      </c>
      <c r="BK9" s="324">
        <v>4.9857719999999999</v>
      </c>
      <c r="BL9" s="324">
        <v>5.1395809999999997</v>
      </c>
      <c r="BM9" s="324">
        <v>5.2097420000000003</v>
      </c>
    </row>
    <row r="10" spans="1:65" ht="15.6">
      <c r="A10" s="325"/>
      <c r="B10" s="326"/>
      <c r="C10" s="408" t="s">
        <v>388</v>
      </c>
      <c r="D10" s="324">
        <v>1.9362470000000001</v>
      </c>
      <c r="E10" s="324">
        <v>2.2163149999999998</v>
      </c>
      <c r="F10" s="324">
        <v>2.3763040000000002</v>
      </c>
      <c r="G10" s="324">
        <v>2.2488730000000001</v>
      </c>
      <c r="H10" s="324">
        <v>1.8369139999999999</v>
      </c>
      <c r="I10" s="324">
        <v>2.2059489999999999</v>
      </c>
      <c r="J10" s="324">
        <v>2.2419920000000002</v>
      </c>
      <c r="K10" s="324">
        <v>1.700415</v>
      </c>
      <c r="L10" s="324">
        <v>2.6541769999999998</v>
      </c>
      <c r="M10" s="324">
        <v>2.5562930000000001</v>
      </c>
      <c r="N10" s="324">
        <v>2.248786</v>
      </c>
      <c r="O10" s="324">
        <v>2.6647370000000001</v>
      </c>
      <c r="P10" s="324">
        <v>2.3740000000000001</v>
      </c>
      <c r="Q10" s="324">
        <v>1.8700889999999999</v>
      </c>
      <c r="R10" s="324">
        <v>1.776599</v>
      </c>
      <c r="S10" s="324">
        <v>1.913314</v>
      </c>
      <c r="T10" s="324">
        <v>1.7246969999999999</v>
      </c>
      <c r="U10" s="324">
        <v>1.6925429999999999</v>
      </c>
      <c r="V10" s="324">
        <v>0.82214399999999999</v>
      </c>
      <c r="W10" s="324">
        <v>2.7637809999999998</v>
      </c>
      <c r="X10" s="324">
        <v>2.1434470000000001</v>
      </c>
      <c r="Y10" s="324">
        <v>2.1782460000000001</v>
      </c>
      <c r="Z10" s="324">
        <v>1.918221</v>
      </c>
      <c r="AA10" s="324">
        <v>2.2381359999999999</v>
      </c>
      <c r="AB10" s="324">
        <v>1.869324</v>
      </c>
      <c r="AC10" s="324">
        <v>1.95381</v>
      </c>
      <c r="AD10" s="324">
        <v>1.5457069999999999</v>
      </c>
      <c r="AE10" s="52">
        <f>'User Add-in Location'!B16</f>
        <v>0</v>
      </c>
      <c r="AF10" s="52">
        <f>'User Add-in Location'!C16</f>
        <v>0</v>
      </c>
      <c r="AG10" s="324">
        <v>1.9267840000000001</v>
      </c>
      <c r="AH10" s="324">
        <v>2.7484829999999998</v>
      </c>
      <c r="AI10" s="324">
        <v>2.7504420000000001</v>
      </c>
      <c r="AJ10" s="324">
        <v>1.891732</v>
      </c>
      <c r="AK10" s="324">
        <v>1.7178990000000001</v>
      </c>
      <c r="AL10" s="324">
        <v>2.354927</v>
      </c>
      <c r="AM10" s="324">
        <v>2.0010780000000001</v>
      </c>
      <c r="AN10" s="324">
        <v>1.478334</v>
      </c>
      <c r="AO10" s="324">
        <v>1.949238</v>
      </c>
      <c r="AP10" s="324">
        <v>1.895618</v>
      </c>
      <c r="AQ10" s="324">
        <v>2.6830449999999999</v>
      </c>
      <c r="AR10" s="324">
        <v>2.1277249999999999</v>
      </c>
      <c r="AS10" s="324">
        <v>0</v>
      </c>
      <c r="AT10" s="324">
        <v>0</v>
      </c>
      <c r="AU10" s="324">
        <v>0</v>
      </c>
      <c r="AV10" s="324">
        <v>0</v>
      </c>
      <c r="AW10" s="324">
        <v>0</v>
      </c>
      <c r="AX10" s="324">
        <v>0</v>
      </c>
      <c r="AY10" s="324">
        <v>0</v>
      </c>
      <c r="AZ10" s="324">
        <v>0</v>
      </c>
      <c r="BA10" s="324">
        <v>2.7302059999999999</v>
      </c>
      <c r="BB10" s="324">
        <v>1.882657</v>
      </c>
      <c r="BC10" s="324">
        <v>2.3439839999999998</v>
      </c>
      <c r="BD10" s="324">
        <v>1.9569730000000001</v>
      </c>
      <c r="BE10" s="324">
        <v>1.280905</v>
      </c>
      <c r="BF10" s="324">
        <v>1.902825</v>
      </c>
      <c r="BG10" s="324">
        <v>2.1188090000000002</v>
      </c>
      <c r="BH10" s="324">
        <v>2.5033750000000001</v>
      </c>
      <c r="BI10" s="324">
        <v>2.1765789999999998</v>
      </c>
      <c r="BJ10" s="324">
        <v>1.6451800000000001</v>
      </c>
      <c r="BK10" s="324">
        <v>1.6059460000000001</v>
      </c>
      <c r="BL10" s="324">
        <v>2.2997890000000001</v>
      </c>
      <c r="BM10" s="324">
        <v>0.97886499999999999</v>
      </c>
    </row>
    <row r="11" spans="1:65" ht="15.6">
      <c r="A11" s="325" t="s">
        <v>454</v>
      </c>
      <c r="B11" s="326"/>
      <c r="C11" s="408" t="s">
        <v>389</v>
      </c>
      <c r="D11" s="324">
        <v>2.9884240000000002</v>
      </c>
      <c r="E11" s="324">
        <v>3.8809969999999998</v>
      </c>
      <c r="F11" s="324">
        <v>3.261746</v>
      </c>
      <c r="G11" s="324">
        <v>2.7504780000000002</v>
      </c>
      <c r="H11" s="324">
        <v>2.9935529999999999</v>
      </c>
      <c r="I11" s="324">
        <v>2.957646</v>
      </c>
      <c r="J11" s="324">
        <v>3.078433</v>
      </c>
      <c r="K11" s="324">
        <v>3.3923190000000001</v>
      </c>
      <c r="L11" s="324">
        <v>0</v>
      </c>
      <c r="M11" s="324">
        <v>3.279312</v>
      </c>
      <c r="N11" s="324">
        <v>2.9922110000000002</v>
      </c>
      <c r="O11" s="324">
        <v>3.4248400000000001</v>
      </c>
      <c r="P11" s="324">
        <v>3.2789380000000001</v>
      </c>
      <c r="Q11" s="324">
        <v>3.3011279999999998</v>
      </c>
      <c r="R11" s="324">
        <v>3.0395509999999999</v>
      </c>
      <c r="S11" s="324">
        <v>3.2130380000000001</v>
      </c>
      <c r="T11" s="324">
        <v>3.1620240000000002</v>
      </c>
      <c r="U11" s="324">
        <v>3.4288129999999999</v>
      </c>
      <c r="V11" s="324">
        <v>3.3091179999999998</v>
      </c>
      <c r="W11" s="324">
        <v>3.0679050000000001</v>
      </c>
      <c r="X11" s="324">
        <v>3.1783419999999998</v>
      </c>
      <c r="Y11" s="324">
        <v>2.939546</v>
      </c>
      <c r="Z11" s="324">
        <v>3.4001229999999998</v>
      </c>
      <c r="AA11" s="324">
        <v>3.4683419999999998</v>
      </c>
      <c r="AB11" s="324">
        <v>3.5243679999999999</v>
      </c>
      <c r="AC11" s="324">
        <v>3.328325</v>
      </c>
      <c r="AD11" s="324">
        <v>3.4604240000000002</v>
      </c>
      <c r="AE11" s="52">
        <f>'User Add-in Location'!B17</f>
        <v>0</v>
      </c>
      <c r="AF11" s="52">
        <f>'User Add-in Location'!C17</f>
        <v>0</v>
      </c>
      <c r="AG11" s="324">
        <v>3.0880420000000002</v>
      </c>
      <c r="AH11" s="324">
        <v>2.7740770000000001</v>
      </c>
      <c r="AI11" s="324">
        <v>2.8277130000000001</v>
      </c>
      <c r="AJ11" s="324">
        <v>3.0317910000000001</v>
      </c>
      <c r="AK11" s="324">
        <v>3.471333</v>
      </c>
      <c r="AL11" s="324">
        <v>3.0370970000000002</v>
      </c>
      <c r="AM11" s="324">
        <v>3.2864149999999999</v>
      </c>
      <c r="AN11" s="324">
        <v>3.7987790000000001</v>
      </c>
      <c r="AO11" s="324">
        <v>3.4004979999999998</v>
      </c>
      <c r="AP11" s="324">
        <v>3.1889020000000001</v>
      </c>
      <c r="AQ11" s="324">
        <v>3.0296430000000001</v>
      </c>
      <c r="AR11" s="324">
        <v>3.3806729999999998</v>
      </c>
      <c r="AS11" s="324">
        <v>0</v>
      </c>
      <c r="AT11" s="324">
        <v>0</v>
      </c>
      <c r="AU11" s="324">
        <v>0</v>
      </c>
      <c r="AV11" s="324">
        <v>0</v>
      </c>
      <c r="AW11" s="324">
        <v>0</v>
      </c>
      <c r="AX11" s="324">
        <v>0</v>
      </c>
      <c r="AY11" s="324">
        <v>0</v>
      </c>
      <c r="AZ11" s="324">
        <v>0</v>
      </c>
      <c r="BA11" s="324">
        <v>3.5411709999999998</v>
      </c>
      <c r="BB11" s="324">
        <v>3.1191089999999999</v>
      </c>
      <c r="BC11" s="324">
        <v>3.8408470000000001</v>
      </c>
      <c r="BD11" s="324">
        <v>3.112587</v>
      </c>
      <c r="BE11" s="324">
        <v>3.254556</v>
      </c>
      <c r="BF11" s="324">
        <v>3.1992950000000002</v>
      </c>
      <c r="BG11" s="324">
        <v>3.072864</v>
      </c>
      <c r="BH11" s="324">
        <v>3.793342</v>
      </c>
      <c r="BI11" s="324">
        <v>3.0504859999999998</v>
      </c>
      <c r="BJ11" s="324">
        <v>3.047078</v>
      </c>
      <c r="BK11" s="324">
        <v>3.3186460000000002</v>
      </c>
      <c r="BL11" s="324">
        <v>3.4828589999999999</v>
      </c>
      <c r="BM11" s="324">
        <v>3.0824509999999998</v>
      </c>
    </row>
    <row r="12" spans="1:65">
      <c r="A12" s="315"/>
      <c r="B12" s="316"/>
      <c r="C12" s="408" t="s">
        <v>390</v>
      </c>
      <c r="D12" s="324">
        <v>3.0987040000000001</v>
      </c>
      <c r="E12" s="324">
        <v>3.723058</v>
      </c>
      <c r="F12" s="324">
        <v>3.5708350000000002</v>
      </c>
      <c r="G12" s="324">
        <v>3.1920730000000002</v>
      </c>
      <c r="H12" s="324">
        <v>2.6053869999999999</v>
      </c>
      <c r="I12" s="324">
        <v>2.5583269999999998</v>
      </c>
      <c r="J12" s="324">
        <v>3.025725</v>
      </c>
      <c r="K12" s="324">
        <v>3.0371959999999998</v>
      </c>
      <c r="L12" s="324">
        <v>0</v>
      </c>
      <c r="M12" s="324">
        <v>3.0429309999999998</v>
      </c>
      <c r="N12" s="324">
        <v>3.11225</v>
      </c>
      <c r="O12" s="324">
        <v>0</v>
      </c>
      <c r="P12" s="324">
        <v>3.3453949999999999</v>
      </c>
      <c r="Q12" s="324">
        <v>2.9336630000000001</v>
      </c>
      <c r="R12" s="324">
        <v>3.5497920000000001</v>
      </c>
      <c r="S12" s="324">
        <v>2.8719389999999998</v>
      </c>
      <c r="T12" s="324">
        <v>3.5263680000000002</v>
      </c>
      <c r="U12" s="324">
        <v>3.5856669999999999</v>
      </c>
      <c r="V12" s="324">
        <v>3.5447479999999998</v>
      </c>
      <c r="W12" s="324">
        <v>2.6767989999999999</v>
      </c>
      <c r="X12" s="324">
        <v>3.0292849999999998</v>
      </c>
      <c r="Y12" s="324">
        <v>3.2118069999999999</v>
      </c>
      <c r="Z12" s="324">
        <v>3.4280550000000001</v>
      </c>
      <c r="AA12" s="324">
        <v>3.2565620000000002</v>
      </c>
      <c r="AB12" s="324">
        <v>3.8340529999999999</v>
      </c>
      <c r="AC12" s="324">
        <v>3.4138570000000001</v>
      </c>
      <c r="AD12" s="324">
        <v>3.8264130000000001</v>
      </c>
      <c r="AE12" s="52">
        <f>'User Add-in Location'!B18</f>
        <v>0</v>
      </c>
      <c r="AF12" s="52">
        <f>'User Add-in Location'!C18</f>
        <v>0</v>
      </c>
      <c r="AG12" s="324">
        <v>3.6661869999999999</v>
      </c>
      <c r="AH12" s="324">
        <v>3.541439</v>
      </c>
      <c r="AI12" s="324">
        <v>3.016162</v>
      </c>
      <c r="AJ12" s="324">
        <v>3.27013</v>
      </c>
      <c r="AK12" s="324">
        <v>3.8976139999999999</v>
      </c>
      <c r="AL12" s="324">
        <v>2.726016</v>
      </c>
      <c r="AM12" s="324">
        <v>3.0987209999999998</v>
      </c>
      <c r="AN12" s="324">
        <v>2.4561139999999999</v>
      </c>
      <c r="AO12" s="324">
        <v>3.488226</v>
      </c>
      <c r="AP12" s="324">
        <v>3.5102410000000002</v>
      </c>
      <c r="AQ12" s="324">
        <v>3.3707639999999999</v>
      </c>
      <c r="AR12" s="324">
        <v>3.3442859999999999</v>
      </c>
      <c r="AS12" s="324">
        <v>0</v>
      </c>
      <c r="AT12" s="324">
        <v>0</v>
      </c>
      <c r="AU12" s="324">
        <v>0</v>
      </c>
      <c r="AV12" s="324">
        <v>0</v>
      </c>
      <c r="AW12" s="324">
        <v>0</v>
      </c>
      <c r="AX12" s="324">
        <v>0</v>
      </c>
      <c r="AY12" s="324">
        <v>0</v>
      </c>
      <c r="AZ12" s="324">
        <v>0</v>
      </c>
      <c r="BA12" s="324">
        <v>3.3310710000000001</v>
      </c>
      <c r="BB12" s="324">
        <v>2.4630779999999999</v>
      </c>
      <c r="BC12" s="324">
        <v>2.616968</v>
      </c>
      <c r="BD12" s="324">
        <v>3.5321850000000001</v>
      </c>
      <c r="BE12" s="324">
        <v>3.2719909999999999</v>
      </c>
      <c r="BF12" s="324">
        <v>3.09476</v>
      </c>
      <c r="BG12" s="324">
        <v>3.4462570000000001</v>
      </c>
      <c r="BH12" s="324">
        <v>3.1943760000000001</v>
      </c>
      <c r="BI12" s="324">
        <v>3.5671569999999999</v>
      </c>
      <c r="BJ12" s="324">
        <v>3.5694569999999999</v>
      </c>
      <c r="BK12" s="324">
        <v>4.0212890000000003</v>
      </c>
      <c r="BL12" s="324">
        <v>3.279601</v>
      </c>
      <c r="BM12" s="324">
        <v>3.1375929999999999</v>
      </c>
    </row>
    <row r="13" spans="1:65">
      <c r="A13" s="315"/>
      <c r="B13" s="316"/>
      <c r="C13" s="408" t="s">
        <v>391</v>
      </c>
      <c r="D13" s="324">
        <v>2.6735519999999999</v>
      </c>
      <c r="E13" s="324">
        <v>3.7357179999999999</v>
      </c>
      <c r="F13" s="324">
        <v>2.6123189999999998</v>
      </c>
      <c r="G13" s="324">
        <v>2.9374039999999999</v>
      </c>
      <c r="H13" s="324">
        <v>2.539838</v>
      </c>
      <c r="I13" s="324">
        <v>2.3909280000000002</v>
      </c>
      <c r="J13" s="324">
        <v>2.6127060000000002</v>
      </c>
      <c r="K13" s="324">
        <v>2.2984010000000001</v>
      </c>
      <c r="L13" s="324">
        <v>3.7636370000000001</v>
      </c>
      <c r="M13" s="324">
        <v>2.850196</v>
      </c>
      <c r="N13" s="324">
        <v>2.2402099999999998</v>
      </c>
      <c r="O13" s="324">
        <v>0</v>
      </c>
      <c r="P13" s="324">
        <v>2.7802060000000002</v>
      </c>
      <c r="Q13" s="324">
        <v>2.3683709999999998</v>
      </c>
      <c r="R13" s="324">
        <v>2.9933489999999998</v>
      </c>
      <c r="S13" s="324">
        <v>2.6045150000000001</v>
      </c>
      <c r="T13" s="324">
        <v>2.6906210000000002</v>
      </c>
      <c r="U13" s="324">
        <v>2.7027480000000002</v>
      </c>
      <c r="V13" s="324">
        <v>2.621432</v>
      </c>
      <c r="W13" s="324">
        <v>2.9168430000000001</v>
      </c>
      <c r="X13" s="324">
        <v>2.8201969999999998</v>
      </c>
      <c r="Y13" s="324">
        <v>2.2585920000000002</v>
      </c>
      <c r="Z13" s="324">
        <v>2.7448290000000002</v>
      </c>
      <c r="AA13" s="324">
        <v>2.5296150000000002</v>
      </c>
      <c r="AB13" s="324">
        <v>2.7652060000000001</v>
      </c>
      <c r="AC13" s="324">
        <v>2.4267310000000002</v>
      </c>
      <c r="AD13" s="324">
        <v>3.2598020000000001</v>
      </c>
      <c r="AE13" s="52">
        <f>'User Add-in Location'!B19</f>
        <v>0</v>
      </c>
      <c r="AF13" s="52">
        <f>'User Add-in Location'!C19</f>
        <v>0</v>
      </c>
      <c r="AG13" s="324">
        <v>2.1869130000000001</v>
      </c>
      <c r="AH13" s="324">
        <v>2.7746089999999999</v>
      </c>
      <c r="AI13" s="324">
        <v>2.1838609999999998</v>
      </c>
      <c r="AJ13" s="324">
        <v>2.4880080000000002</v>
      </c>
      <c r="AK13" s="324">
        <v>3.0975549999999998</v>
      </c>
      <c r="AL13" s="324">
        <v>2.7965520000000001</v>
      </c>
      <c r="AM13" s="324">
        <v>2.3953069999999999</v>
      </c>
      <c r="AN13" s="324">
        <v>2.9628890000000001</v>
      </c>
      <c r="AO13" s="324">
        <v>2.5541960000000001</v>
      </c>
      <c r="AP13" s="324">
        <v>2.7412510000000001</v>
      </c>
      <c r="AQ13" s="324">
        <v>2.555164</v>
      </c>
      <c r="AR13" s="324">
        <v>2.4957150000000001</v>
      </c>
      <c r="AS13" s="324">
        <v>0</v>
      </c>
      <c r="AT13" s="324">
        <v>0</v>
      </c>
      <c r="AU13" s="324">
        <v>0</v>
      </c>
      <c r="AV13" s="324">
        <v>0</v>
      </c>
      <c r="AW13" s="324">
        <v>0</v>
      </c>
      <c r="AX13" s="324">
        <v>0</v>
      </c>
      <c r="AY13" s="324">
        <v>0</v>
      </c>
      <c r="AZ13" s="324">
        <v>0</v>
      </c>
      <c r="BA13" s="324">
        <v>2.3213569999999999</v>
      </c>
      <c r="BB13" s="324">
        <v>2.2886850000000001</v>
      </c>
      <c r="BC13" s="324">
        <v>2.7577210000000001</v>
      </c>
      <c r="BD13" s="324">
        <v>2.2618960000000001</v>
      </c>
      <c r="BE13" s="324">
        <v>2.5880179999999999</v>
      </c>
      <c r="BF13" s="324">
        <v>2.530383</v>
      </c>
      <c r="BG13" s="324">
        <v>2.8250790000000001</v>
      </c>
      <c r="BH13" s="324">
        <v>3.136053</v>
      </c>
      <c r="BI13" s="324">
        <v>2.6591849999999999</v>
      </c>
      <c r="BJ13" s="324">
        <v>2.8948339999999999</v>
      </c>
      <c r="BK13" s="324">
        <v>2.8770359999999999</v>
      </c>
      <c r="BL13" s="324">
        <v>2.3911509999999998</v>
      </c>
      <c r="BM13" s="324">
        <v>2.866441</v>
      </c>
    </row>
    <row r="14" spans="1:65">
      <c r="A14" s="315"/>
      <c r="B14" s="316"/>
      <c r="C14" s="408" t="s">
        <v>392</v>
      </c>
      <c r="D14" s="324">
        <v>3.4031389999999999</v>
      </c>
      <c r="E14" s="324">
        <v>0</v>
      </c>
      <c r="F14" s="324">
        <v>2.9967679999999999</v>
      </c>
      <c r="G14" s="324">
        <v>3.1860529999999998</v>
      </c>
      <c r="H14" s="324">
        <v>2.938313</v>
      </c>
      <c r="I14" s="324">
        <v>2.5665819999999999</v>
      </c>
      <c r="J14" s="324">
        <v>3.0469719999999998</v>
      </c>
      <c r="K14" s="324">
        <v>2.9278189999999999</v>
      </c>
      <c r="L14" s="324">
        <v>0</v>
      </c>
      <c r="M14" s="324">
        <v>3.0312399999999999</v>
      </c>
      <c r="N14" s="324">
        <v>2.7679819999999999</v>
      </c>
      <c r="O14" s="324">
        <v>0</v>
      </c>
      <c r="P14" s="324">
        <v>0</v>
      </c>
      <c r="Q14" s="324">
        <v>2.7423250000000001</v>
      </c>
      <c r="R14" s="324">
        <v>3.0448189999999999</v>
      </c>
      <c r="S14" s="324">
        <v>3.1085090000000002</v>
      </c>
      <c r="T14" s="324">
        <v>2.8738220000000001</v>
      </c>
      <c r="U14" s="324">
        <v>3.2857829999999999</v>
      </c>
      <c r="V14" s="324">
        <v>2.9386220000000001</v>
      </c>
      <c r="W14" s="324">
        <v>0</v>
      </c>
      <c r="X14" s="324">
        <v>3.0674410000000001</v>
      </c>
      <c r="Y14" s="324">
        <v>2.9121869999999999</v>
      </c>
      <c r="Z14" s="324">
        <v>2.8234110000000001</v>
      </c>
      <c r="AA14" s="324">
        <v>3.3509540000000002</v>
      </c>
      <c r="AB14" s="324">
        <v>3.2517369999999999</v>
      </c>
      <c r="AC14" s="324">
        <v>2.9362159999999999</v>
      </c>
      <c r="AD14" s="324">
        <v>0</v>
      </c>
      <c r="AE14" s="52">
        <f>'User Add-in Location'!B20</f>
        <v>0</v>
      </c>
      <c r="AF14" s="52">
        <f>'User Add-in Location'!C20</f>
        <v>0</v>
      </c>
      <c r="AG14" s="324">
        <v>0</v>
      </c>
      <c r="AH14" s="324">
        <v>3.1783839999999999</v>
      </c>
      <c r="AI14" s="324">
        <v>0</v>
      </c>
      <c r="AJ14" s="324">
        <v>2.820681</v>
      </c>
      <c r="AK14" s="324">
        <v>0</v>
      </c>
      <c r="AL14" s="324">
        <v>3.0930439999999999</v>
      </c>
      <c r="AM14" s="324">
        <v>2.59918</v>
      </c>
      <c r="AN14" s="324">
        <v>0</v>
      </c>
      <c r="AO14" s="324">
        <v>2.831744</v>
      </c>
      <c r="AP14" s="324">
        <v>3.2702399999999998</v>
      </c>
      <c r="AQ14" s="324">
        <v>2.7297850000000001</v>
      </c>
      <c r="AR14" s="324">
        <v>2.9716049999999998</v>
      </c>
      <c r="AS14" s="324">
        <v>0</v>
      </c>
      <c r="AT14" s="324">
        <v>0</v>
      </c>
      <c r="AU14" s="324">
        <v>0</v>
      </c>
      <c r="AV14" s="324">
        <v>0</v>
      </c>
      <c r="AW14" s="324">
        <v>0</v>
      </c>
      <c r="AX14" s="324">
        <v>0</v>
      </c>
      <c r="AY14" s="324">
        <v>0</v>
      </c>
      <c r="AZ14" s="324">
        <v>0</v>
      </c>
      <c r="BA14" s="324">
        <v>2.802133</v>
      </c>
      <c r="BB14" s="324">
        <v>2.567771</v>
      </c>
      <c r="BC14" s="324">
        <v>0</v>
      </c>
      <c r="BD14" s="324">
        <v>2.468054</v>
      </c>
      <c r="BE14" s="324">
        <v>3.100371</v>
      </c>
      <c r="BF14" s="324">
        <v>2.9422609999999998</v>
      </c>
      <c r="BG14" s="324">
        <v>3.0198209999999999</v>
      </c>
      <c r="BH14" s="324">
        <v>0</v>
      </c>
      <c r="BI14" s="324">
        <v>3.0557020000000001</v>
      </c>
      <c r="BJ14" s="324">
        <v>3.6779869999999999</v>
      </c>
      <c r="BK14" s="324">
        <v>3.1702659999999998</v>
      </c>
      <c r="BL14" s="324">
        <v>2.8025340000000001</v>
      </c>
      <c r="BM14" s="324">
        <v>0</v>
      </c>
    </row>
    <row r="15" spans="1:65">
      <c r="A15" s="315"/>
      <c r="B15" s="316"/>
      <c r="C15" s="408" t="s">
        <v>393</v>
      </c>
      <c r="D15" s="324">
        <v>2.262022</v>
      </c>
      <c r="E15" s="324">
        <v>0</v>
      </c>
      <c r="F15" s="324">
        <v>1.983036</v>
      </c>
      <c r="G15" s="324">
        <v>2.1177630000000001</v>
      </c>
      <c r="H15" s="324">
        <v>2.1000160000000001</v>
      </c>
      <c r="I15" s="324">
        <v>1.849677</v>
      </c>
      <c r="J15" s="324">
        <v>2.0615960000000002</v>
      </c>
      <c r="K15" s="324">
        <v>0</v>
      </c>
      <c r="L15" s="324">
        <v>3.4663719999999998</v>
      </c>
      <c r="M15" s="324">
        <v>2.1508379999999998</v>
      </c>
      <c r="N15" s="324">
        <v>2.0388139999999999</v>
      </c>
      <c r="O15" s="324">
        <v>0</v>
      </c>
      <c r="P15" s="324">
        <v>2.1408179999999999</v>
      </c>
      <c r="Q15" s="324">
        <v>1.8920060000000001</v>
      </c>
      <c r="R15" s="324">
        <v>2.132666</v>
      </c>
      <c r="S15" s="324">
        <v>0</v>
      </c>
      <c r="T15" s="324">
        <v>2.1480049999999999</v>
      </c>
      <c r="U15" s="324">
        <v>2.2364169999999999</v>
      </c>
      <c r="V15" s="324">
        <v>2.0378509999999999</v>
      </c>
      <c r="W15" s="324">
        <v>2.2647249999999999</v>
      </c>
      <c r="X15" s="324">
        <v>2.0464099999999998</v>
      </c>
      <c r="Y15" s="324">
        <v>1.943198</v>
      </c>
      <c r="Z15" s="324">
        <v>2.2282679999999999</v>
      </c>
      <c r="AA15" s="324">
        <v>2.011962</v>
      </c>
      <c r="AB15" s="324">
        <v>2.1402580000000002</v>
      </c>
      <c r="AC15" s="324">
        <v>0</v>
      </c>
      <c r="AD15" s="324">
        <v>2.2561089999999999</v>
      </c>
      <c r="AE15" s="52">
        <f>'User Add-in Location'!B21</f>
        <v>0</v>
      </c>
      <c r="AF15" s="52">
        <f>'User Add-in Location'!C21</f>
        <v>0</v>
      </c>
      <c r="AG15" s="324">
        <v>1.7138040000000001</v>
      </c>
      <c r="AH15" s="324">
        <v>2.1199530000000002</v>
      </c>
      <c r="AI15" s="324">
        <v>1.871008</v>
      </c>
      <c r="AJ15" s="324">
        <v>1.926364</v>
      </c>
      <c r="AK15" s="324">
        <v>1.958445</v>
      </c>
      <c r="AL15" s="324">
        <v>2.1610109999999998</v>
      </c>
      <c r="AM15" s="324">
        <v>1.8541300000000001</v>
      </c>
      <c r="AN15" s="324">
        <v>2.3321010000000002</v>
      </c>
      <c r="AO15" s="324">
        <v>2.020632</v>
      </c>
      <c r="AP15" s="324">
        <v>0</v>
      </c>
      <c r="AQ15" s="324">
        <v>0</v>
      </c>
      <c r="AR15" s="324">
        <v>2.1533760000000002</v>
      </c>
      <c r="AS15" s="324">
        <v>0</v>
      </c>
      <c r="AT15" s="324">
        <v>0</v>
      </c>
      <c r="AU15" s="324">
        <v>0</v>
      </c>
      <c r="AV15" s="324">
        <v>0</v>
      </c>
      <c r="AW15" s="324">
        <v>0</v>
      </c>
      <c r="AX15" s="324">
        <v>0</v>
      </c>
      <c r="AY15" s="324">
        <v>0</v>
      </c>
      <c r="AZ15" s="324">
        <v>0</v>
      </c>
      <c r="BA15" s="324">
        <v>2.0833080000000002</v>
      </c>
      <c r="BB15" s="324">
        <v>1.845547</v>
      </c>
      <c r="BC15" s="324">
        <v>0</v>
      </c>
      <c r="BD15" s="324">
        <v>2.1065900000000002</v>
      </c>
      <c r="BE15" s="324">
        <v>2.0537079999999999</v>
      </c>
      <c r="BF15" s="324">
        <v>2.0404170000000001</v>
      </c>
      <c r="BG15" s="324">
        <v>2.171618</v>
      </c>
      <c r="BH15" s="324">
        <v>2.0725790000000002</v>
      </c>
      <c r="BI15" s="324">
        <v>2.1174309999999998</v>
      </c>
      <c r="BJ15" s="324">
        <v>2.2289840000000001</v>
      </c>
      <c r="BK15" s="324">
        <v>2.11816</v>
      </c>
      <c r="BL15" s="324">
        <v>2.113575</v>
      </c>
      <c r="BM15" s="324">
        <v>2.371191</v>
      </c>
    </row>
    <row r="16" spans="1:65">
      <c r="A16" s="315"/>
      <c r="B16" s="316"/>
      <c r="C16" s="408" t="s">
        <v>394</v>
      </c>
      <c r="D16" s="324">
        <v>3.6555580000000001</v>
      </c>
      <c r="E16" s="324">
        <v>3.0575510000000001</v>
      </c>
      <c r="F16" s="324">
        <v>3.0433859999999999</v>
      </c>
      <c r="G16" s="324">
        <v>3.0752069999999998</v>
      </c>
      <c r="H16" s="324">
        <v>2.7812100000000002</v>
      </c>
      <c r="I16" s="324">
        <v>3.0955430000000002</v>
      </c>
      <c r="J16" s="324">
        <v>2.878511</v>
      </c>
      <c r="K16" s="324">
        <v>3.3482349999999999</v>
      </c>
      <c r="L16" s="324">
        <v>2.62208</v>
      </c>
      <c r="M16" s="324">
        <v>3.0030920000000001</v>
      </c>
      <c r="N16" s="324">
        <v>3.1189749999999998</v>
      </c>
      <c r="O16" s="324">
        <v>3.7998859999999999</v>
      </c>
      <c r="P16" s="324">
        <v>3.4334570000000002</v>
      </c>
      <c r="Q16" s="324">
        <v>2.8578679999999999</v>
      </c>
      <c r="R16" s="324">
        <v>3.332608</v>
      </c>
      <c r="S16" s="324">
        <v>3.3367149999999999</v>
      </c>
      <c r="T16" s="324">
        <v>3.1598929999999998</v>
      </c>
      <c r="U16" s="324">
        <v>3.0252430000000001</v>
      </c>
      <c r="V16" s="324">
        <v>3.2475299999999998</v>
      </c>
      <c r="W16" s="324">
        <v>3.2387269999999999</v>
      </c>
      <c r="X16" s="324">
        <v>3.0616789999999998</v>
      </c>
      <c r="Y16" s="324">
        <v>2.8824369999999999</v>
      </c>
      <c r="Z16" s="324">
        <v>3.0651929999999998</v>
      </c>
      <c r="AA16" s="324">
        <v>2.9816799999999999</v>
      </c>
      <c r="AB16" s="324">
        <v>3.4506610000000002</v>
      </c>
      <c r="AC16" s="324">
        <v>3.3070849999999998</v>
      </c>
      <c r="AD16" s="324">
        <v>3.6275149999999998</v>
      </c>
      <c r="AE16" s="52">
        <f>'User Add-in Location'!B22</f>
        <v>0</v>
      </c>
      <c r="AF16" s="52">
        <f>'User Add-in Location'!C22</f>
        <v>0</v>
      </c>
      <c r="AG16" s="324">
        <v>3.0588220000000002</v>
      </c>
      <c r="AH16" s="324">
        <v>3.1416469999999999</v>
      </c>
      <c r="AI16" s="324">
        <v>3.4477150000000001</v>
      </c>
      <c r="AJ16" s="324">
        <v>2.631399</v>
      </c>
      <c r="AK16" s="324">
        <v>3.651357</v>
      </c>
      <c r="AL16" s="324">
        <v>2.8652929999999999</v>
      </c>
      <c r="AM16" s="324">
        <v>3.2914850000000002</v>
      </c>
      <c r="AN16" s="324">
        <v>3.0991409999999999</v>
      </c>
      <c r="AO16" s="324">
        <v>3.2506949999999999</v>
      </c>
      <c r="AP16" s="324">
        <v>3.5006710000000001</v>
      </c>
      <c r="AQ16" s="324">
        <v>3.4247429999999999</v>
      </c>
      <c r="AR16" s="324">
        <v>3.1731959999999999</v>
      </c>
      <c r="AS16" s="324">
        <v>0</v>
      </c>
      <c r="AT16" s="324">
        <v>0</v>
      </c>
      <c r="AU16" s="324">
        <v>0</v>
      </c>
      <c r="AV16" s="324">
        <v>0</v>
      </c>
      <c r="AW16" s="324">
        <v>0</v>
      </c>
      <c r="AX16" s="324">
        <v>0</v>
      </c>
      <c r="AY16" s="324">
        <v>0</v>
      </c>
      <c r="AZ16" s="324">
        <v>0</v>
      </c>
      <c r="BA16" s="324">
        <v>3.1938170000000001</v>
      </c>
      <c r="BB16" s="324">
        <v>3.2995239999999999</v>
      </c>
      <c r="BC16" s="324">
        <v>3.339763</v>
      </c>
      <c r="BD16" s="324">
        <v>2.9993069999999999</v>
      </c>
      <c r="BE16" s="324">
        <v>2.9086029999999998</v>
      </c>
      <c r="BF16" s="324">
        <v>3.0280239999999998</v>
      </c>
      <c r="BG16" s="324">
        <v>3.250969</v>
      </c>
      <c r="BH16" s="324">
        <v>3.2478769999999999</v>
      </c>
      <c r="BI16" s="324">
        <v>3.1171709999999999</v>
      </c>
      <c r="BJ16" s="324">
        <v>2.8883580000000002</v>
      </c>
      <c r="BK16" s="324">
        <v>3.206302</v>
      </c>
      <c r="BL16" s="324">
        <v>3.4601169999999999</v>
      </c>
      <c r="BM16" s="324">
        <v>3.3250989999999998</v>
      </c>
    </row>
    <row r="17" spans="1:65">
      <c r="A17" s="315"/>
      <c r="B17" s="316"/>
      <c r="C17" s="408" t="s">
        <v>395</v>
      </c>
      <c r="D17" s="324">
        <v>11.557157999999999</v>
      </c>
      <c r="E17" s="324">
        <v>11.225194999999999</v>
      </c>
      <c r="F17" s="324">
        <v>9.8826409999999996</v>
      </c>
      <c r="G17" s="324">
        <v>11.518193999999999</v>
      </c>
      <c r="H17" s="324">
        <v>9.0081659999999992</v>
      </c>
      <c r="I17" s="324">
        <v>10.519102</v>
      </c>
      <c r="J17" s="324">
        <v>9.5906149999999997</v>
      </c>
      <c r="K17" s="324">
        <v>12.047313000000001</v>
      </c>
      <c r="L17" s="324">
        <v>9.3350259999999992</v>
      </c>
      <c r="M17" s="324">
        <v>10.653781</v>
      </c>
      <c r="N17" s="324">
        <v>11.061840999999999</v>
      </c>
      <c r="O17" s="324">
        <v>9.7146670000000004</v>
      </c>
      <c r="P17" s="324">
        <v>10.686256</v>
      </c>
      <c r="Q17" s="324">
        <v>10.060744</v>
      </c>
      <c r="R17" s="324">
        <v>11.089955</v>
      </c>
      <c r="S17" s="324">
        <v>12.193633</v>
      </c>
      <c r="T17" s="324">
        <v>10.908196</v>
      </c>
      <c r="U17" s="324">
        <v>11.977724</v>
      </c>
      <c r="V17" s="324">
        <v>10.668539000000001</v>
      </c>
      <c r="W17" s="324">
        <v>10.960660000000001</v>
      </c>
      <c r="X17" s="324">
        <v>10.4709</v>
      </c>
      <c r="Y17" s="324">
        <v>10.515649</v>
      </c>
      <c r="Z17" s="324">
        <v>11.053228000000001</v>
      </c>
      <c r="AA17" s="324">
        <v>10.587896000000001</v>
      </c>
      <c r="AB17" s="324">
        <v>11.495644</v>
      </c>
      <c r="AC17" s="324">
        <v>11.419582999999999</v>
      </c>
      <c r="AD17" s="324">
        <v>12.311311999999999</v>
      </c>
      <c r="AE17" s="52">
        <f>'User Add-in Location'!B23</f>
        <v>0</v>
      </c>
      <c r="AF17" s="52">
        <f>'User Add-in Location'!C23</f>
        <v>0</v>
      </c>
      <c r="AG17" s="324">
        <v>11.519966999999999</v>
      </c>
      <c r="AH17" s="324">
        <v>9.5632780000000004</v>
      </c>
      <c r="AI17" s="324">
        <v>11.145075</v>
      </c>
      <c r="AJ17" s="324">
        <v>9.5159900000000004</v>
      </c>
      <c r="AK17" s="324">
        <v>11.674623</v>
      </c>
      <c r="AL17" s="324">
        <v>9.4021989999999995</v>
      </c>
      <c r="AM17" s="324">
        <v>11.710720999999999</v>
      </c>
      <c r="AN17" s="324">
        <v>11.453548</v>
      </c>
      <c r="AO17" s="324">
        <v>10.535723000000001</v>
      </c>
      <c r="AP17" s="324">
        <v>11.793393</v>
      </c>
      <c r="AQ17" s="324">
        <v>11.688219</v>
      </c>
      <c r="AR17" s="324">
        <v>11.041404999999999</v>
      </c>
      <c r="AS17" s="324">
        <v>0</v>
      </c>
      <c r="AT17" s="324">
        <v>0</v>
      </c>
      <c r="AU17" s="324">
        <v>0</v>
      </c>
      <c r="AV17" s="324">
        <v>0</v>
      </c>
      <c r="AW17" s="324">
        <v>0</v>
      </c>
      <c r="AX17" s="324">
        <v>0</v>
      </c>
      <c r="AY17" s="324">
        <v>0</v>
      </c>
      <c r="AZ17" s="324">
        <v>0</v>
      </c>
      <c r="BA17" s="324">
        <v>10.472917000000001</v>
      </c>
      <c r="BB17" s="324">
        <v>11.524324999999999</v>
      </c>
      <c r="BC17" s="324">
        <v>11.124045000000001</v>
      </c>
      <c r="BD17" s="324">
        <v>10.552165</v>
      </c>
      <c r="BE17" s="324">
        <v>10.694635</v>
      </c>
      <c r="BF17" s="324">
        <v>10.302334999999999</v>
      </c>
      <c r="BG17" s="324">
        <v>9.7678949999999993</v>
      </c>
      <c r="BH17" s="324">
        <v>10.753696</v>
      </c>
      <c r="BI17" s="324">
        <v>10.971330999999999</v>
      </c>
      <c r="BJ17" s="324">
        <v>6.4453950000000004</v>
      </c>
      <c r="BK17" s="324">
        <v>11.415113</v>
      </c>
      <c r="BL17" s="324">
        <v>11.075813</v>
      </c>
      <c r="BM17" s="324">
        <v>11.068720000000001</v>
      </c>
    </row>
    <row r="18" spans="1:65" ht="15.6">
      <c r="A18" s="325" t="s">
        <v>473</v>
      </c>
      <c r="B18" s="326"/>
      <c r="C18" s="408" t="s">
        <v>396</v>
      </c>
      <c r="D18" s="324">
        <v>2.3136670000000001</v>
      </c>
      <c r="E18" s="324">
        <v>1.3663419999999999</v>
      </c>
      <c r="F18" s="324">
        <v>2.2527789999999999</v>
      </c>
      <c r="G18" s="324">
        <v>3.1938689999999998</v>
      </c>
      <c r="H18" s="324">
        <v>2.5278179999999999</v>
      </c>
      <c r="I18" s="324">
        <v>2.2153870000000002</v>
      </c>
      <c r="J18" s="324">
        <v>1.710358</v>
      </c>
      <c r="K18" s="324">
        <v>2.2193290000000001</v>
      </c>
      <c r="L18" s="324">
        <v>1.3516239999999999</v>
      </c>
      <c r="M18" s="324">
        <v>2.4650989999999999</v>
      </c>
      <c r="N18" s="324">
        <v>2.6656610000000001</v>
      </c>
      <c r="O18" s="324">
        <v>1.6664920000000001</v>
      </c>
      <c r="P18" s="324">
        <v>3.1297980000000001</v>
      </c>
      <c r="Q18" s="324">
        <v>2.7105999999999999</v>
      </c>
      <c r="R18" s="324">
        <v>2.8868260000000001</v>
      </c>
      <c r="S18" s="324">
        <v>3.1307670000000001</v>
      </c>
      <c r="T18" s="324">
        <v>2.4800119999999999</v>
      </c>
      <c r="U18" s="324">
        <v>2.6481050000000002</v>
      </c>
      <c r="V18" s="324">
        <v>2.286546</v>
      </c>
      <c r="W18" s="324">
        <v>2.6450680000000002</v>
      </c>
      <c r="X18" s="324">
        <v>1.9635819999999999</v>
      </c>
      <c r="Y18" s="324">
        <v>1.8852530000000001</v>
      </c>
      <c r="Z18" s="324">
        <v>2.5288620000000002</v>
      </c>
      <c r="AA18" s="324">
        <v>2.5273979999999998</v>
      </c>
      <c r="AB18" s="324">
        <v>2.8663650000000001</v>
      </c>
      <c r="AC18" s="324">
        <v>2.9077009999999999</v>
      </c>
      <c r="AD18" s="324">
        <v>2.282902</v>
      </c>
      <c r="AE18" s="52">
        <f>'User Add-in Location'!B24</f>
        <v>0</v>
      </c>
      <c r="AF18" s="52">
        <f>'User Add-in Location'!C24</f>
        <v>0</v>
      </c>
      <c r="AG18" s="324">
        <v>2.33649</v>
      </c>
      <c r="AH18" s="324">
        <v>2.2806679999999999</v>
      </c>
      <c r="AI18" s="324">
        <v>2.0126080000000002</v>
      </c>
      <c r="AJ18" s="324">
        <v>2.4709249999999998</v>
      </c>
      <c r="AK18" s="324">
        <v>2.479044</v>
      </c>
      <c r="AL18" s="324">
        <v>1.764132</v>
      </c>
      <c r="AM18" s="324">
        <v>2.8428460000000002</v>
      </c>
      <c r="AN18" s="324">
        <v>2.4952869999999998</v>
      </c>
      <c r="AO18" s="324">
        <v>2.9224000000000001</v>
      </c>
      <c r="AP18" s="324">
        <v>1.7915970000000001</v>
      </c>
      <c r="AQ18" s="324">
        <v>2.5654119999999998</v>
      </c>
      <c r="AR18" s="324">
        <v>2.3506939999999998</v>
      </c>
      <c r="AS18" s="324">
        <v>0</v>
      </c>
      <c r="AT18" s="324">
        <v>0</v>
      </c>
      <c r="AU18" s="324">
        <v>0</v>
      </c>
      <c r="AV18" s="324">
        <v>0</v>
      </c>
      <c r="AW18" s="324">
        <v>0</v>
      </c>
      <c r="AX18" s="324">
        <v>0</v>
      </c>
      <c r="AY18" s="324">
        <v>0</v>
      </c>
      <c r="AZ18" s="324">
        <v>0</v>
      </c>
      <c r="BA18" s="324">
        <v>2.0516049999999999</v>
      </c>
      <c r="BB18" s="324">
        <v>2.452105</v>
      </c>
      <c r="BC18" s="324">
        <v>2.8588019999999998</v>
      </c>
      <c r="BD18" s="324">
        <v>3.1165620000000001</v>
      </c>
      <c r="BE18" s="324">
        <v>2.7202459999999999</v>
      </c>
      <c r="BF18" s="324">
        <v>2.4910220000000001</v>
      </c>
      <c r="BG18" s="324">
        <v>2.9370020000000001</v>
      </c>
      <c r="BH18" s="324">
        <v>2.1405210000000001</v>
      </c>
      <c r="BI18" s="324">
        <v>2.4516469999999999</v>
      </c>
      <c r="BJ18" s="324">
        <v>2.3423259999999999</v>
      </c>
      <c r="BK18" s="324">
        <v>2.12425</v>
      </c>
      <c r="BL18" s="324">
        <v>3.0123899999999999</v>
      </c>
      <c r="BM18" s="324">
        <v>1.4950490000000001</v>
      </c>
    </row>
    <row r="19" spans="1:65" ht="15.6">
      <c r="A19" s="325"/>
      <c r="B19" s="326"/>
      <c r="C19" s="408" t="s">
        <v>397</v>
      </c>
      <c r="D19" s="324">
        <v>2.7425839999999999</v>
      </c>
      <c r="E19" s="324">
        <v>2.0219779999999998</v>
      </c>
      <c r="F19" s="324">
        <v>2.6769759999999998</v>
      </c>
      <c r="G19" s="324">
        <v>2.6217220000000001</v>
      </c>
      <c r="H19" s="324">
        <v>2.0110809999999999</v>
      </c>
      <c r="I19" s="324">
        <v>2.6801490000000001</v>
      </c>
      <c r="J19" s="324">
        <v>2.097172</v>
      </c>
      <c r="K19" s="324">
        <v>1.9649700000000001</v>
      </c>
      <c r="L19" s="324">
        <v>2.0655329999999998</v>
      </c>
      <c r="M19" s="324">
        <v>2.8090519999999999</v>
      </c>
      <c r="N19" s="324">
        <v>2.6376659999999998</v>
      </c>
      <c r="O19" s="324">
        <v>1.9970950000000001</v>
      </c>
      <c r="P19" s="324">
        <v>2.8419310000000002</v>
      </c>
      <c r="Q19" s="324">
        <v>2.03057</v>
      </c>
      <c r="R19" s="324">
        <v>2.2359789999999999</v>
      </c>
      <c r="S19" s="324">
        <v>2.2685140000000001</v>
      </c>
      <c r="T19" s="324">
        <v>2.6004670000000001</v>
      </c>
      <c r="U19" s="324">
        <v>2.4955820000000002</v>
      </c>
      <c r="V19" s="324">
        <v>2.6851750000000001</v>
      </c>
      <c r="W19" s="324">
        <v>2.5242230000000001</v>
      </c>
      <c r="X19" s="324">
        <v>2.0306690000000001</v>
      </c>
      <c r="Y19" s="324">
        <v>2.060257</v>
      </c>
      <c r="Z19" s="324">
        <v>2.483276</v>
      </c>
      <c r="AA19" s="324">
        <v>2.2951709999999999</v>
      </c>
      <c r="AB19" s="324">
        <v>2.6470060000000002</v>
      </c>
      <c r="AC19" s="324">
        <v>2.722299</v>
      </c>
      <c r="AD19" s="324">
        <v>3.0983499999999999</v>
      </c>
      <c r="AE19" s="52">
        <f>'User Add-in Location'!B25</f>
        <v>0</v>
      </c>
      <c r="AF19" s="52">
        <f>'User Add-in Location'!C25</f>
        <v>0</v>
      </c>
      <c r="AG19" s="324">
        <v>2.2641960000000001</v>
      </c>
      <c r="AH19" s="324">
        <v>2.719716</v>
      </c>
      <c r="AI19" s="324">
        <v>2.1297769999999998</v>
      </c>
      <c r="AJ19" s="324">
        <v>2.42354</v>
      </c>
      <c r="AK19" s="324">
        <v>2.2440699999999998</v>
      </c>
      <c r="AL19" s="324">
        <v>2.2608679999999999</v>
      </c>
      <c r="AM19" s="324">
        <v>2.6783139999999999</v>
      </c>
      <c r="AN19" s="324">
        <v>2.8119689999999999</v>
      </c>
      <c r="AO19" s="324">
        <v>2.3790300000000002</v>
      </c>
      <c r="AP19" s="324">
        <v>2.7337449999999999</v>
      </c>
      <c r="AQ19" s="324">
        <v>2.2677689999999999</v>
      </c>
      <c r="AR19" s="324">
        <v>2.3234300000000001</v>
      </c>
      <c r="AS19" s="324">
        <v>0</v>
      </c>
      <c r="AT19" s="324">
        <v>0</v>
      </c>
      <c r="AU19" s="324">
        <v>0</v>
      </c>
      <c r="AV19" s="324">
        <v>0</v>
      </c>
      <c r="AW19" s="324">
        <v>0</v>
      </c>
      <c r="AX19" s="324">
        <v>0</v>
      </c>
      <c r="AY19" s="324">
        <v>0</v>
      </c>
      <c r="AZ19" s="324">
        <v>0</v>
      </c>
      <c r="BA19" s="324">
        <v>2.1788400000000001</v>
      </c>
      <c r="BB19" s="324">
        <v>2.7415929999999999</v>
      </c>
      <c r="BC19" s="324">
        <v>3.022834</v>
      </c>
      <c r="BD19" s="324">
        <v>2.5068269999999999</v>
      </c>
      <c r="BE19" s="324">
        <v>2.6299079999999999</v>
      </c>
      <c r="BF19" s="324">
        <v>2.3738860000000002</v>
      </c>
      <c r="BG19" s="324">
        <v>2.9736750000000001</v>
      </c>
      <c r="BH19" s="324">
        <v>2.250467</v>
      </c>
      <c r="BI19" s="324">
        <v>2.2243019999999998</v>
      </c>
      <c r="BJ19" s="324">
        <v>2.0929000000000002</v>
      </c>
      <c r="BK19" s="324">
        <v>2.2428149999999998</v>
      </c>
      <c r="BL19" s="324">
        <v>2.2466620000000002</v>
      </c>
      <c r="BM19" s="324">
        <v>3.0645530000000001</v>
      </c>
    </row>
    <row r="20" spans="1:65" ht="15.6">
      <c r="A20" s="325"/>
      <c r="B20" s="326"/>
      <c r="C20" s="408" t="s">
        <v>398</v>
      </c>
      <c r="D20" s="324">
        <v>4.1545259999999997</v>
      </c>
      <c r="E20" s="324">
        <v>3.8966910000000001</v>
      </c>
      <c r="F20" s="324">
        <v>4.757892</v>
      </c>
      <c r="G20" s="324">
        <v>4.5036829999999997</v>
      </c>
      <c r="H20" s="324">
        <v>3.6324160000000001</v>
      </c>
      <c r="I20" s="324">
        <v>4.8547029999999998</v>
      </c>
      <c r="J20" s="324">
        <v>3.4834529999999999</v>
      </c>
      <c r="K20" s="324">
        <v>2.4847260000000002</v>
      </c>
      <c r="L20" s="324">
        <v>3.1313529999999998</v>
      </c>
      <c r="M20" s="324">
        <v>5.5033820000000002</v>
      </c>
      <c r="N20" s="324">
        <v>3.0898159999999999</v>
      </c>
      <c r="O20" s="324">
        <v>4.8841549999999998</v>
      </c>
      <c r="P20" s="324">
        <v>4.8871529999999996</v>
      </c>
      <c r="Q20" s="324">
        <v>3.8959199999999998</v>
      </c>
      <c r="R20" s="324">
        <v>5.0896319999999999</v>
      </c>
      <c r="S20" s="324">
        <v>4.1709160000000001</v>
      </c>
      <c r="T20" s="324">
        <v>5.1374820000000003</v>
      </c>
      <c r="U20" s="324">
        <v>4.6152259999999998</v>
      </c>
      <c r="V20" s="324">
        <v>4.9971329999999998</v>
      </c>
      <c r="W20" s="324">
        <v>4.4584669999999997</v>
      </c>
      <c r="X20" s="324">
        <v>4.4634650000000002</v>
      </c>
      <c r="Y20" s="324">
        <v>3.1486730000000001</v>
      </c>
      <c r="Z20" s="324">
        <v>5.0878030000000001</v>
      </c>
      <c r="AA20" s="324">
        <v>3.8496860000000002</v>
      </c>
      <c r="AB20" s="324">
        <v>4.6909520000000002</v>
      </c>
      <c r="AC20" s="324">
        <v>4.0086269999999997</v>
      </c>
      <c r="AD20" s="324">
        <v>4.3539300000000001</v>
      </c>
      <c r="AE20" s="52">
        <f>'User Add-in Location'!B26</f>
        <v>0</v>
      </c>
      <c r="AF20" s="52">
        <f>'User Add-in Location'!C26</f>
        <v>0</v>
      </c>
      <c r="AG20" s="324">
        <v>4.9246420000000004</v>
      </c>
      <c r="AH20" s="324">
        <v>4.8989050000000001</v>
      </c>
      <c r="AI20" s="324">
        <v>4.4650129999999999</v>
      </c>
      <c r="AJ20" s="324">
        <v>4.8137689999999997</v>
      </c>
      <c r="AK20" s="324">
        <v>4.8740420000000002</v>
      </c>
      <c r="AL20" s="324">
        <v>1.9819770000000001</v>
      </c>
      <c r="AM20" s="324">
        <v>2.940356</v>
      </c>
      <c r="AN20" s="324">
        <v>4.5867649999999998</v>
      </c>
      <c r="AO20" s="324">
        <v>3.3794300000000002</v>
      </c>
      <c r="AP20" s="324">
        <v>5.1559759999999999</v>
      </c>
      <c r="AQ20" s="324">
        <v>4.5250399999999997</v>
      </c>
      <c r="AR20" s="324">
        <v>4.4696660000000001</v>
      </c>
      <c r="AS20" s="324">
        <v>0</v>
      </c>
      <c r="AT20" s="324">
        <v>0</v>
      </c>
      <c r="AU20" s="324">
        <v>0</v>
      </c>
      <c r="AV20" s="324">
        <v>0</v>
      </c>
      <c r="AW20" s="324">
        <v>0</v>
      </c>
      <c r="AX20" s="324">
        <v>0</v>
      </c>
      <c r="AY20" s="324">
        <v>0</v>
      </c>
      <c r="AZ20" s="324">
        <v>0</v>
      </c>
      <c r="BA20" s="324">
        <v>4.0896929999999996</v>
      </c>
      <c r="BB20" s="324">
        <v>5.0055399999999999</v>
      </c>
      <c r="BC20" s="324">
        <v>2.3294000000000001</v>
      </c>
      <c r="BD20" s="324">
        <v>4.6169960000000003</v>
      </c>
      <c r="BE20" s="324">
        <v>4.9566210000000002</v>
      </c>
      <c r="BF20" s="324">
        <v>3.7410619999999999</v>
      </c>
      <c r="BG20" s="324">
        <v>4.2916780000000001</v>
      </c>
      <c r="BH20" s="324">
        <v>4.5778340000000002</v>
      </c>
      <c r="BI20" s="324">
        <v>4.0226730000000002</v>
      </c>
      <c r="BJ20" s="324">
        <v>4.0071789999999998</v>
      </c>
      <c r="BK20" s="324">
        <v>4.5078300000000002</v>
      </c>
      <c r="BL20" s="324">
        <v>4.4496310000000001</v>
      </c>
      <c r="BM20" s="324">
        <v>6.1855339999999996</v>
      </c>
    </row>
    <row r="21" spans="1:65" ht="15.6">
      <c r="A21" s="325"/>
      <c r="B21" s="326"/>
      <c r="C21" s="408" t="s">
        <v>399</v>
      </c>
      <c r="D21" s="324">
        <v>5.2149380000000001</v>
      </c>
      <c r="E21" s="324">
        <v>5.7148149999999998</v>
      </c>
      <c r="F21" s="324">
        <v>5.4550109999999998</v>
      </c>
      <c r="G21" s="324">
        <v>4.8457020000000002</v>
      </c>
      <c r="H21" s="324">
        <v>4.0879700000000003</v>
      </c>
      <c r="I21" s="324">
        <v>4.7232349999999999</v>
      </c>
      <c r="J21" s="324">
        <v>4.2061070000000003</v>
      </c>
      <c r="K21" s="324">
        <v>4.0646909999999998</v>
      </c>
      <c r="L21" s="324">
        <v>3.2987359999999999</v>
      </c>
      <c r="M21" s="324">
        <v>5.6297189999999997</v>
      </c>
      <c r="N21" s="324">
        <v>4.8514220000000003</v>
      </c>
      <c r="O21" s="324">
        <v>5.3796520000000001</v>
      </c>
      <c r="P21" s="324">
        <v>5.56135</v>
      </c>
      <c r="Q21" s="324">
        <v>4.2965999999999998</v>
      </c>
      <c r="R21" s="324">
        <v>4.7503989999999998</v>
      </c>
      <c r="S21" s="324">
        <v>5.4298970000000004</v>
      </c>
      <c r="T21" s="324">
        <v>5.1864080000000001</v>
      </c>
      <c r="U21" s="324">
        <v>5.6564800000000002</v>
      </c>
      <c r="V21" s="324">
        <v>5.7628880000000002</v>
      </c>
      <c r="W21" s="324">
        <v>5.5049260000000002</v>
      </c>
      <c r="X21" s="324">
        <v>4.6428589999999996</v>
      </c>
      <c r="Y21" s="324">
        <v>3.9140100000000002</v>
      </c>
      <c r="Z21" s="324">
        <v>4.7467480000000002</v>
      </c>
      <c r="AA21" s="324">
        <v>4.5042150000000003</v>
      </c>
      <c r="AB21" s="324">
        <v>6.014507</v>
      </c>
      <c r="AC21" s="324">
        <v>4.7325609999999996</v>
      </c>
      <c r="AD21" s="324">
        <v>6.6073019999999998</v>
      </c>
      <c r="AE21" s="52">
        <f>'User Add-in Location'!B27</f>
        <v>0</v>
      </c>
      <c r="AF21" s="52">
        <f>'User Add-in Location'!C27</f>
        <v>0</v>
      </c>
      <c r="AG21" s="324">
        <v>5.0753620000000002</v>
      </c>
      <c r="AH21" s="324">
        <v>5.1239290000000004</v>
      </c>
      <c r="AI21" s="324">
        <v>4.8601700000000001</v>
      </c>
      <c r="AJ21" s="324">
        <v>4.038951</v>
      </c>
      <c r="AK21" s="324">
        <v>5.1860879999999998</v>
      </c>
      <c r="AL21" s="324">
        <v>3.9649420000000002</v>
      </c>
      <c r="AM21" s="324">
        <v>4.6821339999999996</v>
      </c>
      <c r="AN21" s="324">
        <v>5.6038410000000001</v>
      </c>
      <c r="AO21" s="324">
        <v>4.7671169999999998</v>
      </c>
      <c r="AP21" s="324">
        <v>5.9092200000000004</v>
      </c>
      <c r="AQ21" s="324">
        <v>4.6014629999999999</v>
      </c>
      <c r="AR21" s="324">
        <v>4.3127300000000002</v>
      </c>
      <c r="AS21" s="324">
        <v>0</v>
      </c>
      <c r="AT21" s="324">
        <v>0</v>
      </c>
      <c r="AU21" s="324">
        <v>0</v>
      </c>
      <c r="AV21" s="324">
        <v>0</v>
      </c>
      <c r="AW21" s="324">
        <v>0</v>
      </c>
      <c r="AX21" s="324">
        <v>0</v>
      </c>
      <c r="AY21" s="324">
        <v>0</v>
      </c>
      <c r="AZ21" s="324">
        <v>0</v>
      </c>
      <c r="BA21" s="324">
        <v>4.9818949999999997</v>
      </c>
      <c r="BB21" s="324">
        <v>5.6647629999999998</v>
      </c>
      <c r="BC21" s="324">
        <v>5.5240460000000002</v>
      </c>
      <c r="BD21" s="324">
        <v>5.269692</v>
      </c>
      <c r="BE21" s="324">
        <v>4.9226510000000001</v>
      </c>
      <c r="BF21" s="324">
        <v>4.5683150000000001</v>
      </c>
      <c r="BG21" s="324">
        <v>5.8537290000000004</v>
      </c>
      <c r="BH21" s="324">
        <v>5.8580519999999998</v>
      </c>
      <c r="BI21" s="324">
        <v>4.612501</v>
      </c>
      <c r="BJ21" s="324">
        <v>4.009754</v>
      </c>
      <c r="BK21" s="324">
        <v>5.0476850000000004</v>
      </c>
      <c r="BL21" s="324">
        <v>4.8676310000000003</v>
      </c>
      <c r="BM21" s="324">
        <v>6.7523109999999997</v>
      </c>
    </row>
    <row r="22" spans="1:65" ht="15.6">
      <c r="A22" s="325"/>
      <c r="B22" s="326"/>
      <c r="C22" s="408" t="s">
        <v>400</v>
      </c>
      <c r="D22" s="324">
        <v>7.5366900000000001</v>
      </c>
      <c r="E22" s="324">
        <v>8.0858819999999998</v>
      </c>
      <c r="F22" s="324">
        <v>7.4821429999999998</v>
      </c>
      <c r="G22" s="324">
        <v>8.8176659999999991</v>
      </c>
      <c r="H22" s="324">
        <v>5.3652280000000001</v>
      </c>
      <c r="I22" s="324">
        <v>6.4506629999999996</v>
      </c>
      <c r="J22" s="324">
        <v>5.4826730000000001</v>
      </c>
      <c r="K22" s="324">
        <v>6.5503270000000002</v>
      </c>
      <c r="L22" s="324">
        <v>4.0607870000000004</v>
      </c>
      <c r="M22" s="324">
        <v>6.9679000000000002</v>
      </c>
      <c r="N22" s="324">
        <v>6.6897440000000001</v>
      </c>
      <c r="O22" s="324">
        <v>8.00549</v>
      </c>
      <c r="P22" s="324">
        <v>8.7874549999999996</v>
      </c>
      <c r="Q22" s="324">
        <v>6.3017110000000001</v>
      </c>
      <c r="R22" s="324">
        <v>6.8381429999999996</v>
      </c>
      <c r="S22" s="324">
        <v>7.6907899999999998</v>
      </c>
      <c r="T22" s="324">
        <v>7.4178660000000001</v>
      </c>
      <c r="U22" s="324">
        <v>7.9381339999999998</v>
      </c>
      <c r="V22" s="324">
        <v>8.6462939999999993</v>
      </c>
      <c r="W22" s="324">
        <v>7.4137620000000002</v>
      </c>
      <c r="X22" s="324">
        <v>5.489986</v>
      </c>
      <c r="Y22" s="324">
        <v>4.437087</v>
      </c>
      <c r="Z22" s="324">
        <v>7.3096829999999997</v>
      </c>
      <c r="AA22" s="324">
        <v>6.5331910000000004</v>
      </c>
      <c r="AB22" s="324">
        <v>9.2882459999999991</v>
      </c>
      <c r="AC22" s="324">
        <v>6.8199870000000002</v>
      </c>
      <c r="AD22" s="324">
        <v>8.8474930000000001</v>
      </c>
      <c r="AE22" s="52">
        <f>'User Add-in Location'!B28</f>
        <v>0</v>
      </c>
      <c r="AF22" s="52">
        <f>'User Add-in Location'!C28</f>
        <v>0</v>
      </c>
      <c r="AG22" s="324">
        <v>7.9726359999999996</v>
      </c>
      <c r="AH22" s="324">
        <v>7.5696440000000003</v>
      </c>
      <c r="AI22" s="324">
        <v>5.8127339999999998</v>
      </c>
      <c r="AJ22" s="324">
        <v>5.2660020000000003</v>
      </c>
      <c r="AK22" s="324">
        <v>7.2518089999999997</v>
      </c>
      <c r="AL22" s="324">
        <v>5.5994130000000002</v>
      </c>
      <c r="AM22" s="324">
        <v>6.4693290000000001</v>
      </c>
      <c r="AN22" s="324">
        <v>8.0301229999999997</v>
      </c>
      <c r="AO22" s="324">
        <v>7.096025</v>
      </c>
      <c r="AP22" s="324">
        <v>7.8350400000000002</v>
      </c>
      <c r="AQ22" s="324">
        <v>7.5691280000000001</v>
      </c>
      <c r="AR22" s="324">
        <v>6.6429830000000001</v>
      </c>
      <c r="AS22" s="324">
        <v>0</v>
      </c>
      <c r="AT22" s="324">
        <v>0</v>
      </c>
      <c r="AU22" s="324">
        <v>0</v>
      </c>
      <c r="AV22" s="324">
        <v>0</v>
      </c>
      <c r="AW22" s="324">
        <v>0</v>
      </c>
      <c r="AX22" s="324">
        <v>0</v>
      </c>
      <c r="AY22" s="324">
        <v>0</v>
      </c>
      <c r="AZ22" s="324">
        <v>0</v>
      </c>
      <c r="BA22" s="324">
        <v>6.9410449999999999</v>
      </c>
      <c r="BB22" s="324">
        <v>7.7416549999999997</v>
      </c>
      <c r="BC22" s="324">
        <v>8.3663410000000002</v>
      </c>
      <c r="BD22" s="324">
        <v>6.196485</v>
      </c>
      <c r="BE22" s="324">
        <v>6.5924709999999997</v>
      </c>
      <c r="BF22" s="324">
        <v>6.2807209999999998</v>
      </c>
      <c r="BG22" s="324">
        <v>8.5531129999999997</v>
      </c>
      <c r="BH22" s="324">
        <v>6.6557130000000004</v>
      </c>
      <c r="BI22" s="324">
        <v>5.256513</v>
      </c>
      <c r="BJ22" s="324">
        <v>5.9488669999999999</v>
      </c>
      <c r="BK22" s="324">
        <v>9.7377009999999995</v>
      </c>
      <c r="BL22" s="324">
        <v>7.3802139999999996</v>
      </c>
      <c r="BM22" s="324">
        <v>8.5692439999999994</v>
      </c>
    </row>
    <row r="23" spans="1:65" ht="15.6">
      <c r="A23" s="325"/>
      <c r="B23" s="326"/>
      <c r="C23" s="408" t="s">
        <v>401</v>
      </c>
      <c r="D23" s="324">
        <v>5.9720370000000003</v>
      </c>
      <c r="E23" s="324">
        <v>6.3562779999999997</v>
      </c>
      <c r="F23" s="324">
        <v>6.4057909999999998</v>
      </c>
      <c r="G23" s="324">
        <v>7.252351</v>
      </c>
      <c r="H23" s="324">
        <v>5.2096920000000004</v>
      </c>
      <c r="I23" s="324">
        <v>5.7635740000000002</v>
      </c>
      <c r="J23" s="324">
        <v>5.6308670000000003</v>
      </c>
      <c r="K23" s="324">
        <v>5.7676869999999996</v>
      </c>
      <c r="L23" s="324">
        <v>4.3075830000000002</v>
      </c>
      <c r="M23" s="324">
        <v>6.5289960000000002</v>
      </c>
      <c r="N23" s="324">
        <v>6.1536629999999999</v>
      </c>
      <c r="O23" s="324">
        <v>6.4755890000000003</v>
      </c>
      <c r="P23" s="324">
        <v>7.0308840000000004</v>
      </c>
      <c r="Q23" s="324">
        <v>5.8103590000000001</v>
      </c>
      <c r="R23" s="324">
        <v>6.1626810000000001</v>
      </c>
      <c r="S23" s="324">
        <v>6.4747760000000003</v>
      </c>
      <c r="T23" s="324">
        <v>6.1522449999999997</v>
      </c>
      <c r="U23" s="324">
        <v>6.6541389999999998</v>
      </c>
      <c r="V23" s="324">
        <v>6.425376</v>
      </c>
      <c r="W23" s="324">
        <v>6.4785880000000002</v>
      </c>
      <c r="X23" s="324">
        <v>5.4475090000000002</v>
      </c>
      <c r="Y23" s="324">
        <v>4.7826969999999998</v>
      </c>
      <c r="Z23" s="324">
        <v>5.7305510000000002</v>
      </c>
      <c r="AA23" s="324">
        <v>5.9192879999999999</v>
      </c>
      <c r="AB23" s="324">
        <v>7.454237</v>
      </c>
      <c r="AC23" s="324">
        <v>5.8276620000000001</v>
      </c>
      <c r="AD23" s="324">
        <v>7.061674</v>
      </c>
      <c r="AE23" s="52">
        <f>'User Add-in Location'!B29</f>
        <v>0</v>
      </c>
      <c r="AF23" s="52">
        <f>'User Add-in Location'!C29</f>
        <v>0</v>
      </c>
      <c r="AG23" s="324">
        <v>6.6022119999999997</v>
      </c>
      <c r="AH23" s="324">
        <v>6.4581169999999997</v>
      </c>
      <c r="AI23" s="324">
        <v>5.7263659999999996</v>
      </c>
      <c r="AJ23" s="324">
        <v>5.5058299999999996</v>
      </c>
      <c r="AK23" s="324">
        <v>6.0854090000000003</v>
      </c>
      <c r="AL23" s="324">
        <v>5.2610599999999996</v>
      </c>
      <c r="AM23" s="324">
        <v>6.115532</v>
      </c>
      <c r="AN23" s="324">
        <v>6.1924469999999996</v>
      </c>
      <c r="AO23" s="324">
        <v>6.2623620000000004</v>
      </c>
      <c r="AP23" s="324">
        <v>6.970186</v>
      </c>
      <c r="AQ23" s="324">
        <v>6.4395389999999999</v>
      </c>
      <c r="AR23" s="324">
        <v>5.9697490000000002</v>
      </c>
      <c r="AS23" s="324">
        <v>0</v>
      </c>
      <c r="AT23" s="324">
        <v>0</v>
      </c>
      <c r="AU23" s="324">
        <v>0</v>
      </c>
      <c r="AV23" s="324">
        <v>0</v>
      </c>
      <c r="AW23" s="324">
        <v>0</v>
      </c>
      <c r="AX23" s="324">
        <v>0</v>
      </c>
      <c r="AY23" s="324">
        <v>0</v>
      </c>
      <c r="AZ23" s="324">
        <v>0</v>
      </c>
      <c r="BA23" s="324">
        <v>6.3519639999999997</v>
      </c>
      <c r="BB23" s="324">
        <v>6.3089750000000002</v>
      </c>
      <c r="BC23" s="324">
        <v>6.9415079999999998</v>
      </c>
      <c r="BD23" s="324">
        <v>6.2497949999999998</v>
      </c>
      <c r="BE23" s="324">
        <v>5.6531229999999999</v>
      </c>
      <c r="BF23" s="324">
        <v>5.7902589999999998</v>
      </c>
      <c r="BG23" s="324">
        <v>6.8501329999999996</v>
      </c>
      <c r="BH23" s="324">
        <v>6.5441479999999999</v>
      </c>
      <c r="BI23" s="324">
        <v>5.1941030000000001</v>
      </c>
      <c r="BJ23" s="324">
        <v>5.5752660000000001</v>
      </c>
      <c r="BK23" s="324">
        <v>6.7031539999999996</v>
      </c>
      <c r="BL23" s="324">
        <v>6.3503530000000001</v>
      </c>
      <c r="BM23" s="324">
        <v>6.9968820000000003</v>
      </c>
    </row>
    <row r="24" spans="1:65" ht="15.6">
      <c r="A24" s="325"/>
      <c r="B24" s="326"/>
      <c r="C24" s="408" t="s">
        <v>402</v>
      </c>
      <c r="D24" s="324">
        <v>10.609197</v>
      </c>
      <c r="E24" s="324">
        <v>8.374269</v>
      </c>
      <c r="F24" s="324">
        <v>9.0394400000000008</v>
      </c>
      <c r="G24" s="324">
        <v>10.538919999999999</v>
      </c>
      <c r="H24" s="324">
        <v>7.2134260000000001</v>
      </c>
      <c r="I24" s="324">
        <v>8.351915</v>
      </c>
      <c r="J24" s="324">
        <v>7.7129139999999996</v>
      </c>
      <c r="K24" s="324">
        <v>8.4360839999999993</v>
      </c>
      <c r="L24" s="324">
        <v>6.1719569999999999</v>
      </c>
      <c r="M24" s="324">
        <v>9.4809230000000007</v>
      </c>
      <c r="N24" s="324">
        <v>8.5093510000000006</v>
      </c>
      <c r="O24" s="324">
        <v>8.593845</v>
      </c>
      <c r="P24" s="324">
        <v>10.184889999999999</v>
      </c>
      <c r="Q24" s="324">
        <v>8.5440679999999993</v>
      </c>
      <c r="R24" s="324">
        <v>9.6585049999999999</v>
      </c>
      <c r="S24" s="324">
        <v>10.20229</v>
      </c>
      <c r="T24" s="324">
        <v>8.5026650000000004</v>
      </c>
      <c r="U24" s="324">
        <v>9.816516</v>
      </c>
      <c r="V24" s="324">
        <v>9.9684969999999993</v>
      </c>
      <c r="W24" s="324">
        <v>9.9277090000000001</v>
      </c>
      <c r="X24" s="324">
        <v>8.4449369999999995</v>
      </c>
      <c r="Y24" s="324">
        <v>7.8606020000000001</v>
      </c>
      <c r="Z24" s="324">
        <v>9.4687909999999995</v>
      </c>
      <c r="AA24" s="324">
        <v>9.1455819999999992</v>
      </c>
      <c r="AB24" s="324">
        <v>10.976077</v>
      </c>
      <c r="AC24" s="324">
        <v>9.1749589999999994</v>
      </c>
      <c r="AD24" s="324">
        <v>10.236515000000001</v>
      </c>
      <c r="AE24" s="52">
        <f>'User Add-in Location'!B30</f>
        <v>0</v>
      </c>
      <c r="AF24" s="52">
        <f>'User Add-in Location'!C30</f>
        <v>0</v>
      </c>
      <c r="AG24" s="324">
        <v>9.2652210000000004</v>
      </c>
      <c r="AH24" s="324">
        <v>8.9040289999999995</v>
      </c>
      <c r="AI24" s="324">
        <v>8.5143780000000007</v>
      </c>
      <c r="AJ24" s="324">
        <v>8.2891239999999993</v>
      </c>
      <c r="AK24" s="324">
        <v>9.7997250000000005</v>
      </c>
      <c r="AL24" s="324">
        <v>7.1210690000000003</v>
      </c>
      <c r="AM24" s="324">
        <v>9.5094499999999993</v>
      </c>
      <c r="AN24" s="324">
        <v>9.1158479999999997</v>
      </c>
      <c r="AO24" s="324">
        <v>9.5073910000000001</v>
      </c>
      <c r="AP24" s="324">
        <v>9.8061299999999996</v>
      </c>
      <c r="AQ24" s="324">
        <v>9.2035920000000004</v>
      </c>
      <c r="AR24" s="324">
        <v>8.6471719999999994</v>
      </c>
      <c r="AS24" s="324">
        <v>0</v>
      </c>
      <c r="AT24" s="324">
        <v>0</v>
      </c>
      <c r="AU24" s="324">
        <v>0</v>
      </c>
      <c r="AV24" s="324">
        <v>0</v>
      </c>
      <c r="AW24" s="324">
        <v>0</v>
      </c>
      <c r="AX24" s="324">
        <v>0</v>
      </c>
      <c r="AY24" s="324">
        <v>0</v>
      </c>
      <c r="AZ24" s="324">
        <v>0</v>
      </c>
      <c r="BA24" s="324">
        <v>9.7067010000000007</v>
      </c>
      <c r="BB24" s="324">
        <v>10.042697</v>
      </c>
      <c r="BC24" s="324">
        <v>9.4404090000000007</v>
      </c>
      <c r="BD24" s="324">
        <v>8.957338</v>
      </c>
      <c r="BE24" s="324">
        <v>9.1350149999999992</v>
      </c>
      <c r="BF24" s="324">
        <v>8.5125170000000008</v>
      </c>
      <c r="BG24" s="324">
        <v>8.7264540000000004</v>
      </c>
      <c r="BH24" s="324">
        <v>9.9223560000000006</v>
      </c>
      <c r="BI24" s="324">
        <v>8.4750779999999999</v>
      </c>
      <c r="BJ24" s="324">
        <v>6.2750579999999996</v>
      </c>
      <c r="BK24" s="324">
        <v>9.8139059999999994</v>
      </c>
      <c r="BL24" s="324">
        <v>9.5001379999999997</v>
      </c>
      <c r="BM24" s="324">
        <v>10.122887</v>
      </c>
    </row>
    <row r="25" spans="1:65" ht="15.6">
      <c r="A25" s="325"/>
      <c r="B25" s="326"/>
      <c r="C25" s="408" t="s">
        <v>403</v>
      </c>
      <c r="D25" s="324">
        <v>8.4912259999999993</v>
      </c>
      <c r="E25" s="324">
        <v>8.1478509999999993</v>
      </c>
      <c r="F25" s="324">
        <v>8.6120330000000003</v>
      </c>
      <c r="G25" s="324">
        <v>12.050145000000001</v>
      </c>
      <c r="H25" s="324">
        <v>7.2540310000000003</v>
      </c>
      <c r="I25" s="324">
        <v>10.049896</v>
      </c>
      <c r="J25" s="324">
        <v>6.6754860000000003</v>
      </c>
      <c r="K25" s="324">
        <v>9.5186270000000004</v>
      </c>
      <c r="L25" s="324">
        <v>4.635974</v>
      </c>
      <c r="M25" s="324">
        <v>9.5673030000000008</v>
      </c>
      <c r="N25" s="324">
        <v>10.542149</v>
      </c>
      <c r="O25" s="324">
        <v>8.2051619999999996</v>
      </c>
      <c r="P25" s="324">
        <v>11.236253</v>
      </c>
      <c r="Q25" s="324">
        <v>9.9518489999999993</v>
      </c>
      <c r="R25" s="324">
        <v>11.308228</v>
      </c>
      <c r="S25" s="324">
        <v>10.981945</v>
      </c>
      <c r="T25" s="324">
        <v>11.515988</v>
      </c>
      <c r="U25" s="324">
        <v>10.493181999999999</v>
      </c>
      <c r="V25" s="324">
        <v>10.888607</v>
      </c>
      <c r="W25" s="324">
        <v>10.933884000000001</v>
      </c>
      <c r="X25" s="324">
        <v>5.6998689999999996</v>
      </c>
      <c r="Y25" s="324">
        <v>6.305199</v>
      </c>
      <c r="Z25" s="324">
        <v>10.193486</v>
      </c>
      <c r="AA25" s="324">
        <v>10.234959999999999</v>
      </c>
      <c r="AB25" s="324">
        <v>12.94468</v>
      </c>
      <c r="AC25" s="324">
        <v>11.379294</v>
      </c>
      <c r="AD25" s="324">
        <v>11.589885000000001</v>
      </c>
      <c r="AE25" s="52">
        <f>'User Add-in Location'!B31</f>
        <v>0</v>
      </c>
      <c r="AF25" s="52">
        <f>'User Add-in Location'!C31</f>
        <v>0</v>
      </c>
      <c r="AG25" s="324">
        <v>11.227634999999999</v>
      </c>
      <c r="AH25" s="324">
        <v>9.0858980000000003</v>
      </c>
      <c r="AI25" s="324">
        <v>8.3686179999999997</v>
      </c>
      <c r="AJ25" s="324">
        <v>8.4464079999999999</v>
      </c>
      <c r="AK25" s="324">
        <v>6.4014470000000001</v>
      </c>
      <c r="AL25" s="324">
        <v>7.5203480000000003</v>
      </c>
      <c r="AM25" s="324">
        <v>10.121862</v>
      </c>
      <c r="AN25" s="324">
        <v>10.728097999999999</v>
      </c>
      <c r="AO25" s="324">
        <v>9.7288739999999994</v>
      </c>
      <c r="AP25" s="324">
        <v>9.0331890000000001</v>
      </c>
      <c r="AQ25" s="324">
        <v>8.5521589999999996</v>
      </c>
      <c r="AR25" s="324">
        <v>8.8018909999999995</v>
      </c>
      <c r="AS25" s="324">
        <v>0</v>
      </c>
      <c r="AT25" s="324">
        <v>0</v>
      </c>
      <c r="AU25" s="324">
        <v>0</v>
      </c>
      <c r="AV25" s="324">
        <v>0</v>
      </c>
      <c r="AW25" s="324">
        <v>0</v>
      </c>
      <c r="AX25" s="324">
        <v>0</v>
      </c>
      <c r="AY25" s="324">
        <v>0</v>
      </c>
      <c r="AZ25" s="324">
        <v>0</v>
      </c>
      <c r="BA25" s="324">
        <v>7.532654</v>
      </c>
      <c r="BB25" s="324">
        <v>10.604699999999999</v>
      </c>
      <c r="BC25" s="324">
        <v>11.522961</v>
      </c>
      <c r="BD25" s="324">
        <v>10.965327</v>
      </c>
      <c r="BE25" s="324">
        <v>9.9458669999999998</v>
      </c>
      <c r="BF25" s="324">
        <v>8.8312469999999994</v>
      </c>
      <c r="BG25" s="324">
        <v>10.176797000000001</v>
      </c>
      <c r="BH25" s="324">
        <v>11.592281</v>
      </c>
      <c r="BI25" s="324">
        <v>8.1327459999999991</v>
      </c>
      <c r="BJ25" s="324">
        <v>7.9988840000000003</v>
      </c>
      <c r="BK25" s="324">
        <v>11.09417</v>
      </c>
      <c r="BL25" s="324">
        <v>10.959149</v>
      </c>
      <c r="BM25" s="324">
        <v>10.242490999999999</v>
      </c>
    </row>
    <row r="26" spans="1:65" ht="15.6">
      <c r="A26" s="325"/>
      <c r="B26" s="326"/>
      <c r="C26" s="408" t="s">
        <v>404</v>
      </c>
      <c r="D26" s="321">
        <v>1.7906409999999999</v>
      </c>
      <c r="E26" s="321">
        <v>1.60104</v>
      </c>
      <c r="F26" s="321">
        <v>1.5031399999999999</v>
      </c>
      <c r="G26" s="321">
        <v>1.6054569999999999</v>
      </c>
      <c r="H26" s="321">
        <v>1.1673260000000001</v>
      </c>
      <c r="I26" s="321">
        <v>1.8196810000000001</v>
      </c>
      <c r="J26" s="321">
        <v>1.67004</v>
      </c>
      <c r="K26" s="321">
        <v>2.131732</v>
      </c>
      <c r="L26" s="321">
        <v>1.4034660000000001</v>
      </c>
      <c r="M26" s="321">
        <v>1.6647970000000001</v>
      </c>
      <c r="N26" s="321">
        <v>1.3522350000000001</v>
      </c>
      <c r="O26" s="321">
        <v>2.3159619999999999</v>
      </c>
      <c r="P26" s="321">
        <v>1.563949</v>
      </c>
      <c r="Q26" s="321">
        <v>1.6360779999999999</v>
      </c>
      <c r="R26" s="321">
        <v>1.5038720000000001</v>
      </c>
      <c r="S26" s="321">
        <v>1.669216</v>
      </c>
      <c r="T26" s="321">
        <v>1.8815789999999999</v>
      </c>
      <c r="U26" s="321">
        <v>1.749263</v>
      </c>
      <c r="V26" s="321">
        <v>2.334352</v>
      </c>
      <c r="W26" s="321">
        <v>1.5276860000000001</v>
      </c>
      <c r="X26" s="321">
        <v>1.7173799999999999</v>
      </c>
      <c r="Y26" s="321">
        <v>1.5188649999999999</v>
      </c>
      <c r="Z26" s="321">
        <v>1.8950370000000001</v>
      </c>
      <c r="AA26" s="321">
        <v>1.714718</v>
      </c>
      <c r="AB26" s="321">
        <v>2.4343159999999999</v>
      </c>
      <c r="AC26" s="321">
        <v>1.5604880000000001</v>
      </c>
      <c r="AD26" s="321">
        <v>1.6936560000000001</v>
      </c>
      <c r="AE26" s="52">
        <f>'User Add-in Location'!B32</f>
        <v>0</v>
      </c>
      <c r="AF26" s="52">
        <f>'User Add-in Location'!C32</f>
        <v>0</v>
      </c>
      <c r="AG26" s="321">
        <v>1.6588210000000001</v>
      </c>
      <c r="AH26" s="321">
        <v>1.8627940000000001</v>
      </c>
      <c r="AI26" s="321">
        <v>1.6744490000000001</v>
      </c>
      <c r="AJ26" s="321">
        <v>1.795463</v>
      </c>
      <c r="AK26" s="321">
        <v>1.677154</v>
      </c>
      <c r="AL26" s="321">
        <v>1.7816000000000001</v>
      </c>
      <c r="AM26" s="321">
        <v>1.373319</v>
      </c>
      <c r="AN26" s="321">
        <v>1.8322259999999999</v>
      </c>
      <c r="AO26" s="321">
        <v>1.9526410000000001</v>
      </c>
      <c r="AP26" s="321">
        <v>1.5934330000000001</v>
      </c>
      <c r="AQ26" s="321">
        <v>1.228145</v>
      </c>
      <c r="AR26" s="321">
        <v>1.453352</v>
      </c>
      <c r="AS26" s="324">
        <v>0</v>
      </c>
      <c r="AT26" s="324">
        <v>0</v>
      </c>
      <c r="AU26" s="324">
        <v>0</v>
      </c>
      <c r="AV26" s="324">
        <v>0</v>
      </c>
      <c r="AW26" s="324">
        <v>0</v>
      </c>
      <c r="AX26" s="324">
        <v>0</v>
      </c>
      <c r="AY26" s="324">
        <v>0</v>
      </c>
      <c r="AZ26" s="324">
        <v>0</v>
      </c>
      <c r="BA26" s="321">
        <v>1.583108</v>
      </c>
      <c r="BB26" s="321">
        <v>1.3113140000000001</v>
      </c>
      <c r="BC26" s="321">
        <v>2.211805</v>
      </c>
      <c r="BD26" s="321">
        <v>1.8349299999999999</v>
      </c>
      <c r="BE26" s="321">
        <v>1.295836</v>
      </c>
      <c r="BF26" s="321">
        <v>1.379462</v>
      </c>
      <c r="BG26" s="321">
        <v>1.8035760000000001</v>
      </c>
      <c r="BH26" s="321">
        <v>1.948207</v>
      </c>
      <c r="BI26" s="321">
        <v>1.7157230000000001</v>
      </c>
      <c r="BJ26" s="321">
        <v>1.799282</v>
      </c>
      <c r="BK26" s="321">
        <v>2.1620119999999998</v>
      </c>
      <c r="BL26" s="321">
        <v>1.5427580000000001</v>
      </c>
      <c r="BM26" s="321">
        <v>0</v>
      </c>
    </row>
    <row r="27" spans="1:65">
      <c r="A27" s="315"/>
      <c r="B27" s="316"/>
      <c r="C27" s="349"/>
      <c r="D27" s="321"/>
      <c r="E27" s="321"/>
      <c r="F27" s="321"/>
      <c r="G27" s="321"/>
      <c r="H27" s="321"/>
      <c r="I27" s="321"/>
      <c r="J27" s="321"/>
      <c r="K27" s="321"/>
      <c r="L27" s="321"/>
      <c r="M27" s="321"/>
      <c r="N27" s="321"/>
      <c r="O27" s="321"/>
      <c r="P27" s="321"/>
      <c r="Q27" s="321"/>
      <c r="R27" s="321"/>
      <c r="S27" s="321"/>
      <c r="T27" s="321"/>
      <c r="U27" s="321"/>
      <c r="V27" s="321"/>
      <c r="W27" s="321"/>
      <c r="X27" s="321"/>
      <c r="Y27" s="321"/>
      <c r="Z27" s="321"/>
      <c r="AA27" s="321"/>
      <c r="AB27" s="321"/>
      <c r="AC27" s="321"/>
      <c r="AD27" s="321"/>
      <c r="AG27" s="321"/>
      <c r="AH27" s="321"/>
      <c r="AI27" s="321"/>
      <c r="AJ27" s="321"/>
      <c r="AK27" s="321"/>
      <c r="AL27" s="321"/>
      <c r="AM27" s="321"/>
      <c r="AN27" s="321"/>
      <c r="AO27" s="321"/>
      <c r="AP27" s="321"/>
      <c r="AQ27" s="321"/>
      <c r="AR27" s="321"/>
      <c r="AS27" s="324"/>
      <c r="AT27" s="324"/>
      <c r="AU27" s="324"/>
      <c r="AV27" s="324"/>
      <c r="AW27" s="324"/>
      <c r="AX27" s="324"/>
      <c r="AY27" s="324"/>
      <c r="AZ27" s="324"/>
      <c r="BA27" s="321"/>
      <c r="BB27" s="321"/>
      <c r="BC27" s="321"/>
      <c r="BD27" s="321"/>
      <c r="BE27" s="321"/>
      <c r="BF27" s="321"/>
      <c r="BG27" s="321"/>
      <c r="BH27" s="321"/>
      <c r="BI27" s="321"/>
      <c r="BJ27" s="321"/>
      <c r="BK27" s="321"/>
      <c r="BL27" s="321"/>
      <c r="BM27" s="321"/>
    </row>
    <row r="28" spans="1:65">
      <c r="A28" s="315"/>
      <c r="B28" s="316"/>
      <c r="C28" s="319" t="s">
        <v>378</v>
      </c>
      <c r="D28" s="321"/>
      <c r="E28" s="321"/>
      <c r="F28" s="321"/>
      <c r="G28" s="321"/>
      <c r="H28" s="321"/>
      <c r="I28" s="321"/>
      <c r="J28" s="321"/>
      <c r="K28" s="321"/>
      <c r="L28" s="321"/>
      <c r="M28" s="321"/>
      <c r="N28" s="321"/>
      <c r="O28" s="321"/>
      <c r="P28" s="321"/>
      <c r="Q28" s="321"/>
      <c r="R28" s="321"/>
      <c r="S28" s="321"/>
      <c r="T28" s="321"/>
      <c r="U28" s="321"/>
      <c r="V28" s="321"/>
      <c r="W28" s="321"/>
      <c r="X28" s="321"/>
      <c r="Y28" s="321"/>
      <c r="Z28" s="321"/>
      <c r="AA28" s="321"/>
      <c r="AB28" s="321"/>
      <c r="AC28" s="321"/>
      <c r="AD28" s="321"/>
      <c r="AG28" s="321"/>
      <c r="AH28" s="321"/>
      <c r="AI28" s="321"/>
      <c r="AJ28" s="321"/>
      <c r="AK28" s="321"/>
      <c r="AL28" s="321"/>
      <c r="AM28" s="321"/>
      <c r="AN28" s="321"/>
      <c r="AO28" s="321"/>
      <c r="AP28" s="321"/>
      <c r="AQ28" s="321"/>
      <c r="AR28" s="321"/>
      <c r="AS28" s="324"/>
      <c r="AT28" s="324"/>
      <c r="AU28" s="324"/>
      <c r="AV28" s="324"/>
      <c r="AW28" s="324"/>
      <c r="AX28" s="324"/>
      <c r="AY28" s="324"/>
      <c r="AZ28" s="324"/>
      <c r="BA28" s="321"/>
      <c r="BB28" s="321"/>
      <c r="BC28" s="321"/>
      <c r="BD28" s="321"/>
      <c r="BE28" s="321"/>
      <c r="BF28" s="321"/>
      <c r="BG28" s="321"/>
      <c r="BH28" s="321"/>
      <c r="BI28" s="321"/>
      <c r="BJ28" s="321"/>
      <c r="BK28" s="321"/>
      <c r="BL28" s="321"/>
      <c r="BM28" s="321"/>
    </row>
    <row r="29" spans="1:65">
      <c r="A29" s="315"/>
      <c r="B29" s="316"/>
      <c r="C29" s="320" t="s">
        <v>405</v>
      </c>
      <c r="D29" s="52" t="s">
        <v>219</v>
      </c>
      <c r="E29" s="52" t="s">
        <v>222</v>
      </c>
      <c r="F29" s="52" t="s">
        <v>231</v>
      </c>
      <c r="G29" s="52" t="s">
        <v>221</v>
      </c>
      <c r="H29" s="52" t="s">
        <v>223</v>
      </c>
      <c r="I29" s="52" t="s">
        <v>240</v>
      </c>
      <c r="J29" s="52" t="s">
        <v>216</v>
      </c>
      <c r="K29" s="52" t="s">
        <v>217</v>
      </c>
      <c r="L29" s="52" t="s">
        <v>218</v>
      </c>
      <c r="M29" s="52" t="s">
        <v>228</v>
      </c>
      <c r="N29" s="52" t="s">
        <v>237</v>
      </c>
      <c r="O29" s="52" t="s">
        <v>232</v>
      </c>
      <c r="P29" s="52" t="s">
        <v>248</v>
      </c>
      <c r="Q29" s="52" t="s">
        <v>220</v>
      </c>
      <c r="R29" s="52" t="s">
        <v>229</v>
      </c>
      <c r="S29" s="52" t="s">
        <v>238</v>
      </c>
      <c r="T29" s="52" t="s">
        <v>254</v>
      </c>
      <c r="U29" s="52" t="s">
        <v>245</v>
      </c>
      <c r="V29" s="52" t="s">
        <v>230</v>
      </c>
      <c r="W29" s="52" t="s">
        <v>225</v>
      </c>
      <c r="X29" s="52" t="s">
        <v>227</v>
      </c>
      <c r="Y29" s="52" t="s">
        <v>234</v>
      </c>
      <c r="Z29" s="52" t="s">
        <v>246</v>
      </c>
      <c r="AA29" s="52" t="s">
        <v>252</v>
      </c>
      <c r="AB29" s="52" t="s">
        <v>251</v>
      </c>
      <c r="AC29" s="52" t="s">
        <v>239</v>
      </c>
      <c r="AD29" s="52" t="s">
        <v>260</v>
      </c>
      <c r="AE29" s="52" t="s">
        <v>381</v>
      </c>
      <c r="AF29" s="52" t="s">
        <v>382</v>
      </c>
      <c r="AG29" s="52" t="s">
        <v>264</v>
      </c>
      <c r="AH29" s="52" t="s">
        <v>266</v>
      </c>
      <c r="AI29" s="52" t="s">
        <v>242</v>
      </c>
      <c r="AJ29" s="52" t="s">
        <v>489</v>
      </c>
      <c r="AK29" s="52" t="s">
        <v>247</v>
      </c>
      <c r="AL29" s="52" t="s">
        <v>250</v>
      </c>
      <c r="AM29" s="52" t="s">
        <v>236</v>
      </c>
      <c r="AN29" s="52" t="s">
        <v>268</v>
      </c>
      <c r="AO29" s="52" t="s">
        <v>258</v>
      </c>
      <c r="AP29" s="52" t="s">
        <v>253</v>
      </c>
      <c r="AQ29" s="52" t="s">
        <v>270</v>
      </c>
      <c r="AR29" s="52" t="s">
        <v>235</v>
      </c>
      <c r="AS29" s="407" t="s">
        <v>207</v>
      </c>
      <c r="AT29" s="407" t="s">
        <v>208</v>
      </c>
      <c r="AU29" s="407" t="s">
        <v>209</v>
      </c>
      <c r="AV29" s="407" t="s">
        <v>210</v>
      </c>
      <c r="AW29" s="407" t="s">
        <v>211</v>
      </c>
      <c r="AX29" s="407" t="s">
        <v>212</v>
      </c>
      <c r="AY29" s="407" t="s">
        <v>213</v>
      </c>
      <c r="AZ29" s="407" t="s">
        <v>214</v>
      </c>
      <c r="BA29" s="52" t="s">
        <v>256</v>
      </c>
      <c r="BB29" s="52" t="s">
        <v>490</v>
      </c>
      <c r="BC29" s="52" t="s">
        <v>272</v>
      </c>
      <c r="BD29" s="52" t="s">
        <v>491</v>
      </c>
      <c r="BE29" s="52" t="s">
        <v>492</v>
      </c>
      <c r="BF29" s="321" t="s">
        <v>604</v>
      </c>
      <c r="BG29" s="52" t="s">
        <v>274</v>
      </c>
      <c r="BH29" s="52" t="s">
        <v>262</v>
      </c>
      <c r="BI29" s="52" t="s">
        <v>244</v>
      </c>
      <c r="BJ29" s="52" t="s">
        <v>275</v>
      </c>
      <c r="BK29" s="52" t="s">
        <v>243</v>
      </c>
      <c r="BL29" s="52" t="s">
        <v>263</v>
      </c>
      <c r="BM29" s="52" t="s">
        <v>493</v>
      </c>
    </row>
    <row r="30" spans="1:65">
      <c r="A30" s="315"/>
      <c r="B30" s="316"/>
      <c r="C30" s="408" t="s">
        <v>383</v>
      </c>
      <c r="D30" s="321">
        <v>3.154458</v>
      </c>
      <c r="E30" s="321">
        <v>1.066711</v>
      </c>
      <c r="F30" s="321">
        <v>1.631421</v>
      </c>
      <c r="G30" s="321">
        <v>4.0154940000000003</v>
      </c>
      <c r="H30" s="321">
        <v>1.3386830000000001</v>
      </c>
      <c r="I30" s="321">
        <v>3.075901</v>
      </c>
      <c r="J30" s="321">
        <v>1.1702509999999999</v>
      </c>
      <c r="K30" s="321">
        <v>1.686607</v>
      </c>
      <c r="L30" s="321">
        <v>0.22977600000000001</v>
      </c>
      <c r="M30" s="321">
        <v>1.5558670000000001</v>
      </c>
      <c r="N30" s="321">
        <v>2.8518590000000001</v>
      </c>
      <c r="O30" s="321">
        <v>1.576085</v>
      </c>
      <c r="P30" s="321">
        <v>2.8065820000000001</v>
      </c>
      <c r="Q30" s="321">
        <v>2.0421299999999998</v>
      </c>
      <c r="R30" s="321">
        <v>2.5253329999999998</v>
      </c>
      <c r="S30" s="321">
        <v>2.7588569999999999</v>
      </c>
      <c r="T30" s="321">
        <v>3.429319</v>
      </c>
      <c r="U30" s="321">
        <v>2.8129520000000001</v>
      </c>
      <c r="V30" s="321">
        <v>2.5557159999999999</v>
      </c>
      <c r="W30" s="321">
        <v>1.4742189999999999</v>
      </c>
      <c r="X30" s="321">
        <v>1.69455</v>
      </c>
      <c r="Y30" s="321">
        <v>0.52366100000000004</v>
      </c>
      <c r="Z30" s="321">
        <v>2.2849560000000002</v>
      </c>
      <c r="AA30" s="321">
        <v>3.0358879999999999</v>
      </c>
      <c r="AB30" s="321">
        <v>3.6225260000000001</v>
      </c>
      <c r="AC30" s="321">
        <v>3.9172630000000002</v>
      </c>
      <c r="AD30" s="321">
        <v>2.7138640000000001</v>
      </c>
      <c r="AE30" s="52">
        <f>'User Add-in Location'!B36</f>
        <v>0</v>
      </c>
      <c r="AF30" s="52">
        <f>'User Add-in Location'!C36</f>
        <v>0</v>
      </c>
      <c r="AG30" s="321">
        <v>3.0021770000000001</v>
      </c>
      <c r="AH30" s="321">
        <v>1.5501320000000001</v>
      </c>
      <c r="AI30" s="321">
        <v>1.7432970000000001</v>
      </c>
      <c r="AJ30" s="321">
        <v>1.013992</v>
      </c>
      <c r="AK30" s="321">
        <v>3.2093759999999998</v>
      </c>
      <c r="AL30" s="321">
        <v>1.600406</v>
      </c>
      <c r="AM30" s="321">
        <v>3.0030209999999999</v>
      </c>
      <c r="AN30" s="321">
        <v>1.8343179999999999</v>
      </c>
      <c r="AO30" s="321">
        <v>2.1195689999999998</v>
      </c>
      <c r="AP30" s="321">
        <v>4.4869409999999998</v>
      </c>
      <c r="AQ30" s="321">
        <v>2.6103339999999999</v>
      </c>
      <c r="AR30" s="321">
        <v>2.6419579999999998</v>
      </c>
      <c r="AS30" s="324">
        <v>0</v>
      </c>
      <c r="AT30" s="324">
        <v>0</v>
      </c>
      <c r="AU30" s="324">
        <v>0</v>
      </c>
      <c r="AV30" s="324">
        <v>0</v>
      </c>
      <c r="AW30" s="324">
        <v>0</v>
      </c>
      <c r="AX30" s="324">
        <v>0</v>
      </c>
      <c r="AY30" s="324">
        <v>0</v>
      </c>
      <c r="AZ30" s="324">
        <v>0</v>
      </c>
      <c r="BA30" s="321">
        <v>0.39951399999999998</v>
      </c>
      <c r="BB30" s="321">
        <v>2.3215029999999999</v>
      </c>
      <c r="BC30" s="321">
        <v>2.933748</v>
      </c>
      <c r="BD30" s="321">
        <v>3.0796969999999999</v>
      </c>
      <c r="BE30" s="321">
        <v>3.4572479999999999</v>
      </c>
      <c r="BF30" s="321">
        <v>3.9675630000000002</v>
      </c>
      <c r="BG30" s="321">
        <v>2.6446800000000001</v>
      </c>
      <c r="BH30" s="321">
        <v>3.6092580000000001</v>
      </c>
      <c r="BI30" s="321">
        <v>2.6370640000000001</v>
      </c>
      <c r="BJ30" s="321">
        <v>1.2669360000000001</v>
      </c>
      <c r="BK30" s="321">
        <v>2.0618400000000001</v>
      </c>
      <c r="BL30" s="321">
        <v>2.845815</v>
      </c>
      <c r="BM30" s="321">
        <v>1.4349449999999999</v>
      </c>
    </row>
    <row r="31" spans="1:65">
      <c r="A31" s="315"/>
      <c r="B31" s="316"/>
      <c r="C31" s="408" t="s">
        <v>384</v>
      </c>
      <c r="D31" s="321">
        <v>2.1728719999999999</v>
      </c>
      <c r="E31" s="321">
        <v>1.185233</v>
      </c>
      <c r="F31" s="321">
        <v>2.4864269999999999</v>
      </c>
      <c r="G31" s="321">
        <v>3.8003960000000001</v>
      </c>
      <c r="H31" s="321">
        <v>2.2337630000000002</v>
      </c>
      <c r="I31" s="321">
        <v>2.5815320000000002</v>
      </c>
      <c r="J31" s="321">
        <v>2.4245700000000001</v>
      </c>
      <c r="K31" s="321">
        <v>3.082128</v>
      </c>
      <c r="L31" s="321">
        <v>1.4610719999999999</v>
      </c>
      <c r="M31" s="321">
        <v>4.2447280000000003</v>
      </c>
      <c r="N31" s="321">
        <v>2.5189029999999999</v>
      </c>
      <c r="O31" s="321">
        <v>2.561544</v>
      </c>
      <c r="P31" s="321">
        <v>4.2302980000000003</v>
      </c>
      <c r="Q31" s="321">
        <v>3.6399970000000001</v>
      </c>
      <c r="R31" s="321">
        <v>3.2484130000000002</v>
      </c>
      <c r="S31" s="321">
        <v>3.1700370000000002</v>
      </c>
      <c r="T31" s="321">
        <v>4.8271870000000003</v>
      </c>
      <c r="U31" s="321">
        <v>3.2116440000000002</v>
      </c>
      <c r="V31" s="321">
        <v>3.0318010000000002</v>
      </c>
      <c r="W31" s="321">
        <v>3.8531240000000002</v>
      </c>
      <c r="X31" s="321">
        <v>2.9975960000000001</v>
      </c>
      <c r="Y31" s="321">
        <v>2.8442210000000001</v>
      </c>
      <c r="Z31" s="321">
        <v>3.3356439999999998</v>
      </c>
      <c r="AA31" s="321">
        <v>2.619348</v>
      </c>
      <c r="AB31" s="321">
        <v>4.2659159999999998</v>
      </c>
      <c r="AC31" s="321">
        <v>3.6333570000000002</v>
      </c>
      <c r="AD31" s="321">
        <v>2.9942299999999999</v>
      </c>
      <c r="AE31" s="52">
        <f>'User Add-in Location'!B37</f>
        <v>0</v>
      </c>
      <c r="AF31" s="52">
        <f>'User Add-in Location'!C37</f>
        <v>0</v>
      </c>
      <c r="AG31" s="321">
        <v>4.0154439999999996</v>
      </c>
      <c r="AH31" s="321">
        <v>2.501128</v>
      </c>
      <c r="AI31" s="321">
        <v>3.1635</v>
      </c>
      <c r="AJ31" s="321">
        <v>2.9525399999999999</v>
      </c>
      <c r="AK31" s="321">
        <v>2.0262030000000002</v>
      </c>
      <c r="AL31" s="321">
        <v>2.6896879999999999</v>
      </c>
      <c r="AM31" s="321">
        <v>3.1967910000000002</v>
      </c>
      <c r="AN31" s="321">
        <v>2.0660059999999998</v>
      </c>
      <c r="AO31" s="321">
        <v>1.7984640000000001</v>
      </c>
      <c r="AP31" s="321">
        <v>3.2103269999999999</v>
      </c>
      <c r="AQ31" s="321">
        <v>3.8970220000000002</v>
      </c>
      <c r="AR31" s="321">
        <v>1.9987710000000001</v>
      </c>
      <c r="AS31" s="324">
        <v>0</v>
      </c>
      <c r="AT31" s="324">
        <v>0</v>
      </c>
      <c r="AU31" s="324">
        <v>0</v>
      </c>
      <c r="AV31" s="324">
        <v>0</v>
      </c>
      <c r="AW31" s="324">
        <v>0</v>
      </c>
      <c r="AX31" s="324">
        <v>0</v>
      </c>
      <c r="AY31" s="324">
        <v>0</v>
      </c>
      <c r="AZ31" s="324">
        <v>0</v>
      </c>
      <c r="BA31" s="321">
        <v>2.342527</v>
      </c>
      <c r="BB31" s="321">
        <v>2.6907760000000001</v>
      </c>
      <c r="BC31" s="321">
        <v>4.137899</v>
      </c>
      <c r="BD31" s="321">
        <v>3.2524630000000001</v>
      </c>
      <c r="BE31" s="321">
        <v>2.3674210000000002</v>
      </c>
      <c r="BF31" s="321">
        <v>3.5492970000000001</v>
      </c>
      <c r="BG31" s="321">
        <v>2.8342719999999999</v>
      </c>
      <c r="BH31" s="321">
        <v>2.789777</v>
      </c>
      <c r="BI31" s="321">
        <v>2.6886700000000001</v>
      </c>
      <c r="BJ31" s="321">
        <v>2.8669060000000002</v>
      </c>
      <c r="BK31" s="321">
        <v>1.798468</v>
      </c>
      <c r="BL31" s="321">
        <v>1.9726360000000001</v>
      </c>
      <c r="BM31" s="321">
        <v>1.4983280000000001</v>
      </c>
    </row>
    <row r="32" spans="1:65">
      <c r="A32" s="315"/>
      <c r="B32" s="316"/>
      <c r="C32" s="408" t="s">
        <v>385</v>
      </c>
      <c r="D32" s="321">
        <v>2.1351779999999998</v>
      </c>
      <c r="E32" s="321">
        <v>1.3783160000000001</v>
      </c>
      <c r="F32" s="321">
        <v>1.5834900000000001</v>
      </c>
      <c r="G32" s="321">
        <v>2.5288330000000001</v>
      </c>
      <c r="H32" s="321">
        <v>1.5797079999999999</v>
      </c>
      <c r="I32" s="321">
        <v>1.937657</v>
      </c>
      <c r="J32" s="321">
        <v>1.7748999999999999</v>
      </c>
      <c r="K32" s="321">
        <v>1.5486420000000001</v>
      </c>
      <c r="L32" s="321">
        <v>0.74445399999999995</v>
      </c>
      <c r="M32" s="321">
        <v>2.07193</v>
      </c>
      <c r="N32" s="321">
        <v>2.0370080000000002</v>
      </c>
      <c r="O32" s="321">
        <v>1.2493719999999999</v>
      </c>
      <c r="P32" s="321">
        <v>2.4121169999999998</v>
      </c>
      <c r="Q32" s="321">
        <v>1.972483</v>
      </c>
      <c r="R32" s="321">
        <v>2.2739500000000001</v>
      </c>
      <c r="S32" s="321">
        <v>2.4066930000000002</v>
      </c>
      <c r="T32" s="321">
        <v>2.4648349999999999</v>
      </c>
      <c r="U32" s="321">
        <v>2.1470229999999999</v>
      </c>
      <c r="V32" s="321">
        <v>2.4192960000000001</v>
      </c>
      <c r="W32" s="321">
        <v>2.3797009999999998</v>
      </c>
      <c r="X32" s="321">
        <v>1.6691260000000001</v>
      </c>
      <c r="Y32" s="321">
        <v>1.645192</v>
      </c>
      <c r="Z32" s="321">
        <v>1.981951</v>
      </c>
      <c r="AA32" s="321">
        <v>2.2419899999999999</v>
      </c>
      <c r="AB32" s="321">
        <v>2.902933</v>
      </c>
      <c r="AC32" s="321">
        <v>2.6567669999999999</v>
      </c>
      <c r="AD32" s="321">
        <v>2.2772779999999999</v>
      </c>
      <c r="AE32" s="52">
        <f>'User Add-in Location'!B38</f>
        <v>0</v>
      </c>
      <c r="AF32" s="52">
        <f>'User Add-in Location'!C38</f>
        <v>0</v>
      </c>
      <c r="AG32" s="321">
        <v>2.9117989999999998</v>
      </c>
      <c r="AH32" s="321">
        <v>1.617883</v>
      </c>
      <c r="AI32" s="321">
        <v>2.435432</v>
      </c>
      <c r="AJ32" s="321">
        <v>1.6380049999999999</v>
      </c>
      <c r="AK32" s="321">
        <v>2.1739850000000001</v>
      </c>
      <c r="AL32" s="321">
        <v>1.441435</v>
      </c>
      <c r="AM32" s="321">
        <v>2.3023169999999999</v>
      </c>
      <c r="AN32" s="321">
        <v>1.7348269999999999</v>
      </c>
      <c r="AO32" s="321">
        <v>1.8486899999999999</v>
      </c>
      <c r="AP32" s="321">
        <v>2.8166250000000002</v>
      </c>
      <c r="AQ32" s="321">
        <v>2.1406900000000002</v>
      </c>
      <c r="AR32" s="321">
        <v>2.1209750000000001</v>
      </c>
      <c r="AS32" s="324">
        <v>0</v>
      </c>
      <c r="AT32" s="324">
        <v>0</v>
      </c>
      <c r="AU32" s="324">
        <v>0</v>
      </c>
      <c r="AV32" s="324">
        <v>0</v>
      </c>
      <c r="AW32" s="324">
        <v>0</v>
      </c>
      <c r="AX32" s="324">
        <v>0</v>
      </c>
      <c r="AY32" s="324">
        <v>0</v>
      </c>
      <c r="AZ32" s="324">
        <v>0</v>
      </c>
      <c r="BA32" s="321">
        <v>1.3811</v>
      </c>
      <c r="BB32" s="321">
        <v>1.740901</v>
      </c>
      <c r="BC32" s="321">
        <v>2.6394959999999998</v>
      </c>
      <c r="BD32" s="321">
        <v>2.0350700000000002</v>
      </c>
      <c r="BE32" s="321">
        <v>2.3269479999999998</v>
      </c>
      <c r="BF32" s="321">
        <v>2.8476680000000001</v>
      </c>
      <c r="BG32" s="321">
        <v>2.1485289999999999</v>
      </c>
      <c r="BH32" s="321">
        <v>2.691916</v>
      </c>
      <c r="BI32" s="321">
        <v>1.914547</v>
      </c>
      <c r="BJ32" s="321">
        <v>1.0957239999999999</v>
      </c>
      <c r="BK32" s="321">
        <v>1.248766</v>
      </c>
      <c r="BL32" s="321">
        <v>1.7580229999999999</v>
      </c>
      <c r="BM32" s="321">
        <v>1.238192</v>
      </c>
    </row>
    <row r="33" spans="1:65">
      <c r="A33" s="315"/>
      <c r="B33" s="316"/>
      <c r="C33" s="408" t="s">
        <v>386</v>
      </c>
      <c r="D33" s="321">
        <v>2.873936</v>
      </c>
      <c r="E33" s="321">
        <v>2.0164010000000001</v>
      </c>
      <c r="F33" s="321">
        <v>2.0103580000000001</v>
      </c>
      <c r="G33" s="321">
        <v>3.338422</v>
      </c>
      <c r="H33" s="321">
        <v>2.118738</v>
      </c>
      <c r="I33" s="321">
        <v>2.5571160000000002</v>
      </c>
      <c r="J33" s="321">
        <v>2.611672</v>
      </c>
      <c r="K33" s="321">
        <v>2.0961500000000002</v>
      </c>
      <c r="L33" s="321">
        <v>0.997664</v>
      </c>
      <c r="M33" s="321">
        <v>2.5818850000000002</v>
      </c>
      <c r="N33" s="321">
        <v>2.615291</v>
      </c>
      <c r="O33" s="321">
        <v>1.6675679999999999</v>
      </c>
      <c r="P33" s="321">
        <v>3.0318659999999999</v>
      </c>
      <c r="Q33" s="321">
        <v>2.6187670000000001</v>
      </c>
      <c r="R33" s="321">
        <v>3.0667179999999998</v>
      </c>
      <c r="S33" s="321">
        <v>3.3044479999999998</v>
      </c>
      <c r="T33" s="321">
        <v>3.2752409999999998</v>
      </c>
      <c r="U33" s="321">
        <v>2.8361399999999999</v>
      </c>
      <c r="V33" s="321">
        <v>3.238181</v>
      </c>
      <c r="W33" s="321">
        <v>3.3182459999999998</v>
      </c>
      <c r="X33" s="321">
        <v>2.2365789999999999</v>
      </c>
      <c r="Y33" s="321">
        <v>2.3562020000000001</v>
      </c>
      <c r="Z33" s="321">
        <v>2.6059779999999999</v>
      </c>
      <c r="AA33" s="321">
        <v>3.0446260000000001</v>
      </c>
      <c r="AB33" s="321">
        <v>3.7929900000000001</v>
      </c>
      <c r="AC33" s="321">
        <v>3.5824959999999999</v>
      </c>
      <c r="AD33" s="321">
        <v>3.0410940000000002</v>
      </c>
      <c r="AE33" s="52">
        <f>'User Add-in Location'!B39</f>
        <v>0</v>
      </c>
      <c r="AF33" s="52">
        <f>'User Add-in Location'!C39</f>
        <v>0</v>
      </c>
      <c r="AG33" s="321">
        <v>4.0601659999999997</v>
      </c>
      <c r="AH33" s="321">
        <v>2.1345879999999999</v>
      </c>
      <c r="AI33" s="321">
        <v>3.8707180000000001</v>
      </c>
      <c r="AJ33" s="321">
        <v>2.2244670000000002</v>
      </c>
      <c r="AK33" s="321">
        <v>2.9109560000000001</v>
      </c>
      <c r="AL33" s="321">
        <v>1.9552830000000001</v>
      </c>
      <c r="AM33" s="321">
        <v>3.1009549999999999</v>
      </c>
      <c r="AN33" s="321">
        <v>2.3908369999999999</v>
      </c>
      <c r="AO33" s="321">
        <v>2.4910739999999998</v>
      </c>
      <c r="AP33" s="321">
        <v>3.8448329999999999</v>
      </c>
      <c r="AQ33" s="321">
        <v>2.893837</v>
      </c>
      <c r="AR33" s="321">
        <v>2.858914</v>
      </c>
      <c r="AS33" s="324">
        <v>0</v>
      </c>
      <c r="AT33" s="324">
        <v>0</v>
      </c>
      <c r="AU33" s="324">
        <v>0</v>
      </c>
      <c r="AV33" s="324">
        <v>0</v>
      </c>
      <c r="AW33" s="324">
        <v>0</v>
      </c>
      <c r="AX33" s="324">
        <v>0</v>
      </c>
      <c r="AY33" s="324">
        <v>0</v>
      </c>
      <c r="AZ33" s="324">
        <v>0</v>
      </c>
      <c r="BA33" s="321">
        <v>1.850373</v>
      </c>
      <c r="BB33" s="321">
        <v>2.2431510000000001</v>
      </c>
      <c r="BC33" s="321">
        <v>3.5709789999999999</v>
      </c>
      <c r="BD33" s="321">
        <v>2.835731</v>
      </c>
      <c r="BE33" s="321">
        <v>3.1345589999999999</v>
      </c>
      <c r="BF33" s="321">
        <v>3.7353909999999999</v>
      </c>
      <c r="BG33" s="321">
        <v>2.7501609999999999</v>
      </c>
      <c r="BH33" s="321">
        <v>3.8827029999999998</v>
      </c>
      <c r="BI33" s="321">
        <v>2.5459499999999999</v>
      </c>
      <c r="BJ33" s="321">
        <v>1.394741</v>
      </c>
      <c r="BK33" s="321">
        <v>1.7047349999999999</v>
      </c>
      <c r="BL33" s="321">
        <v>2.334762</v>
      </c>
      <c r="BM33" s="321">
        <v>1.775752</v>
      </c>
    </row>
    <row r="34" spans="1:65">
      <c r="A34" s="315"/>
      <c r="B34" s="316"/>
      <c r="C34" s="408" t="s">
        <v>387</v>
      </c>
      <c r="D34" s="321">
        <v>3.3581669999999999</v>
      </c>
      <c r="E34" s="321">
        <v>2.4364110000000001</v>
      </c>
      <c r="F34" s="321">
        <v>2.4026480000000001</v>
      </c>
      <c r="G34" s="321">
        <v>3.859003</v>
      </c>
      <c r="H34" s="321">
        <v>2.4700340000000001</v>
      </c>
      <c r="I34" s="321">
        <v>3.0172629999999998</v>
      </c>
      <c r="J34" s="321">
        <v>2.9528279999999998</v>
      </c>
      <c r="K34" s="321">
        <v>2.6100449999999999</v>
      </c>
      <c r="L34" s="321">
        <v>1.264858</v>
      </c>
      <c r="M34" s="321">
        <v>3.0746000000000002</v>
      </c>
      <c r="N34" s="321">
        <v>3.1586449999999999</v>
      </c>
      <c r="O34" s="321">
        <v>2.0563449999999999</v>
      </c>
      <c r="P34" s="321">
        <v>3.5400770000000001</v>
      </c>
      <c r="Q34" s="321">
        <v>3.0368059999999999</v>
      </c>
      <c r="R34" s="321">
        <v>3.5768140000000002</v>
      </c>
      <c r="S34" s="321">
        <v>3.8887109999999998</v>
      </c>
      <c r="T34" s="321">
        <v>3.7339180000000001</v>
      </c>
      <c r="U34" s="321">
        <v>3.417557</v>
      </c>
      <c r="V34" s="321">
        <v>3.6416529999999998</v>
      </c>
      <c r="W34" s="321">
        <v>3.7858139999999998</v>
      </c>
      <c r="X34" s="321">
        <v>2.6890550000000002</v>
      </c>
      <c r="Y34" s="321">
        <v>2.747906</v>
      </c>
      <c r="Z34" s="321">
        <v>3.1393209999999998</v>
      </c>
      <c r="AA34" s="321">
        <v>3.5177700000000001</v>
      </c>
      <c r="AB34" s="321">
        <v>4.2746380000000004</v>
      </c>
      <c r="AC34" s="321">
        <v>4.1214490000000001</v>
      </c>
      <c r="AD34" s="321">
        <v>3.5111089999999998</v>
      </c>
      <c r="AE34" s="52">
        <f>'User Add-in Location'!B40</f>
        <v>0</v>
      </c>
      <c r="AF34" s="52">
        <f>'User Add-in Location'!C40</f>
        <v>0</v>
      </c>
      <c r="AG34" s="321">
        <v>4.5642639999999997</v>
      </c>
      <c r="AH34" s="321">
        <v>2.5096500000000002</v>
      </c>
      <c r="AI34" s="321">
        <v>4.2018409999999999</v>
      </c>
      <c r="AJ34" s="321">
        <v>2.597464</v>
      </c>
      <c r="AK34" s="321">
        <v>3.438682</v>
      </c>
      <c r="AL34" s="321">
        <v>2.3428650000000002</v>
      </c>
      <c r="AM34" s="321">
        <v>3.6389900000000002</v>
      </c>
      <c r="AN34" s="321">
        <v>2.8577880000000002</v>
      </c>
      <c r="AO34" s="321">
        <v>2.9897480000000001</v>
      </c>
      <c r="AP34" s="321">
        <v>4.3974279999999997</v>
      </c>
      <c r="AQ34" s="321">
        <v>3.439127</v>
      </c>
      <c r="AR34" s="321">
        <v>3.3551829999999998</v>
      </c>
      <c r="AS34" s="324">
        <v>0</v>
      </c>
      <c r="AT34" s="324">
        <v>0</v>
      </c>
      <c r="AU34" s="324">
        <v>0</v>
      </c>
      <c r="AV34" s="324">
        <v>0</v>
      </c>
      <c r="AW34" s="324">
        <v>0</v>
      </c>
      <c r="AX34" s="324">
        <v>0</v>
      </c>
      <c r="AY34" s="324">
        <v>0</v>
      </c>
      <c r="AZ34" s="324">
        <v>0</v>
      </c>
      <c r="BA34" s="321">
        <v>2.1662789999999998</v>
      </c>
      <c r="BB34" s="321">
        <v>2.8319399999999999</v>
      </c>
      <c r="BC34" s="321">
        <v>4.0108189999999997</v>
      </c>
      <c r="BD34" s="321">
        <v>3.290972</v>
      </c>
      <c r="BE34" s="321">
        <v>3.5721660000000002</v>
      </c>
      <c r="BF34" s="321">
        <v>4.1161719999999997</v>
      </c>
      <c r="BG34" s="321">
        <v>3.1936249999999999</v>
      </c>
      <c r="BH34" s="321">
        <v>4.2576619999999998</v>
      </c>
      <c r="BI34" s="321">
        <v>3.0732179999999998</v>
      </c>
      <c r="BJ34" s="321">
        <v>1.5587059999999999</v>
      </c>
      <c r="BK34" s="321">
        <v>2.1611509999999998</v>
      </c>
      <c r="BL34" s="321">
        <v>2.8609300000000002</v>
      </c>
      <c r="BM34" s="321">
        <v>2.2741769999999999</v>
      </c>
    </row>
    <row r="35" spans="1:65">
      <c r="A35" s="315"/>
      <c r="B35" s="316"/>
      <c r="C35" s="408" t="s">
        <v>388</v>
      </c>
      <c r="D35" s="321">
        <v>2.4166219999999998</v>
      </c>
      <c r="E35" s="321">
        <v>1.6219460000000001</v>
      </c>
      <c r="F35" s="321">
        <v>1.78687</v>
      </c>
      <c r="G35" s="321">
        <v>3.0463979999999999</v>
      </c>
      <c r="H35" s="321">
        <v>2.0497779999999999</v>
      </c>
      <c r="I35" s="321">
        <v>2.543927</v>
      </c>
      <c r="J35" s="321">
        <v>1.857497</v>
      </c>
      <c r="K35" s="321">
        <v>1.906865</v>
      </c>
      <c r="L35" s="321">
        <v>0.58494900000000005</v>
      </c>
      <c r="M35" s="321">
        <v>2.2606259999999998</v>
      </c>
      <c r="N35" s="321">
        <v>2.3847019999999999</v>
      </c>
      <c r="O35" s="321">
        <v>1.7977890000000001</v>
      </c>
      <c r="P35" s="321">
        <v>3.2236959999999999</v>
      </c>
      <c r="Q35" s="321">
        <v>2.4649990000000002</v>
      </c>
      <c r="R35" s="321">
        <v>2.6154999999999999</v>
      </c>
      <c r="S35" s="321">
        <v>2.828516</v>
      </c>
      <c r="T35" s="321">
        <v>3.414561</v>
      </c>
      <c r="U35" s="321">
        <v>2.8816280000000001</v>
      </c>
      <c r="V35" s="321">
        <v>2.9487239999999999</v>
      </c>
      <c r="W35" s="321">
        <v>2.25197</v>
      </c>
      <c r="X35" s="321">
        <v>1.5490950000000001</v>
      </c>
      <c r="Y35" s="321">
        <v>1.589288</v>
      </c>
      <c r="Z35" s="321">
        <v>2.3650760000000002</v>
      </c>
      <c r="AA35" s="321">
        <v>2.8380359999999998</v>
      </c>
      <c r="AB35" s="321">
        <v>3.647151</v>
      </c>
      <c r="AC35" s="321">
        <v>3.371127</v>
      </c>
      <c r="AD35" s="321">
        <v>3.1203150000000002</v>
      </c>
      <c r="AE35" s="52">
        <f>'User Add-in Location'!B41</f>
        <v>0</v>
      </c>
      <c r="AF35" s="52">
        <f>'User Add-in Location'!C41</f>
        <v>0</v>
      </c>
      <c r="AG35" s="321">
        <v>3.1042770000000002</v>
      </c>
      <c r="AH35" s="321">
        <v>1.8870480000000001</v>
      </c>
      <c r="AI35" s="321">
        <v>2.384347</v>
      </c>
      <c r="AJ35" s="321">
        <v>1.9093599999999999</v>
      </c>
      <c r="AK35" s="321">
        <v>3.0996100000000002</v>
      </c>
      <c r="AL35" s="321">
        <v>1.8251470000000001</v>
      </c>
      <c r="AM35" s="321">
        <v>2.3805299999999998</v>
      </c>
      <c r="AN35" s="321">
        <v>2.5286680000000001</v>
      </c>
      <c r="AO35" s="321">
        <v>2.1532840000000002</v>
      </c>
      <c r="AP35" s="321">
        <v>3.8238840000000001</v>
      </c>
      <c r="AQ35" s="321">
        <v>3.0430160000000002</v>
      </c>
      <c r="AR35" s="321">
        <v>2.863137</v>
      </c>
      <c r="AS35" s="324">
        <v>0</v>
      </c>
      <c r="AT35" s="324">
        <v>0</v>
      </c>
      <c r="AU35" s="324">
        <v>0</v>
      </c>
      <c r="AV35" s="324">
        <v>0</v>
      </c>
      <c r="AW35" s="324">
        <v>0</v>
      </c>
      <c r="AX35" s="324">
        <v>0</v>
      </c>
      <c r="AY35" s="324">
        <v>0</v>
      </c>
      <c r="AZ35" s="324">
        <v>0</v>
      </c>
      <c r="BA35" s="321">
        <v>1.4244140000000001</v>
      </c>
      <c r="BB35" s="321">
        <v>1.948394</v>
      </c>
      <c r="BC35" s="321">
        <v>3.3185359999999999</v>
      </c>
      <c r="BD35" s="321">
        <v>2.3762970000000001</v>
      </c>
      <c r="BE35" s="321">
        <v>3.2818999999999998</v>
      </c>
      <c r="BF35" s="321">
        <v>3.9936099999999999</v>
      </c>
      <c r="BG35" s="321">
        <v>3.2116509999999998</v>
      </c>
      <c r="BH35" s="321">
        <v>3.25705</v>
      </c>
      <c r="BI35" s="321">
        <v>2.1793279999999999</v>
      </c>
      <c r="BJ35" s="321">
        <v>1.4759169999999999</v>
      </c>
      <c r="BK35" s="321">
        <v>1.6377269999999999</v>
      </c>
      <c r="BL35" s="321">
        <v>2.0581489999999998</v>
      </c>
      <c r="BM35" s="321">
        <v>1.5306489999999999</v>
      </c>
    </row>
    <row r="36" spans="1:65">
      <c r="A36" s="315"/>
      <c r="B36" s="316"/>
      <c r="C36" s="408" t="s">
        <v>389</v>
      </c>
      <c r="D36" s="321">
        <v>2.1557369999999998</v>
      </c>
      <c r="E36" s="321">
        <v>1.800238</v>
      </c>
      <c r="F36" s="321">
        <v>1.787795</v>
      </c>
      <c r="G36" s="321">
        <v>2.3778980000000001</v>
      </c>
      <c r="H36" s="321">
        <v>2.133054</v>
      </c>
      <c r="I36" s="321">
        <v>2.3200699999999999</v>
      </c>
      <c r="J36" s="321">
        <v>1.998909</v>
      </c>
      <c r="K36" s="321">
        <v>2.1384569999999998</v>
      </c>
      <c r="L36" s="321">
        <v>0</v>
      </c>
      <c r="M36" s="321">
        <v>2.3821020000000002</v>
      </c>
      <c r="N36" s="321">
        <v>2.3003300000000002</v>
      </c>
      <c r="O36" s="321">
        <v>1.7748649999999999</v>
      </c>
      <c r="P36" s="321">
        <v>2.9846590000000002</v>
      </c>
      <c r="Q36" s="321">
        <v>2.5542220000000002</v>
      </c>
      <c r="R36" s="321">
        <v>2.5854149999999998</v>
      </c>
      <c r="S36" s="321">
        <v>2.8994119999999999</v>
      </c>
      <c r="T36" s="321">
        <v>2.946968</v>
      </c>
      <c r="U36" s="321">
        <v>2.4375339999999999</v>
      </c>
      <c r="V36" s="321">
        <v>2.8698570000000001</v>
      </c>
      <c r="W36" s="321">
        <v>2.0763500000000001</v>
      </c>
      <c r="X36" s="321">
        <v>1.935514</v>
      </c>
      <c r="Y36" s="321">
        <v>1.7503139999999999</v>
      </c>
      <c r="Z36" s="321">
        <v>2.3790390000000001</v>
      </c>
      <c r="AA36" s="321">
        <v>3.014224</v>
      </c>
      <c r="AB36" s="321">
        <v>3.2738610000000001</v>
      </c>
      <c r="AC36" s="321">
        <v>3.0218729999999998</v>
      </c>
      <c r="AD36" s="321">
        <v>2.7314069999999999</v>
      </c>
      <c r="AE36" s="52">
        <f>'User Add-in Location'!B42</f>
        <v>0</v>
      </c>
      <c r="AF36" s="52">
        <f>'User Add-in Location'!C42</f>
        <v>0</v>
      </c>
      <c r="AG36" s="321">
        <v>2.878806</v>
      </c>
      <c r="AH36" s="321">
        <v>1.7829900000000001</v>
      </c>
      <c r="AI36" s="321">
        <v>2.4555090000000002</v>
      </c>
      <c r="AJ36" s="321">
        <v>2.18405</v>
      </c>
      <c r="AK36" s="321">
        <v>2.5559310000000002</v>
      </c>
      <c r="AL36" s="321">
        <v>1.752866</v>
      </c>
      <c r="AM36" s="321">
        <v>2.5982400000000001</v>
      </c>
      <c r="AN36" s="321">
        <v>2.3445589999999998</v>
      </c>
      <c r="AO36" s="321">
        <v>2.19719</v>
      </c>
      <c r="AP36" s="321">
        <v>2.982024</v>
      </c>
      <c r="AQ36" s="321">
        <v>2.5660349999999998</v>
      </c>
      <c r="AR36" s="321">
        <v>2.757879</v>
      </c>
      <c r="AS36" s="324">
        <v>0</v>
      </c>
      <c r="AT36" s="324">
        <v>0</v>
      </c>
      <c r="AU36" s="324">
        <v>0</v>
      </c>
      <c r="AV36" s="324">
        <v>0</v>
      </c>
      <c r="AW36" s="324">
        <v>0</v>
      </c>
      <c r="AX36" s="324">
        <v>0</v>
      </c>
      <c r="AY36" s="324">
        <v>0</v>
      </c>
      <c r="AZ36" s="324">
        <v>0</v>
      </c>
      <c r="BA36" s="321">
        <v>1.9692270000000001</v>
      </c>
      <c r="BB36" s="321">
        <v>1.8221369999999999</v>
      </c>
      <c r="BC36" s="321">
        <v>2.9597349999999998</v>
      </c>
      <c r="BD36" s="321">
        <v>2.1165590000000001</v>
      </c>
      <c r="BE36" s="321">
        <v>2.924274</v>
      </c>
      <c r="BF36" s="321">
        <v>4.0001329999999999</v>
      </c>
      <c r="BG36" s="321">
        <v>2.853542</v>
      </c>
      <c r="BH36" s="321">
        <v>2.6144859999999999</v>
      </c>
      <c r="BI36" s="321">
        <v>1.8973500000000001</v>
      </c>
      <c r="BJ36" s="321">
        <v>1.517973</v>
      </c>
      <c r="BK36" s="321">
        <v>1.419589</v>
      </c>
      <c r="BL36" s="321">
        <v>1.964969</v>
      </c>
      <c r="BM36" s="321">
        <v>1.203287</v>
      </c>
    </row>
    <row r="37" spans="1:65">
      <c r="A37" s="315"/>
      <c r="B37" s="316"/>
      <c r="C37" s="408" t="s">
        <v>390</v>
      </c>
      <c r="D37" s="321">
        <v>2.4282409999999999</v>
      </c>
      <c r="E37" s="321">
        <v>1.63947</v>
      </c>
      <c r="F37" s="321">
        <v>2.0285419999999998</v>
      </c>
      <c r="G37" s="321">
        <v>2.7085430000000001</v>
      </c>
      <c r="H37" s="321">
        <v>2.1312090000000001</v>
      </c>
      <c r="I37" s="321">
        <v>2.907502</v>
      </c>
      <c r="J37" s="321">
        <v>2.1645590000000001</v>
      </c>
      <c r="K37" s="321">
        <v>1.7298009999999999</v>
      </c>
      <c r="L37" s="321">
        <v>0</v>
      </c>
      <c r="M37" s="321">
        <v>2.94076</v>
      </c>
      <c r="N37" s="321">
        <v>2.3113250000000001</v>
      </c>
      <c r="O37" s="321">
        <v>0</v>
      </c>
      <c r="P37" s="321">
        <v>3.2440829999999998</v>
      </c>
      <c r="Q37" s="321">
        <v>2.4974669999999999</v>
      </c>
      <c r="R37" s="321">
        <v>2.7647140000000001</v>
      </c>
      <c r="S37" s="321">
        <v>2.9777710000000002</v>
      </c>
      <c r="T37" s="321">
        <v>2.9397129999999998</v>
      </c>
      <c r="U37" s="321">
        <v>2.4718629999999999</v>
      </c>
      <c r="V37" s="321">
        <v>2.7492869999999998</v>
      </c>
      <c r="W37" s="321">
        <v>2.5905930000000001</v>
      </c>
      <c r="X37" s="321">
        <v>1.939551</v>
      </c>
      <c r="Y37" s="321">
        <v>2.0583819999999999</v>
      </c>
      <c r="Z37" s="321">
        <v>2.3320029999999998</v>
      </c>
      <c r="AA37" s="321">
        <v>2.8179050000000001</v>
      </c>
      <c r="AB37" s="321">
        <v>3.130903</v>
      </c>
      <c r="AC37" s="321">
        <v>3.2221609999999998</v>
      </c>
      <c r="AD37" s="321">
        <v>2.8498190000000001</v>
      </c>
      <c r="AE37" s="52">
        <f>'User Add-in Location'!B43</f>
        <v>0</v>
      </c>
      <c r="AF37" s="52">
        <f>'User Add-in Location'!C43</f>
        <v>0</v>
      </c>
      <c r="AG37" s="321">
        <v>2.9898880000000001</v>
      </c>
      <c r="AH37" s="321">
        <v>1.9475960000000001</v>
      </c>
      <c r="AI37" s="321">
        <v>2.2739440000000002</v>
      </c>
      <c r="AJ37" s="321">
        <v>2.173705</v>
      </c>
      <c r="AK37" s="321">
        <v>2.7221839999999999</v>
      </c>
      <c r="AL37" s="321">
        <v>1.8888370000000001</v>
      </c>
      <c r="AM37" s="321">
        <v>2.6003609999999999</v>
      </c>
      <c r="AN37" s="321">
        <v>2.527784</v>
      </c>
      <c r="AO37" s="321">
        <v>2.0887660000000001</v>
      </c>
      <c r="AP37" s="321">
        <v>2.844589</v>
      </c>
      <c r="AQ37" s="321">
        <v>2.6775660000000001</v>
      </c>
      <c r="AR37" s="321">
        <v>2.7544400000000002</v>
      </c>
      <c r="AS37" s="324">
        <v>0</v>
      </c>
      <c r="AT37" s="324">
        <v>0</v>
      </c>
      <c r="AU37" s="324">
        <v>0</v>
      </c>
      <c r="AV37" s="324">
        <v>0</v>
      </c>
      <c r="AW37" s="324">
        <v>0</v>
      </c>
      <c r="AX37" s="324">
        <v>0</v>
      </c>
      <c r="AY37" s="324">
        <v>0</v>
      </c>
      <c r="AZ37" s="324">
        <v>0</v>
      </c>
      <c r="BA37" s="321">
        <v>1.612743</v>
      </c>
      <c r="BB37" s="321">
        <v>1.8719159999999999</v>
      </c>
      <c r="BC37" s="321">
        <v>3.6026379999999998</v>
      </c>
      <c r="BD37" s="321">
        <v>2.311388</v>
      </c>
      <c r="BE37" s="321">
        <v>2.8732280000000001</v>
      </c>
      <c r="BF37" s="321">
        <v>3.7489300000000001</v>
      </c>
      <c r="BG37" s="321">
        <v>2.747662</v>
      </c>
      <c r="BH37" s="321">
        <v>2.4188749999999999</v>
      </c>
      <c r="BI37" s="321">
        <v>2.2841079999999998</v>
      </c>
      <c r="BJ37" s="321">
        <v>1.604349</v>
      </c>
      <c r="BK37" s="321">
        <v>1.56233</v>
      </c>
      <c r="BL37" s="321">
        <v>1.9424090000000001</v>
      </c>
      <c r="BM37" s="321">
        <v>1.360708</v>
      </c>
    </row>
    <row r="38" spans="1:65">
      <c r="A38" s="315"/>
      <c r="B38" s="316"/>
      <c r="C38" s="408" t="s">
        <v>391</v>
      </c>
      <c r="D38" s="321">
        <v>1.8576220000000001</v>
      </c>
      <c r="E38" s="321">
        <v>1.748483</v>
      </c>
      <c r="F38" s="321">
        <v>1.399759</v>
      </c>
      <c r="G38" s="321">
        <v>2.374552</v>
      </c>
      <c r="H38" s="321">
        <v>1.90317</v>
      </c>
      <c r="I38" s="321">
        <v>1.994893</v>
      </c>
      <c r="J38" s="321">
        <v>1.812521</v>
      </c>
      <c r="K38" s="321">
        <v>1.3698140000000001</v>
      </c>
      <c r="L38" s="321">
        <v>0.67483899999999997</v>
      </c>
      <c r="M38" s="321">
        <v>2.2450420000000002</v>
      </c>
      <c r="N38" s="321">
        <v>1.788419</v>
      </c>
      <c r="O38" s="321">
        <v>0</v>
      </c>
      <c r="P38" s="321">
        <v>2.6815899999999999</v>
      </c>
      <c r="Q38" s="321">
        <v>2.0804559999999999</v>
      </c>
      <c r="R38" s="321">
        <v>2.5640269999999998</v>
      </c>
      <c r="S38" s="321">
        <v>2.4980540000000002</v>
      </c>
      <c r="T38" s="321">
        <v>2.6412779999999998</v>
      </c>
      <c r="U38" s="321">
        <v>2.0962930000000002</v>
      </c>
      <c r="V38" s="321">
        <v>2.3843399999999999</v>
      </c>
      <c r="W38" s="321">
        <v>2.0231690000000002</v>
      </c>
      <c r="X38" s="321">
        <v>1.7713479999999999</v>
      </c>
      <c r="Y38" s="321">
        <v>1.571604</v>
      </c>
      <c r="Z38" s="321">
        <v>2.0355500000000002</v>
      </c>
      <c r="AA38" s="321">
        <v>2.4928889999999999</v>
      </c>
      <c r="AB38" s="321">
        <v>2.8672140000000002</v>
      </c>
      <c r="AC38" s="321">
        <v>2.3990710000000002</v>
      </c>
      <c r="AD38" s="321">
        <v>2.2144200000000001</v>
      </c>
      <c r="AE38" s="52">
        <f>'User Add-in Location'!B44</f>
        <v>0</v>
      </c>
      <c r="AF38" s="52">
        <f>'User Add-in Location'!C44</f>
        <v>0</v>
      </c>
      <c r="AG38" s="321">
        <v>2.1035689999999998</v>
      </c>
      <c r="AH38" s="321">
        <v>1.557663</v>
      </c>
      <c r="AI38" s="321">
        <v>1.703525</v>
      </c>
      <c r="AJ38" s="321">
        <v>1.784457</v>
      </c>
      <c r="AK38" s="321">
        <v>2.0479150000000002</v>
      </c>
      <c r="AL38" s="321">
        <v>1.7273799999999999</v>
      </c>
      <c r="AM38" s="321">
        <v>1.973365</v>
      </c>
      <c r="AN38" s="321">
        <v>2.0940820000000002</v>
      </c>
      <c r="AO38" s="321">
        <v>1.4869479999999999</v>
      </c>
      <c r="AP38" s="321">
        <v>2.5676139999999998</v>
      </c>
      <c r="AQ38" s="321">
        <v>2.2305389999999998</v>
      </c>
      <c r="AR38" s="321">
        <v>2.1974100000000001</v>
      </c>
      <c r="AS38" s="324">
        <v>0</v>
      </c>
      <c r="AT38" s="324">
        <v>0</v>
      </c>
      <c r="AU38" s="324">
        <v>0</v>
      </c>
      <c r="AV38" s="324">
        <v>0</v>
      </c>
      <c r="AW38" s="324">
        <v>0</v>
      </c>
      <c r="AX38" s="324">
        <v>0</v>
      </c>
      <c r="AY38" s="324">
        <v>0</v>
      </c>
      <c r="AZ38" s="324">
        <v>0</v>
      </c>
      <c r="BA38" s="321">
        <v>1.151465</v>
      </c>
      <c r="BB38" s="321">
        <v>1.3757760000000001</v>
      </c>
      <c r="BC38" s="321">
        <v>2.8017850000000002</v>
      </c>
      <c r="BD38" s="321">
        <v>1.740775</v>
      </c>
      <c r="BE38" s="321">
        <v>2.653451</v>
      </c>
      <c r="BF38" s="321">
        <v>3.2457539999999998</v>
      </c>
      <c r="BG38" s="321">
        <v>2.595491</v>
      </c>
      <c r="BH38" s="321">
        <v>2.2240410000000002</v>
      </c>
      <c r="BI38" s="321">
        <v>1.9299900000000001</v>
      </c>
      <c r="BJ38" s="321">
        <v>1.2483610000000001</v>
      </c>
      <c r="BK38" s="321">
        <v>1.1000449999999999</v>
      </c>
      <c r="BL38" s="321">
        <v>1.4252560000000001</v>
      </c>
      <c r="BM38" s="321">
        <v>0.99504400000000004</v>
      </c>
    </row>
    <row r="39" spans="1:65">
      <c r="A39" s="315"/>
      <c r="B39" s="316"/>
      <c r="C39" s="408" t="s">
        <v>392</v>
      </c>
      <c r="D39" s="321">
        <v>2.1855980000000002</v>
      </c>
      <c r="E39" s="321">
        <v>0</v>
      </c>
      <c r="F39" s="321">
        <v>1.3246</v>
      </c>
      <c r="G39" s="321">
        <v>2.5936119999999998</v>
      </c>
      <c r="H39" s="321">
        <v>2.0575600000000001</v>
      </c>
      <c r="I39" s="321">
        <v>1.8305309999999999</v>
      </c>
      <c r="J39" s="321">
        <v>2.0169299999999999</v>
      </c>
      <c r="K39" s="321">
        <v>1.806729</v>
      </c>
      <c r="L39" s="321">
        <v>0</v>
      </c>
      <c r="M39" s="321">
        <v>2.0216590000000001</v>
      </c>
      <c r="N39" s="321">
        <v>1.98689</v>
      </c>
      <c r="O39" s="321">
        <v>0</v>
      </c>
      <c r="P39" s="321">
        <v>0</v>
      </c>
      <c r="Q39" s="321">
        <v>2.2588940000000002</v>
      </c>
      <c r="R39" s="321">
        <v>2.605181</v>
      </c>
      <c r="S39" s="321">
        <v>2.712215</v>
      </c>
      <c r="T39" s="321">
        <v>2.7598500000000001</v>
      </c>
      <c r="U39" s="321">
        <v>2.3927109999999998</v>
      </c>
      <c r="V39" s="321">
        <v>2.462618</v>
      </c>
      <c r="W39" s="321">
        <v>0</v>
      </c>
      <c r="X39" s="321">
        <v>1.6356679999999999</v>
      </c>
      <c r="Y39" s="321">
        <v>1.8265560000000001</v>
      </c>
      <c r="Z39" s="321">
        <v>1.9824059999999999</v>
      </c>
      <c r="AA39" s="321">
        <v>3.2146189999999999</v>
      </c>
      <c r="AB39" s="321">
        <v>3.177203</v>
      </c>
      <c r="AC39" s="321">
        <v>2.741206</v>
      </c>
      <c r="AD39" s="321">
        <v>0</v>
      </c>
      <c r="AE39" s="52">
        <f>'User Add-in Location'!B45</f>
        <v>0</v>
      </c>
      <c r="AF39" s="52">
        <f>'User Add-in Location'!C45</f>
        <v>0</v>
      </c>
      <c r="AG39" s="321">
        <v>0</v>
      </c>
      <c r="AH39" s="321">
        <v>1.7009399999999999</v>
      </c>
      <c r="AI39" s="321">
        <v>0</v>
      </c>
      <c r="AJ39" s="321">
        <v>1.9214290000000001</v>
      </c>
      <c r="AK39" s="321">
        <v>0</v>
      </c>
      <c r="AL39" s="321">
        <v>1.7463690000000001</v>
      </c>
      <c r="AM39" s="321">
        <v>2.1507540000000001</v>
      </c>
      <c r="AN39" s="321">
        <v>0</v>
      </c>
      <c r="AO39" s="321">
        <v>1.808756</v>
      </c>
      <c r="AP39" s="321">
        <v>3.071307</v>
      </c>
      <c r="AQ39" s="321">
        <v>2.2383790000000001</v>
      </c>
      <c r="AR39" s="321">
        <v>2.5490849999999998</v>
      </c>
      <c r="AS39" s="324">
        <v>0</v>
      </c>
      <c r="AT39" s="324">
        <v>0</v>
      </c>
      <c r="AU39" s="324">
        <v>0</v>
      </c>
      <c r="AV39" s="324">
        <v>0</v>
      </c>
      <c r="AW39" s="324">
        <v>0</v>
      </c>
      <c r="AX39" s="324">
        <v>0</v>
      </c>
      <c r="AY39" s="324">
        <v>0</v>
      </c>
      <c r="AZ39" s="324">
        <v>0</v>
      </c>
      <c r="BA39" s="321">
        <v>1.3433569999999999</v>
      </c>
      <c r="BB39" s="321">
        <v>1.429821</v>
      </c>
      <c r="BC39" s="321">
        <v>0</v>
      </c>
      <c r="BD39" s="321">
        <v>1.608562</v>
      </c>
      <c r="BE39" s="321">
        <v>2.8946360000000002</v>
      </c>
      <c r="BF39" s="321">
        <v>3.412245</v>
      </c>
      <c r="BG39" s="321">
        <v>2.746718</v>
      </c>
      <c r="BH39" s="321">
        <v>0</v>
      </c>
      <c r="BI39" s="321">
        <v>2.0664210000000001</v>
      </c>
      <c r="BJ39" s="321">
        <v>1.4535499999999999</v>
      </c>
      <c r="BK39" s="321">
        <v>1.049331</v>
      </c>
      <c r="BL39" s="321">
        <v>1.463069</v>
      </c>
      <c r="BM39" s="321">
        <v>0</v>
      </c>
    </row>
    <row r="40" spans="1:65">
      <c r="A40" s="315"/>
      <c r="B40" s="316"/>
      <c r="C40" s="408" t="s">
        <v>393</v>
      </c>
      <c r="D40" s="321">
        <v>1.957176</v>
      </c>
      <c r="E40" s="321">
        <v>0</v>
      </c>
      <c r="F40" s="321">
        <v>1.0601529999999999</v>
      </c>
      <c r="G40" s="321">
        <v>2.4438049999999998</v>
      </c>
      <c r="H40" s="321">
        <v>2.141591</v>
      </c>
      <c r="I40" s="321">
        <v>1.8266929999999999</v>
      </c>
      <c r="J40" s="321">
        <v>1.9995609999999999</v>
      </c>
      <c r="K40" s="321">
        <v>0</v>
      </c>
      <c r="L40" s="321">
        <v>0.57394000000000001</v>
      </c>
      <c r="M40" s="321">
        <v>1.9507890000000001</v>
      </c>
      <c r="N40" s="321">
        <v>2.0830649999999999</v>
      </c>
      <c r="O40" s="321">
        <v>0</v>
      </c>
      <c r="P40" s="321">
        <v>2.583351</v>
      </c>
      <c r="Q40" s="321">
        <v>2.2720210000000001</v>
      </c>
      <c r="R40" s="321">
        <v>2.6016509999999999</v>
      </c>
      <c r="S40" s="321">
        <v>0</v>
      </c>
      <c r="T40" s="321">
        <v>3.0217109999999998</v>
      </c>
      <c r="U40" s="321">
        <v>2.2034660000000001</v>
      </c>
      <c r="V40" s="321">
        <v>2.3551510000000002</v>
      </c>
      <c r="W40" s="321">
        <v>1.871021</v>
      </c>
      <c r="X40" s="321">
        <v>1.419667</v>
      </c>
      <c r="Y40" s="321">
        <v>1.754572</v>
      </c>
      <c r="Z40" s="321">
        <v>2.0956169999999998</v>
      </c>
      <c r="AA40" s="321">
        <v>2.848328</v>
      </c>
      <c r="AB40" s="321">
        <v>2.9780509999999998</v>
      </c>
      <c r="AC40" s="321">
        <v>0</v>
      </c>
      <c r="AD40" s="321">
        <v>2.2195399999999998</v>
      </c>
      <c r="AE40" s="52">
        <f>'User Add-in Location'!B46</f>
        <v>0</v>
      </c>
      <c r="AF40" s="52">
        <f>'User Add-in Location'!C46</f>
        <v>0</v>
      </c>
      <c r="AG40" s="321">
        <v>2.2831950000000001</v>
      </c>
      <c r="AH40" s="321">
        <v>1.5208299999999999</v>
      </c>
      <c r="AI40" s="321">
        <v>2.1819700000000002</v>
      </c>
      <c r="AJ40" s="321">
        <v>1.859823</v>
      </c>
      <c r="AK40" s="321">
        <v>1.7077629999999999</v>
      </c>
      <c r="AL40" s="321">
        <v>1.6927049999999999</v>
      </c>
      <c r="AM40" s="321">
        <v>2.2392159999999999</v>
      </c>
      <c r="AN40" s="321">
        <v>2.236389</v>
      </c>
      <c r="AO40" s="321">
        <v>1.6839839999999999</v>
      </c>
      <c r="AP40" s="321">
        <v>0</v>
      </c>
      <c r="AQ40" s="321">
        <v>0</v>
      </c>
      <c r="AR40" s="321">
        <v>2.7030650000000001</v>
      </c>
      <c r="AS40" s="324">
        <v>0</v>
      </c>
      <c r="AT40" s="324">
        <v>0</v>
      </c>
      <c r="AU40" s="324">
        <v>0</v>
      </c>
      <c r="AV40" s="324">
        <v>0</v>
      </c>
      <c r="AW40" s="324">
        <v>0</v>
      </c>
      <c r="AX40" s="324">
        <v>0</v>
      </c>
      <c r="AY40" s="324">
        <v>0</v>
      </c>
      <c r="AZ40" s="324">
        <v>0</v>
      </c>
      <c r="BA40" s="321">
        <v>1.2721150000000001</v>
      </c>
      <c r="BB40" s="321">
        <v>1.4006449999999999</v>
      </c>
      <c r="BC40" s="321">
        <v>0</v>
      </c>
      <c r="BD40" s="321">
        <v>1.838805</v>
      </c>
      <c r="BE40" s="321">
        <v>2.7883659999999999</v>
      </c>
      <c r="BF40" s="321">
        <v>3.4236149999999999</v>
      </c>
      <c r="BG40" s="321">
        <v>2.8561930000000002</v>
      </c>
      <c r="BH40" s="321">
        <v>2.1743600000000001</v>
      </c>
      <c r="BI40" s="321">
        <v>1.970812</v>
      </c>
      <c r="BJ40" s="321">
        <v>1.0744320000000001</v>
      </c>
      <c r="BK40" s="321">
        <v>0.73558299999999999</v>
      </c>
      <c r="BL40" s="321">
        <v>1.3249439999999999</v>
      </c>
      <c r="BM40" s="321">
        <v>0.73477899999999996</v>
      </c>
    </row>
    <row r="41" spans="1:65">
      <c r="A41" s="315"/>
      <c r="B41" s="316"/>
      <c r="C41" s="408" t="s">
        <v>394</v>
      </c>
      <c r="D41" s="321">
        <v>2.3209249999999999</v>
      </c>
      <c r="E41" s="321">
        <v>1.6881429999999999</v>
      </c>
      <c r="F41" s="321">
        <v>2.6386050000000001</v>
      </c>
      <c r="G41" s="321">
        <v>2.4508049999999999</v>
      </c>
      <c r="H41" s="321">
        <v>1.8226929999999999</v>
      </c>
      <c r="I41" s="321">
        <v>2.5418750000000001</v>
      </c>
      <c r="J41" s="321">
        <v>1.8499680000000001</v>
      </c>
      <c r="K41" s="321">
        <v>1.9728349999999999</v>
      </c>
      <c r="L41" s="321">
        <v>1.055301</v>
      </c>
      <c r="M41" s="321">
        <v>2.8891100000000001</v>
      </c>
      <c r="N41" s="321">
        <v>2.153759</v>
      </c>
      <c r="O41" s="321">
        <v>2.5466039999999999</v>
      </c>
      <c r="P41" s="321">
        <v>3.045525</v>
      </c>
      <c r="Q41" s="321">
        <v>2.2160099999999998</v>
      </c>
      <c r="R41" s="321">
        <v>2.7214670000000001</v>
      </c>
      <c r="S41" s="321">
        <v>2.7320000000000002</v>
      </c>
      <c r="T41" s="321">
        <v>2.456251</v>
      </c>
      <c r="U41" s="321">
        <v>2.4372440000000002</v>
      </c>
      <c r="V41" s="321">
        <v>2.6583320000000001</v>
      </c>
      <c r="W41" s="321">
        <v>2.6735479999999998</v>
      </c>
      <c r="X41" s="321">
        <v>2.1669290000000001</v>
      </c>
      <c r="Y41" s="321">
        <v>1.958548</v>
      </c>
      <c r="Z41" s="321">
        <v>2.6436639999999998</v>
      </c>
      <c r="AA41" s="321">
        <v>2.6255120000000001</v>
      </c>
      <c r="AB41" s="321">
        <v>2.850447</v>
      </c>
      <c r="AC41" s="321">
        <v>2.9741659999999999</v>
      </c>
      <c r="AD41" s="321">
        <v>3.0790540000000002</v>
      </c>
      <c r="AE41" s="52">
        <f>'User Add-in Location'!B47</f>
        <v>0</v>
      </c>
      <c r="AF41" s="52">
        <f>'User Add-in Location'!C47</f>
        <v>0</v>
      </c>
      <c r="AG41" s="321">
        <v>2.5871149999999998</v>
      </c>
      <c r="AH41" s="321">
        <v>2.412099</v>
      </c>
      <c r="AI41" s="321">
        <v>1.9781820000000001</v>
      </c>
      <c r="AJ41" s="321">
        <v>2.1031469999999999</v>
      </c>
      <c r="AK41" s="321">
        <v>3.0950350000000002</v>
      </c>
      <c r="AL41" s="321">
        <v>1.8268720000000001</v>
      </c>
      <c r="AM41" s="321">
        <v>2.2689370000000002</v>
      </c>
      <c r="AN41" s="321">
        <v>2.384747</v>
      </c>
      <c r="AO41" s="321">
        <v>2.5336289999999999</v>
      </c>
      <c r="AP41" s="321">
        <v>2.9396610000000001</v>
      </c>
      <c r="AQ41" s="321">
        <v>2.7350210000000001</v>
      </c>
      <c r="AR41" s="321">
        <v>2.3419979999999998</v>
      </c>
      <c r="AS41" s="324">
        <v>0</v>
      </c>
      <c r="AT41" s="324">
        <v>0</v>
      </c>
      <c r="AU41" s="324">
        <v>0</v>
      </c>
      <c r="AV41" s="324">
        <v>0</v>
      </c>
      <c r="AW41" s="324">
        <v>0</v>
      </c>
      <c r="AX41" s="324">
        <v>0</v>
      </c>
      <c r="AY41" s="324">
        <v>0</v>
      </c>
      <c r="AZ41" s="324">
        <v>0</v>
      </c>
      <c r="BA41" s="321">
        <v>1.878606</v>
      </c>
      <c r="BB41" s="321">
        <v>1.95635</v>
      </c>
      <c r="BC41" s="321">
        <v>2.898587</v>
      </c>
      <c r="BD41" s="321">
        <v>2.5817510000000001</v>
      </c>
      <c r="BE41" s="321">
        <v>2.5237159999999998</v>
      </c>
      <c r="BF41" s="321">
        <v>3.3131219999999999</v>
      </c>
      <c r="BG41" s="321">
        <v>2.8049300000000001</v>
      </c>
      <c r="BH41" s="321">
        <v>2.9915349999999998</v>
      </c>
      <c r="BI41" s="321">
        <v>2.050154</v>
      </c>
      <c r="BJ41" s="321">
        <v>1.6882429999999999</v>
      </c>
      <c r="BK41" s="321">
        <v>2.063374</v>
      </c>
      <c r="BL41" s="321">
        <v>2.893043</v>
      </c>
      <c r="BM41" s="321">
        <v>1.9806330000000001</v>
      </c>
    </row>
    <row r="42" spans="1:65">
      <c r="A42" s="315"/>
      <c r="B42" s="316"/>
      <c r="C42" s="408" t="s">
        <v>395</v>
      </c>
      <c r="D42" s="321">
        <v>2.4188779999999999</v>
      </c>
      <c r="E42" s="321">
        <v>1.835672</v>
      </c>
      <c r="F42" s="321">
        <v>2.2430680000000001</v>
      </c>
      <c r="G42" s="321">
        <v>2.6388199999999999</v>
      </c>
      <c r="H42" s="321">
        <v>1.5496000000000001</v>
      </c>
      <c r="I42" s="321">
        <v>2.264354</v>
      </c>
      <c r="J42" s="321">
        <v>1.729066</v>
      </c>
      <c r="K42" s="321">
        <v>2.0393620000000001</v>
      </c>
      <c r="L42" s="321">
        <v>1.0797920000000001</v>
      </c>
      <c r="M42" s="321">
        <v>2.6715650000000002</v>
      </c>
      <c r="N42" s="321">
        <v>2.3274409999999999</v>
      </c>
      <c r="O42" s="321">
        <v>1.87219</v>
      </c>
      <c r="P42" s="321">
        <v>2.8461530000000002</v>
      </c>
      <c r="Q42" s="321">
        <v>2.1543369999999999</v>
      </c>
      <c r="R42" s="321">
        <v>2.5802740000000002</v>
      </c>
      <c r="S42" s="321">
        <v>2.8037230000000002</v>
      </c>
      <c r="T42" s="321">
        <v>2.354994</v>
      </c>
      <c r="U42" s="321">
        <v>2.5892569999999999</v>
      </c>
      <c r="V42" s="321">
        <v>2.5239820000000002</v>
      </c>
      <c r="W42" s="321">
        <v>2.4998520000000002</v>
      </c>
      <c r="X42" s="321">
        <v>2.1168939999999998</v>
      </c>
      <c r="Y42" s="321">
        <v>1.926658</v>
      </c>
      <c r="Z42" s="321">
        <v>2.5373869999999998</v>
      </c>
      <c r="AA42" s="321">
        <v>2.6090650000000002</v>
      </c>
      <c r="AB42" s="321">
        <v>2.6494010000000001</v>
      </c>
      <c r="AC42" s="321">
        <v>2.921297</v>
      </c>
      <c r="AD42" s="321">
        <v>3.137181</v>
      </c>
      <c r="AE42" s="52">
        <f>'User Add-in Location'!B48</f>
        <v>0</v>
      </c>
      <c r="AF42" s="52">
        <f>'User Add-in Location'!C48</f>
        <v>0</v>
      </c>
      <c r="AG42" s="321">
        <v>2.7340879999999999</v>
      </c>
      <c r="AH42" s="321">
        <v>2.0670410000000001</v>
      </c>
      <c r="AI42" s="321">
        <v>2.24478</v>
      </c>
      <c r="AJ42" s="321">
        <v>1.8854759999999999</v>
      </c>
      <c r="AK42" s="321">
        <v>2.6423990000000002</v>
      </c>
      <c r="AL42" s="321">
        <v>1.5535399999999999</v>
      </c>
      <c r="AM42" s="321">
        <v>2.331528</v>
      </c>
      <c r="AN42" s="321">
        <v>2.5617580000000002</v>
      </c>
      <c r="AO42" s="321">
        <v>2.3756590000000002</v>
      </c>
      <c r="AP42" s="321">
        <v>2.960502</v>
      </c>
      <c r="AQ42" s="321">
        <v>2.6767300000000001</v>
      </c>
      <c r="AR42" s="321">
        <v>2.5072350000000001</v>
      </c>
      <c r="AS42" s="324">
        <v>0</v>
      </c>
      <c r="AT42" s="324">
        <v>0</v>
      </c>
      <c r="AU42" s="324">
        <v>0</v>
      </c>
      <c r="AV42" s="324">
        <v>0</v>
      </c>
      <c r="AW42" s="324">
        <v>0</v>
      </c>
      <c r="AX42" s="324">
        <v>0</v>
      </c>
      <c r="AY42" s="324">
        <v>0</v>
      </c>
      <c r="AZ42" s="324">
        <v>0</v>
      </c>
      <c r="BA42" s="321">
        <v>1.8995010000000001</v>
      </c>
      <c r="BB42" s="321">
        <v>2.1658559999999998</v>
      </c>
      <c r="BC42" s="321">
        <v>2.7623530000000001</v>
      </c>
      <c r="BD42" s="321">
        <v>2.3480300000000001</v>
      </c>
      <c r="BE42" s="321">
        <v>2.5459559999999999</v>
      </c>
      <c r="BF42" s="321">
        <v>3.1606580000000002</v>
      </c>
      <c r="BG42" s="321">
        <v>2.4994130000000001</v>
      </c>
      <c r="BH42" s="321">
        <v>2.6724299999999999</v>
      </c>
      <c r="BI42" s="321">
        <v>2.2391019999999999</v>
      </c>
      <c r="BJ42" s="321">
        <v>1.2821769999999999</v>
      </c>
      <c r="BK42" s="321">
        <v>2.134169</v>
      </c>
      <c r="BL42" s="321">
        <v>2.766238</v>
      </c>
      <c r="BM42" s="321">
        <v>1.978003</v>
      </c>
    </row>
    <row r="43" spans="1:65">
      <c r="A43" s="315"/>
      <c r="B43" s="316"/>
      <c r="C43" s="408" t="s">
        <v>396</v>
      </c>
      <c r="D43" s="321">
        <v>2.5475249999999998</v>
      </c>
      <c r="E43" s="321">
        <v>1.1838740000000001</v>
      </c>
      <c r="F43" s="321">
        <v>2.0514600000000001</v>
      </c>
      <c r="G43" s="321">
        <v>3.0786630000000001</v>
      </c>
      <c r="H43" s="321">
        <v>1.6606270000000001</v>
      </c>
      <c r="I43" s="321">
        <v>2.0530339999999998</v>
      </c>
      <c r="J43" s="321">
        <v>1.565445</v>
      </c>
      <c r="K43" s="321">
        <v>2.4028350000000001</v>
      </c>
      <c r="L43" s="321">
        <v>1.22227</v>
      </c>
      <c r="M43" s="321">
        <v>2.4801890000000002</v>
      </c>
      <c r="N43" s="321">
        <v>2.2684030000000002</v>
      </c>
      <c r="O43" s="321">
        <v>1.6504479999999999</v>
      </c>
      <c r="P43" s="321">
        <v>2.9151859999999998</v>
      </c>
      <c r="Q43" s="321">
        <v>2.3152050000000002</v>
      </c>
      <c r="R43" s="321">
        <v>2.7651490000000001</v>
      </c>
      <c r="S43" s="321">
        <v>2.5607799999999998</v>
      </c>
      <c r="T43" s="321">
        <v>2.4921660000000001</v>
      </c>
      <c r="U43" s="321">
        <v>2.676933</v>
      </c>
      <c r="V43" s="321">
        <v>3.101477</v>
      </c>
      <c r="W43" s="321">
        <v>2.6110380000000002</v>
      </c>
      <c r="X43" s="321">
        <v>1.962377</v>
      </c>
      <c r="Y43" s="321">
        <v>1.809761</v>
      </c>
      <c r="Z43" s="321">
        <v>2.512276</v>
      </c>
      <c r="AA43" s="321">
        <v>2.565369</v>
      </c>
      <c r="AB43" s="321">
        <v>3.2433179999999999</v>
      </c>
      <c r="AC43" s="321">
        <v>2.9202880000000002</v>
      </c>
      <c r="AD43" s="321">
        <v>2.957805</v>
      </c>
      <c r="AE43" s="52">
        <f>'User Add-in Location'!B49</f>
        <v>0</v>
      </c>
      <c r="AF43" s="52">
        <f>'User Add-in Location'!C49</f>
        <v>0</v>
      </c>
      <c r="AG43" s="321">
        <v>1.5800270000000001</v>
      </c>
      <c r="AH43" s="321">
        <v>1.9490909999999999</v>
      </c>
      <c r="AI43" s="321">
        <v>2.0469300000000001</v>
      </c>
      <c r="AJ43" s="321">
        <v>1.817345</v>
      </c>
      <c r="AK43" s="321">
        <v>2.6937600000000002</v>
      </c>
      <c r="AL43" s="321">
        <v>1.7766679999999999</v>
      </c>
      <c r="AM43" s="321">
        <v>2.3887930000000002</v>
      </c>
      <c r="AN43" s="321">
        <v>2.4390170000000002</v>
      </c>
      <c r="AO43" s="321">
        <v>2.3419099999999999</v>
      </c>
      <c r="AP43" s="321">
        <v>2.0837279999999998</v>
      </c>
      <c r="AQ43" s="321">
        <v>2.3927160000000001</v>
      </c>
      <c r="AR43" s="321">
        <v>2.2036009999999999</v>
      </c>
      <c r="AS43" s="324">
        <v>0</v>
      </c>
      <c r="AT43" s="324">
        <v>0</v>
      </c>
      <c r="AU43" s="324">
        <v>0</v>
      </c>
      <c r="AV43" s="324">
        <v>0</v>
      </c>
      <c r="AW43" s="324">
        <v>0</v>
      </c>
      <c r="AX43" s="324">
        <v>0</v>
      </c>
      <c r="AY43" s="324">
        <v>0</v>
      </c>
      <c r="AZ43" s="324">
        <v>0</v>
      </c>
      <c r="BA43" s="321">
        <v>1.813409</v>
      </c>
      <c r="BB43" s="321">
        <v>2.1328320000000001</v>
      </c>
      <c r="BC43" s="321">
        <v>3.0900599999999998</v>
      </c>
      <c r="BD43" s="321">
        <v>2.5788199999999999</v>
      </c>
      <c r="BE43" s="321">
        <v>2.5780720000000001</v>
      </c>
      <c r="BF43" s="321">
        <v>3.4536250000000002</v>
      </c>
      <c r="BG43" s="321">
        <v>2.4011670000000001</v>
      </c>
      <c r="BH43" s="321">
        <v>3.053048</v>
      </c>
      <c r="BI43" s="321">
        <v>2.0494979999999998</v>
      </c>
      <c r="BJ43" s="321">
        <v>1.691524</v>
      </c>
      <c r="BK43" s="321">
        <v>2.2957990000000001</v>
      </c>
      <c r="BL43" s="321">
        <v>2.4522900000000001</v>
      </c>
      <c r="BM43" s="321">
        <v>1.3445640000000001</v>
      </c>
    </row>
    <row r="44" spans="1:65">
      <c r="A44" s="315"/>
      <c r="B44" s="316"/>
      <c r="C44" s="408" t="s">
        <v>397</v>
      </c>
      <c r="D44" s="321">
        <v>2.1800220000000001</v>
      </c>
      <c r="E44" s="321">
        <v>1.2954000000000001</v>
      </c>
      <c r="F44" s="321">
        <v>2.2254800000000001</v>
      </c>
      <c r="G44" s="321">
        <v>2.2835070000000002</v>
      </c>
      <c r="H44" s="321">
        <v>1.3780699999999999</v>
      </c>
      <c r="I44" s="321">
        <v>2.2631359999999998</v>
      </c>
      <c r="J44" s="321">
        <v>1.2368049999999999</v>
      </c>
      <c r="K44" s="321">
        <v>1.071496</v>
      </c>
      <c r="L44" s="321">
        <v>1.077493</v>
      </c>
      <c r="M44" s="321">
        <v>2.7078549999999999</v>
      </c>
      <c r="N44" s="321">
        <v>2.0611969999999999</v>
      </c>
      <c r="O44" s="321">
        <v>1.4593160000000001</v>
      </c>
      <c r="P44" s="321">
        <v>2.6706099999999999</v>
      </c>
      <c r="Q44" s="321">
        <v>1.7277670000000001</v>
      </c>
      <c r="R44" s="321">
        <v>1.8714759999999999</v>
      </c>
      <c r="S44" s="321">
        <v>1.776456</v>
      </c>
      <c r="T44" s="321">
        <v>2.3304990000000001</v>
      </c>
      <c r="U44" s="321">
        <v>2.1640489999999999</v>
      </c>
      <c r="V44" s="321">
        <v>2.3507479999999998</v>
      </c>
      <c r="W44" s="321">
        <v>1.927065</v>
      </c>
      <c r="X44" s="321">
        <v>1.5343199999999999</v>
      </c>
      <c r="Y44" s="321">
        <v>1.4171450000000001</v>
      </c>
      <c r="Z44" s="321">
        <v>2.126887</v>
      </c>
      <c r="AA44" s="321">
        <v>2.0553119999999998</v>
      </c>
      <c r="AB44" s="321">
        <v>2.2982830000000001</v>
      </c>
      <c r="AC44" s="321">
        <v>2.5074079999999999</v>
      </c>
      <c r="AD44" s="321">
        <v>2.666277</v>
      </c>
      <c r="AE44" s="52">
        <f>'User Add-in Location'!B50</f>
        <v>0</v>
      </c>
      <c r="AF44" s="52">
        <f>'User Add-in Location'!C50</f>
        <v>0</v>
      </c>
      <c r="AG44" s="321">
        <v>2.0643790000000002</v>
      </c>
      <c r="AH44" s="321">
        <v>2.0090970000000001</v>
      </c>
      <c r="AI44" s="321">
        <v>1.6172470000000001</v>
      </c>
      <c r="AJ44" s="321">
        <v>1.7112689999999999</v>
      </c>
      <c r="AK44" s="321">
        <v>1.976218</v>
      </c>
      <c r="AL44" s="321">
        <v>1.2324349999999999</v>
      </c>
      <c r="AM44" s="321">
        <v>1.9473849999999999</v>
      </c>
      <c r="AN44" s="321">
        <v>2.268027</v>
      </c>
      <c r="AO44" s="321">
        <v>1.9395039999999999</v>
      </c>
      <c r="AP44" s="321">
        <v>2.6081859999999999</v>
      </c>
      <c r="AQ44" s="321">
        <v>1.9071629999999999</v>
      </c>
      <c r="AR44" s="321">
        <v>2.0521760000000002</v>
      </c>
      <c r="AS44" s="324">
        <v>0</v>
      </c>
      <c r="AT44" s="324">
        <v>0</v>
      </c>
      <c r="AU44" s="324">
        <v>0</v>
      </c>
      <c r="AV44" s="324">
        <v>0</v>
      </c>
      <c r="AW44" s="324">
        <v>0</v>
      </c>
      <c r="AX44" s="324">
        <v>0</v>
      </c>
      <c r="AY44" s="324">
        <v>0</v>
      </c>
      <c r="AZ44" s="324">
        <v>0</v>
      </c>
      <c r="BA44" s="321">
        <v>1.6901809999999999</v>
      </c>
      <c r="BB44" s="321">
        <v>2.0385819999999999</v>
      </c>
      <c r="BC44" s="321">
        <v>2.21502</v>
      </c>
      <c r="BD44" s="321">
        <v>2.1430509999999998</v>
      </c>
      <c r="BE44" s="321">
        <v>2.4243380000000001</v>
      </c>
      <c r="BF44" s="321">
        <v>2.782597</v>
      </c>
      <c r="BG44" s="321">
        <v>2.4302429999999999</v>
      </c>
      <c r="BH44" s="321">
        <v>1.9319660000000001</v>
      </c>
      <c r="BI44" s="321">
        <v>1.7578609999999999</v>
      </c>
      <c r="BJ44" s="321">
        <v>1.4779659999999999</v>
      </c>
      <c r="BK44" s="321">
        <v>1.6745639999999999</v>
      </c>
      <c r="BL44" s="321">
        <v>2.1530640000000001</v>
      </c>
      <c r="BM44" s="321">
        <v>2.1978770000000001</v>
      </c>
    </row>
    <row r="45" spans="1:65">
      <c r="A45" s="315"/>
      <c r="B45" s="316"/>
      <c r="C45" s="408" t="s">
        <v>398</v>
      </c>
      <c r="D45" s="321">
        <v>2.8523559999999999</v>
      </c>
      <c r="E45" s="321">
        <v>2.1595230000000001</v>
      </c>
      <c r="F45" s="321">
        <v>3.1248369999999999</v>
      </c>
      <c r="G45" s="321">
        <v>3.2280579999999999</v>
      </c>
      <c r="H45" s="321">
        <v>1.9293149999999999</v>
      </c>
      <c r="I45" s="321">
        <v>3.2136659999999999</v>
      </c>
      <c r="J45" s="321">
        <v>1.8485370000000001</v>
      </c>
      <c r="K45" s="321">
        <v>0.97302900000000003</v>
      </c>
      <c r="L45" s="321">
        <v>1.3229500000000001</v>
      </c>
      <c r="M45" s="321">
        <v>4.2362190000000002</v>
      </c>
      <c r="N45" s="321">
        <v>1.8940779999999999</v>
      </c>
      <c r="O45" s="321">
        <v>2.8915329999999999</v>
      </c>
      <c r="P45" s="321">
        <v>3.9905729999999999</v>
      </c>
      <c r="Q45" s="321">
        <v>2.4926569999999999</v>
      </c>
      <c r="R45" s="321">
        <v>3.4504839999999999</v>
      </c>
      <c r="S45" s="321">
        <v>3.041398</v>
      </c>
      <c r="T45" s="321">
        <v>3.6891099999999999</v>
      </c>
      <c r="U45" s="321">
        <v>3.1690049999999998</v>
      </c>
      <c r="V45" s="321">
        <v>3.5727660000000001</v>
      </c>
      <c r="W45" s="321">
        <v>3.0321889999999998</v>
      </c>
      <c r="X45" s="321">
        <v>2.7768039999999998</v>
      </c>
      <c r="Y45" s="321">
        <v>1.779679</v>
      </c>
      <c r="Z45" s="321">
        <v>3.580441</v>
      </c>
      <c r="AA45" s="321">
        <v>2.842301</v>
      </c>
      <c r="AB45" s="321">
        <v>3.4745110000000001</v>
      </c>
      <c r="AC45" s="321">
        <v>3.0145629999999999</v>
      </c>
      <c r="AD45" s="321">
        <v>3.4195129999999998</v>
      </c>
      <c r="AE45" s="52">
        <f>'User Add-in Location'!B51</f>
        <v>0</v>
      </c>
      <c r="AF45" s="52">
        <f>'User Add-in Location'!C51</f>
        <v>0</v>
      </c>
      <c r="AG45" s="321">
        <v>3.4239139999999999</v>
      </c>
      <c r="AH45" s="321">
        <v>2.8557860000000002</v>
      </c>
      <c r="AI45" s="321">
        <v>2.3237040000000002</v>
      </c>
      <c r="AJ45" s="321">
        <v>2.609839</v>
      </c>
      <c r="AK45" s="321">
        <v>3.5696509999999999</v>
      </c>
      <c r="AL45" s="321">
        <v>0.85977499999999996</v>
      </c>
      <c r="AM45" s="321">
        <v>1.7550600000000001</v>
      </c>
      <c r="AN45" s="321">
        <v>3.217876</v>
      </c>
      <c r="AO45" s="321">
        <v>2.1946759999999998</v>
      </c>
      <c r="AP45" s="321">
        <v>4.2631819999999996</v>
      </c>
      <c r="AQ45" s="321">
        <v>3.2510520000000001</v>
      </c>
      <c r="AR45" s="321">
        <v>3.3034949999999998</v>
      </c>
      <c r="AS45" s="324">
        <v>0</v>
      </c>
      <c r="AT45" s="324">
        <v>0</v>
      </c>
      <c r="AU45" s="324">
        <v>0</v>
      </c>
      <c r="AV45" s="324">
        <v>0</v>
      </c>
      <c r="AW45" s="324">
        <v>0</v>
      </c>
      <c r="AX45" s="324">
        <v>0</v>
      </c>
      <c r="AY45" s="324">
        <v>0</v>
      </c>
      <c r="AZ45" s="324">
        <v>0</v>
      </c>
      <c r="BA45" s="321">
        <v>2.4346749999999999</v>
      </c>
      <c r="BB45" s="321">
        <v>2.8986710000000002</v>
      </c>
      <c r="BC45" s="321">
        <v>1.4714339999999999</v>
      </c>
      <c r="BD45" s="321">
        <v>3.1303450000000002</v>
      </c>
      <c r="BE45" s="321">
        <v>3.5814119999999998</v>
      </c>
      <c r="BF45" s="321">
        <v>3.484785</v>
      </c>
      <c r="BG45" s="321">
        <v>2.7549030000000001</v>
      </c>
      <c r="BH45" s="321">
        <v>3.5126539999999999</v>
      </c>
      <c r="BI45" s="321">
        <v>2.3525830000000001</v>
      </c>
      <c r="BJ45" s="321">
        <v>2.3264230000000001</v>
      </c>
      <c r="BK45" s="321">
        <v>2.909459</v>
      </c>
      <c r="BL45" s="321">
        <v>3.5448539999999999</v>
      </c>
      <c r="BM45" s="321">
        <v>3.2558699999999998</v>
      </c>
    </row>
    <row r="46" spans="1:65">
      <c r="A46" s="315"/>
      <c r="B46" s="316"/>
      <c r="C46" s="408" t="s">
        <v>399</v>
      </c>
      <c r="D46" s="321">
        <v>2.3508529999999999</v>
      </c>
      <c r="E46" s="321">
        <v>1.8546050000000001</v>
      </c>
      <c r="F46" s="321">
        <v>2.5159419999999999</v>
      </c>
      <c r="G46" s="321">
        <v>2.2838639999999999</v>
      </c>
      <c r="H46" s="321">
        <v>1.542033</v>
      </c>
      <c r="I46" s="321">
        <v>2.1592280000000001</v>
      </c>
      <c r="J46" s="321">
        <v>1.6533640000000001</v>
      </c>
      <c r="K46" s="321">
        <v>1.30097</v>
      </c>
      <c r="L46" s="321">
        <v>0.74907299999999999</v>
      </c>
      <c r="M46" s="321">
        <v>2.8518979999999998</v>
      </c>
      <c r="N46" s="321">
        <v>2.0886390000000001</v>
      </c>
      <c r="O46" s="321">
        <v>2.1357279999999998</v>
      </c>
      <c r="P46" s="321">
        <v>3.211341</v>
      </c>
      <c r="Q46" s="321">
        <v>1.83473</v>
      </c>
      <c r="R46" s="321">
        <v>2.170947</v>
      </c>
      <c r="S46" s="321">
        <v>2.5847570000000002</v>
      </c>
      <c r="T46" s="321">
        <v>2.3228200000000001</v>
      </c>
      <c r="U46" s="321">
        <v>2.5215540000000001</v>
      </c>
      <c r="V46" s="321">
        <v>2.7065199999999998</v>
      </c>
      <c r="W46" s="321">
        <v>2.5165929999999999</v>
      </c>
      <c r="X46" s="321">
        <v>2.098157</v>
      </c>
      <c r="Y46" s="321">
        <v>1.6339090000000001</v>
      </c>
      <c r="Z46" s="321">
        <v>2.4296669999999998</v>
      </c>
      <c r="AA46" s="321">
        <v>2.2320570000000002</v>
      </c>
      <c r="AB46" s="321">
        <v>2.8621029999999998</v>
      </c>
      <c r="AC46" s="321">
        <v>2.5568430000000002</v>
      </c>
      <c r="AD46" s="321">
        <v>3.1141209999999999</v>
      </c>
      <c r="AE46" s="52">
        <f>'User Add-in Location'!B52</f>
        <v>0</v>
      </c>
      <c r="AF46" s="52">
        <f>'User Add-in Location'!C52</f>
        <v>0</v>
      </c>
      <c r="AG46" s="321">
        <v>2.5357750000000001</v>
      </c>
      <c r="AH46" s="321">
        <v>2.2359800000000001</v>
      </c>
      <c r="AI46" s="321">
        <v>2.0374539999999999</v>
      </c>
      <c r="AJ46" s="321">
        <v>1.7385060000000001</v>
      </c>
      <c r="AK46" s="321">
        <v>3.0864790000000002</v>
      </c>
      <c r="AL46" s="321">
        <v>1.3613949999999999</v>
      </c>
      <c r="AM46" s="321">
        <v>1.87764</v>
      </c>
      <c r="AN46" s="321">
        <v>2.3787440000000002</v>
      </c>
      <c r="AO46" s="321">
        <v>2.2971240000000002</v>
      </c>
      <c r="AP46" s="321">
        <v>2.8924979999999998</v>
      </c>
      <c r="AQ46" s="321">
        <v>2.213317</v>
      </c>
      <c r="AR46" s="321">
        <v>2.1091340000000001</v>
      </c>
      <c r="AS46" s="324">
        <v>0</v>
      </c>
      <c r="AT46" s="324">
        <v>0</v>
      </c>
      <c r="AU46" s="324">
        <v>0</v>
      </c>
      <c r="AV46" s="324">
        <v>0</v>
      </c>
      <c r="AW46" s="324">
        <v>0</v>
      </c>
      <c r="AX46" s="324">
        <v>0</v>
      </c>
      <c r="AY46" s="324">
        <v>0</v>
      </c>
      <c r="AZ46" s="324">
        <v>0</v>
      </c>
      <c r="BA46" s="321">
        <v>1.8671899999999999</v>
      </c>
      <c r="BB46" s="321">
        <v>2.0812949999999999</v>
      </c>
      <c r="BC46" s="321">
        <v>2.6067840000000002</v>
      </c>
      <c r="BD46" s="321">
        <v>2.4034339999999998</v>
      </c>
      <c r="BE46" s="321">
        <v>2.331483</v>
      </c>
      <c r="BF46" s="321">
        <v>2.9427819999999998</v>
      </c>
      <c r="BG46" s="321">
        <v>2.9220100000000002</v>
      </c>
      <c r="BH46" s="321">
        <v>2.8172630000000001</v>
      </c>
      <c r="BI46" s="321">
        <v>1.8941349999999999</v>
      </c>
      <c r="BJ46" s="321">
        <v>1.601515</v>
      </c>
      <c r="BK46" s="321">
        <v>1.928229</v>
      </c>
      <c r="BL46" s="321">
        <v>2.5674739999999998</v>
      </c>
      <c r="BM46" s="321">
        <v>2.1010420000000001</v>
      </c>
    </row>
    <row r="47" spans="1:65">
      <c r="A47" s="315"/>
      <c r="B47" s="316"/>
      <c r="C47" s="408" t="s">
        <v>400</v>
      </c>
      <c r="D47" s="321">
        <v>2.013906</v>
      </c>
      <c r="E47" s="321">
        <v>1.668884</v>
      </c>
      <c r="F47" s="321">
        <v>2.121712</v>
      </c>
      <c r="G47" s="321">
        <v>2.5523790000000002</v>
      </c>
      <c r="H47" s="321">
        <v>1.1388689999999999</v>
      </c>
      <c r="I47" s="321">
        <v>1.729482</v>
      </c>
      <c r="J47" s="321">
        <v>1.227603</v>
      </c>
      <c r="K47" s="321">
        <v>1.3501019999999999</v>
      </c>
      <c r="L47" s="321">
        <v>0.66925100000000004</v>
      </c>
      <c r="M47" s="321">
        <v>2.2660119999999999</v>
      </c>
      <c r="N47" s="321">
        <v>1.745582</v>
      </c>
      <c r="O47" s="321">
        <v>1.9592160000000001</v>
      </c>
      <c r="P47" s="321">
        <v>2.7622260000000001</v>
      </c>
      <c r="Q47" s="321">
        <v>1.69672</v>
      </c>
      <c r="R47" s="321">
        <v>1.905362</v>
      </c>
      <c r="S47" s="321">
        <v>2.1234099999999998</v>
      </c>
      <c r="T47" s="321">
        <v>1.937416</v>
      </c>
      <c r="U47" s="321">
        <v>2.1794859999999998</v>
      </c>
      <c r="V47" s="321">
        <v>2.6337760000000001</v>
      </c>
      <c r="W47" s="321">
        <v>2.0562939999999998</v>
      </c>
      <c r="X47" s="321">
        <v>1.4163220000000001</v>
      </c>
      <c r="Y47" s="321">
        <v>0.99237200000000003</v>
      </c>
      <c r="Z47" s="321">
        <v>2.156212</v>
      </c>
      <c r="AA47" s="321">
        <v>1.9067689999999999</v>
      </c>
      <c r="AB47" s="321">
        <v>2.7073239999999998</v>
      </c>
      <c r="AC47" s="321">
        <v>2.1096180000000002</v>
      </c>
      <c r="AD47" s="321">
        <v>2.794117</v>
      </c>
      <c r="AE47" s="52">
        <f>'User Add-in Location'!B53</f>
        <v>0</v>
      </c>
      <c r="AF47" s="52">
        <f>'User Add-in Location'!C53</f>
        <v>0</v>
      </c>
      <c r="AG47" s="321">
        <v>2.2667890000000002</v>
      </c>
      <c r="AH47" s="321">
        <v>2.0146359999999999</v>
      </c>
      <c r="AI47" s="321">
        <v>1.406517</v>
      </c>
      <c r="AJ47" s="321">
        <v>1.3120689999999999</v>
      </c>
      <c r="AK47" s="321">
        <v>2.0878079999999999</v>
      </c>
      <c r="AL47" s="321">
        <v>1.1498299999999999</v>
      </c>
      <c r="AM47" s="321">
        <v>1.5462530000000001</v>
      </c>
      <c r="AN47" s="321">
        <v>2.113877</v>
      </c>
      <c r="AO47" s="321">
        <v>1.9822379999999999</v>
      </c>
      <c r="AP47" s="321">
        <v>2.4356529999999998</v>
      </c>
      <c r="AQ47" s="321">
        <v>2.1447340000000001</v>
      </c>
      <c r="AR47" s="321">
        <v>1.845933</v>
      </c>
      <c r="AS47" s="324">
        <v>0</v>
      </c>
      <c r="AT47" s="324">
        <v>0</v>
      </c>
      <c r="AU47" s="324">
        <v>0</v>
      </c>
      <c r="AV47" s="324">
        <v>0</v>
      </c>
      <c r="AW47" s="324">
        <v>0</v>
      </c>
      <c r="AX47" s="324">
        <v>0</v>
      </c>
      <c r="AY47" s="324">
        <v>0</v>
      </c>
      <c r="AZ47" s="324">
        <v>0</v>
      </c>
      <c r="BA47" s="321">
        <v>1.6331770000000001</v>
      </c>
      <c r="BB47" s="321">
        <v>1.85321</v>
      </c>
      <c r="BC47" s="321">
        <v>2.3529239999999998</v>
      </c>
      <c r="BD47" s="321">
        <v>1.7105319999999999</v>
      </c>
      <c r="BE47" s="321">
        <v>1.9341630000000001</v>
      </c>
      <c r="BF47" s="321">
        <v>2.3664040000000002</v>
      </c>
      <c r="BG47" s="321">
        <v>2.38157</v>
      </c>
      <c r="BH47" s="321">
        <v>1.9805269999999999</v>
      </c>
      <c r="BI47" s="321">
        <v>1.316508</v>
      </c>
      <c r="BJ47" s="321">
        <v>1.334144</v>
      </c>
      <c r="BK47" s="321">
        <v>2.3015089999999998</v>
      </c>
      <c r="BL47" s="321">
        <v>2.1816900000000001</v>
      </c>
      <c r="BM47" s="321">
        <v>1.853634</v>
      </c>
    </row>
    <row r="48" spans="1:65">
      <c r="A48" s="315"/>
      <c r="B48" s="316"/>
      <c r="C48" s="408" t="s">
        <v>401</v>
      </c>
      <c r="D48" s="321">
        <v>2.164269</v>
      </c>
      <c r="E48" s="321">
        <v>1.8573599999999999</v>
      </c>
      <c r="F48" s="321">
        <v>2.4301680000000001</v>
      </c>
      <c r="G48" s="321">
        <v>2.7866620000000002</v>
      </c>
      <c r="H48" s="321">
        <v>1.602471</v>
      </c>
      <c r="I48" s="321">
        <v>2.1609349999999998</v>
      </c>
      <c r="J48" s="321">
        <v>1.8155559999999999</v>
      </c>
      <c r="K48" s="321">
        <v>1.6363970000000001</v>
      </c>
      <c r="L48" s="321">
        <v>0.893957</v>
      </c>
      <c r="M48" s="321">
        <v>2.8881779999999999</v>
      </c>
      <c r="N48" s="321">
        <v>2.267579</v>
      </c>
      <c r="O48" s="321">
        <v>2.135481</v>
      </c>
      <c r="P48" s="321">
        <v>3.0491619999999999</v>
      </c>
      <c r="Q48" s="321">
        <v>2.2036370000000001</v>
      </c>
      <c r="R48" s="321">
        <v>2.3317510000000001</v>
      </c>
      <c r="S48" s="321">
        <v>2.4670010000000002</v>
      </c>
      <c r="T48" s="321">
        <v>2.2568649999999999</v>
      </c>
      <c r="U48" s="321">
        <v>2.4634800000000001</v>
      </c>
      <c r="V48" s="321">
        <v>2.7448809999999999</v>
      </c>
      <c r="W48" s="321">
        <v>2.4043299999999999</v>
      </c>
      <c r="X48" s="321">
        <v>1.9691609999999999</v>
      </c>
      <c r="Y48" s="321">
        <v>1.537601</v>
      </c>
      <c r="Z48" s="321">
        <v>2.3007110000000002</v>
      </c>
      <c r="AA48" s="321">
        <v>2.4588230000000002</v>
      </c>
      <c r="AB48" s="321">
        <v>2.9766279999999998</v>
      </c>
      <c r="AC48" s="321">
        <v>2.525258</v>
      </c>
      <c r="AD48" s="321">
        <v>2.9801419999999998</v>
      </c>
      <c r="AE48" s="52">
        <f>'User Add-in Location'!B54</f>
        <v>0</v>
      </c>
      <c r="AF48" s="52">
        <f>'User Add-in Location'!C54</f>
        <v>0</v>
      </c>
      <c r="AG48" s="321">
        <v>2.626995</v>
      </c>
      <c r="AH48" s="321">
        <v>2.350711</v>
      </c>
      <c r="AI48" s="321">
        <v>1.9740310000000001</v>
      </c>
      <c r="AJ48" s="321">
        <v>1.9439040000000001</v>
      </c>
      <c r="AK48" s="321">
        <v>2.4386079999999999</v>
      </c>
      <c r="AL48" s="321">
        <v>1.541104</v>
      </c>
      <c r="AM48" s="321">
        <v>2.0445899999999999</v>
      </c>
      <c r="AN48" s="321">
        <v>2.1573289999999998</v>
      </c>
      <c r="AO48" s="321">
        <v>2.351712</v>
      </c>
      <c r="AP48" s="321">
        <v>2.9194969999999998</v>
      </c>
      <c r="AQ48" s="321">
        <v>2.5588060000000001</v>
      </c>
      <c r="AR48" s="321">
        <v>2.3727659999999999</v>
      </c>
      <c r="AS48" s="324">
        <v>0</v>
      </c>
      <c r="AT48" s="324">
        <v>0</v>
      </c>
      <c r="AU48" s="324">
        <v>0</v>
      </c>
      <c r="AV48" s="324">
        <v>0</v>
      </c>
      <c r="AW48" s="324">
        <v>0</v>
      </c>
      <c r="AX48" s="324">
        <v>0</v>
      </c>
      <c r="AY48" s="324">
        <v>0</v>
      </c>
      <c r="AZ48" s="324">
        <v>0</v>
      </c>
      <c r="BA48" s="321">
        <v>1.9313450000000001</v>
      </c>
      <c r="BB48" s="321">
        <v>2.0179100000000001</v>
      </c>
      <c r="BC48" s="321">
        <v>2.7323089999999999</v>
      </c>
      <c r="BD48" s="321">
        <v>2.3361779999999999</v>
      </c>
      <c r="BE48" s="321">
        <v>2.3545669999999999</v>
      </c>
      <c r="BF48" s="321">
        <v>3.0727009999999999</v>
      </c>
      <c r="BG48" s="321">
        <v>2.713838</v>
      </c>
      <c r="BH48" s="321">
        <v>2.6550470000000002</v>
      </c>
      <c r="BI48" s="321">
        <v>1.8199890000000001</v>
      </c>
      <c r="BJ48" s="321">
        <v>1.706947</v>
      </c>
      <c r="BK48" s="321">
        <v>2.0437210000000001</v>
      </c>
      <c r="BL48" s="321">
        <v>2.5008059999999999</v>
      </c>
      <c r="BM48" s="321">
        <v>1.8703460000000001</v>
      </c>
    </row>
    <row r="49" spans="1:65">
      <c r="A49" s="315"/>
      <c r="B49" s="316"/>
      <c r="C49" s="408" t="s">
        <v>402</v>
      </c>
      <c r="D49" s="321">
        <v>2.5139749999999998</v>
      </c>
      <c r="E49" s="321">
        <v>1.7730969999999999</v>
      </c>
      <c r="F49" s="321">
        <v>2.363664</v>
      </c>
      <c r="G49" s="321">
        <v>2.7792910000000002</v>
      </c>
      <c r="H49" s="321">
        <v>1.632379</v>
      </c>
      <c r="I49" s="321">
        <v>2.2383670000000002</v>
      </c>
      <c r="J49" s="321">
        <v>1.6922980000000001</v>
      </c>
      <c r="K49" s="321">
        <v>1.585977</v>
      </c>
      <c r="L49" s="321">
        <v>1.0531200000000001</v>
      </c>
      <c r="M49" s="321">
        <v>2.7702490000000002</v>
      </c>
      <c r="N49" s="321">
        <v>2.2286049999999999</v>
      </c>
      <c r="O49" s="321">
        <v>1.858225</v>
      </c>
      <c r="P49" s="321">
        <v>3.0061360000000001</v>
      </c>
      <c r="Q49" s="321">
        <v>2.2483070000000001</v>
      </c>
      <c r="R49" s="321">
        <v>2.5987619999999998</v>
      </c>
      <c r="S49" s="321">
        <v>2.6257220000000001</v>
      </c>
      <c r="T49" s="321">
        <v>2.2727339999999998</v>
      </c>
      <c r="U49" s="321">
        <v>2.554951</v>
      </c>
      <c r="V49" s="321">
        <v>2.7673450000000002</v>
      </c>
      <c r="W49" s="321">
        <v>2.4113540000000002</v>
      </c>
      <c r="X49" s="321">
        <v>1.967943</v>
      </c>
      <c r="Y49" s="321">
        <v>1.7151209999999999</v>
      </c>
      <c r="Z49" s="321">
        <v>2.586198</v>
      </c>
      <c r="AA49" s="321">
        <v>2.51451</v>
      </c>
      <c r="AB49" s="321">
        <v>3.0314909999999999</v>
      </c>
      <c r="AC49" s="321">
        <v>2.8488660000000001</v>
      </c>
      <c r="AD49" s="321">
        <v>2.9604119999999998</v>
      </c>
      <c r="AE49" s="52">
        <f>'User Add-in Location'!B55</f>
        <v>0</v>
      </c>
      <c r="AF49" s="52">
        <f>'User Add-in Location'!C55</f>
        <v>0</v>
      </c>
      <c r="AG49" s="321">
        <v>2.635942</v>
      </c>
      <c r="AH49" s="321">
        <v>2.0138280000000002</v>
      </c>
      <c r="AI49" s="321">
        <v>1.9389130000000001</v>
      </c>
      <c r="AJ49" s="321">
        <v>1.894598</v>
      </c>
      <c r="AK49" s="321">
        <v>2.7460529999999999</v>
      </c>
      <c r="AL49" s="321">
        <v>1.4699439999999999</v>
      </c>
      <c r="AM49" s="321">
        <v>2.2209180000000002</v>
      </c>
      <c r="AN49" s="321">
        <v>2.3006090000000001</v>
      </c>
      <c r="AO49" s="321">
        <v>2.4224290000000002</v>
      </c>
      <c r="AP49" s="321">
        <v>2.9429639999999999</v>
      </c>
      <c r="AQ49" s="321">
        <v>2.3760029999999999</v>
      </c>
      <c r="AR49" s="321">
        <v>2.1857600000000001</v>
      </c>
      <c r="AS49" s="324">
        <v>0</v>
      </c>
      <c r="AT49" s="324">
        <v>0</v>
      </c>
      <c r="AU49" s="324">
        <v>0</v>
      </c>
      <c r="AV49" s="324">
        <v>0</v>
      </c>
      <c r="AW49" s="324">
        <v>0</v>
      </c>
      <c r="AX49" s="324">
        <v>0</v>
      </c>
      <c r="AY49" s="324">
        <v>0</v>
      </c>
      <c r="AZ49" s="324">
        <v>0</v>
      </c>
      <c r="BA49" s="321">
        <v>1.891767</v>
      </c>
      <c r="BB49" s="321">
        <v>2.1439319999999999</v>
      </c>
      <c r="BC49" s="321">
        <v>2.694042</v>
      </c>
      <c r="BD49" s="321">
        <v>2.3263039999999999</v>
      </c>
      <c r="BE49" s="321">
        <v>2.5779869999999998</v>
      </c>
      <c r="BF49" s="321">
        <v>3.1384720000000002</v>
      </c>
      <c r="BG49" s="321">
        <v>2.5099369999999999</v>
      </c>
      <c r="BH49" s="321">
        <v>2.6260530000000002</v>
      </c>
      <c r="BI49" s="321">
        <v>2.076867</v>
      </c>
      <c r="BJ49" s="321">
        <v>1.602371</v>
      </c>
      <c r="BK49" s="321">
        <v>2.0958920000000001</v>
      </c>
      <c r="BL49" s="321">
        <v>2.479066</v>
      </c>
      <c r="BM49" s="321">
        <v>1.858365</v>
      </c>
    </row>
    <row r="50" spans="1:65">
      <c r="A50" s="315"/>
      <c r="B50" s="316"/>
      <c r="C50" s="408" t="s">
        <v>403</v>
      </c>
      <c r="D50" s="321">
        <v>0.39268700000000001</v>
      </c>
      <c r="E50" s="321">
        <v>7.1637999999999993E-2</v>
      </c>
      <c r="F50" s="321">
        <v>0.53588000000000002</v>
      </c>
      <c r="G50" s="321">
        <v>0.55311500000000002</v>
      </c>
      <c r="H50" s="321">
        <v>0.37574000000000002</v>
      </c>
      <c r="I50" s="321">
        <v>0.29037099999999999</v>
      </c>
      <c r="J50" s="321">
        <v>0.40466000000000002</v>
      </c>
      <c r="K50" s="321">
        <v>0.120728</v>
      </c>
      <c r="L50" s="321">
        <v>6.5872E-2</v>
      </c>
      <c r="M50" s="321">
        <v>0.41181600000000002</v>
      </c>
      <c r="N50" s="321">
        <v>0.129222</v>
      </c>
      <c r="O50" s="321">
        <v>0.218997</v>
      </c>
      <c r="P50" s="321">
        <v>0.67405899999999996</v>
      </c>
      <c r="Q50" s="321">
        <v>0.18487300000000001</v>
      </c>
      <c r="R50" s="321">
        <v>0.34410499999999999</v>
      </c>
      <c r="S50" s="321">
        <v>0.267289</v>
      </c>
      <c r="T50" s="321">
        <v>0.40146599999999999</v>
      </c>
      <c r="U50" s="321">
        <v>0.44130900000000001</v>
      </c>
      <c r="V50" s="321">
        <v>0.48268899999999998</v>
      </c>
      <c r="W50" s="321">
        <v>0.41598200000000002</v>
      </c>
      <c r="X50" s="321">
        <v>8.9187000000000002E-2</v>
      </c>
      <c r="Y50" s="321">
        <v>0.11182400000000001</v>
      </c>
      <c r="Z50" s="321">
        <v>0.31594499999999998</v>
      </c>
      <c r="AA50" s="321">
        <v>0.551647</v>
      </c>
      <c r="AB50" s="321">
        <v>0.36870999999999998</v>
      </c>
      <c r="AC50" s="321">
        <v>0.41454999999999997</v>
      </c>
      <c r="AD50" s="321">
        <v>0.441299</v>
      </c>
      <c r="AE50" s="52">
        <f>'User Add-in Location'!B56</f>
        <v>0</v>
      </c>
      <c r="AF50" s="52">
        <f>'User Add-in Location'!C56</f>
        <v>0</v>
      </c>
      <c r="AG50" s="321">
        <v>0.26344200000000001</v>
      </c>
      <c r="AH50" s="321">
        <v>0.21521699999999999</v>
      </c>
      <c r="AI50" s="321">
        <v>0.22537199999999999</v>
      </c>
      <c r="AJ50" s="321">
        <v>0.268509</v>
      </c>
      <c r="AK50" s="321">
        <v>0.426402</v>
      </c>
      <c r="AL50" s="321">
        <v>0.28050599999999998</v>
      </c>
      <c r="AM50" s="321">
        <v>0.17657500000000001</v>
      </c>
      <c r="AN50" s="321">
        <v>0.76588400000000001</v>
      </c>
      <c r="AO50" s="321">
        <v>0.25337500000000002</v>
      </c>
      <c r="AP50" s="321">
        <v>0.98132900000000001</v>
      </c>
      <c r="AQ50" s="321">
        <v>0.52475899999999998</v>
      </c>
      <c r="AR50" s="321">
        <v>0.479101</v>
      </c>
      <c r="AS50" s="324">
        <v>0</v>
      </c>
      <c r="AT50" s="324">
        <v>0</v>
      </c>
      <c r="AU50" s="324">
        <v>0</v>
      </c>
      <c r="AV50" s="324">
        <v>0</v>
      </c>
      <c r="AW50" s="324">
        <v>0</v>
      </c>
      <c r="AX50" s="324">
        <v>0</v>
      </c>
      <c r="AY50" s="324">
        <v>0</v>
      </c>
      <c r="AZ50" s="324">
        <v>0</v>
      </c>
      <c r="BA50" s="321">
        <v>0.155224</v>
      </c>
      <c r="BB50" s="321">
        <v>0.213361</v>
      </c>
      <c r="BC50" s="321">
        <v>0.92889299999999997</v>
      </c>
      <c r="BD50" s="321">
        <v>0.42922199999999999</v>
      </c>
      <c r="BE50" s="321">
        <v>0.400532</v>
      </c>
      <c r="BF50" s="321">
        <v>0.50439900000000004</v>
      </c>
      <c r="BG50" s="321">
        <v>0.35525200000000001</v>
      </c>
      <c r="BH50" s="321">
        <v>0.20356199999999999</v>
      </c>
      <c r="BI50" s="321">
        <v>0.39352199999999998</v>
      </c>
      <c r="BJ50" s="321">
        <v>0.44218200000000002</v>
      </c>
      <c r="BK50" s="321">
        <v>0.30866100000000002</v>
      </c>
      <c r="BL50" s="321">
        <v>0.35701100000000002</v>
      </c>
      <c r="BM50" s="321">
        <v>0.31607099999999999</v>
      </c>
    </row>
    <row r="51" spans="1:65">
      <c r="A51" s="315"/>
      <c r="B51" s="316"/>
      <c r="C51" s="408" t="s">
        <v>404</v>
      </c>
      <c r="D51" s="321">
        <v>2.5285829999999998</v>
      </c>
      <c r="E51" s="321">
        <v>1.5949629999999999</v>
      </c>
      <c r="F51" s="321">
        <v>2.3835850000000001</v>
      </c>
      <c r="G51" s="321">
        <v>2.4275389999999999</v>
      </c>
      <c r="H51" s="321">
        <v>1.7160869999999999</v>
      </c>
      <c r="I51" s="321">
        <v>3.0864060000000002</v>
      </c>
      <c r="J51" s="321">
        <v>2.365863</v>
      </c>
      <c r="K51" s="321">
        <v>2.381335</v>
      </c>
      <c r="L51" s="321">
        <v>0.86338300000000001</v>
      </c>
      <c r="M51" s="321">
        <v>3.3193619999999999</v>
      </c>
      <c r="N51" s="321">
        <v>2.1079330000000001</v>
      </c>
      <c r="O51" s="321">
        <v>2.7622990000000001</v>
      </c>
      <c r="P51" s="321">
        <v>3.0363669999999998</v>
      </c>
      <c r="Q51" s="321">
        <v>2.677203</v>
      </c>
      <c r="R51" s="321">
        <v>2.3361839999999998</v>
      </c>
      <c r="S51" s="321">
        <v>2.7477510000000001</v>
      </c>
      <c r="T51" s="321">
        <v>3.0373749999999999</v>
      </c>
      <c r="U51" s="321">
        <v>2.6241859999999999</v>
      </c>
      <c r="V51" s="321">
        <v>3.9121570000000001</v>
      </c>
      <c r="W51" s="321">
        <v>2.3120889999999998</v>
      </c>
      <c r="X51" s="321">
        <v>2.5376590000000001</v>
      </c>
      <c r="Y51" s="321">
        <v>2.264329</v>
      </c>
      <c r="Z51" s="321">
        <v>3.0705930000000001</v>
      </c>
      <c r="AA51" s="321">
        <v>3.225476</v>
      </c>
      <c r="AB51" s="321">
        <v>4.0416590000000001</v>
      </c>
      <c r="AC51" s="321">
        <v>2.9749210000000001</v>
      </c>
      <c r="AD51" s="321">
        <v>2.6408320000000001</v>
      </c>
      <c r="AE51" s="52">
        <f>'User Add-in Location'!B57</f>
        <v>0</v>
      </c>
      <c r="AF51" s="52">
        <f>'User Add-in Location'!C57</f>
        <v>0</v>
      </c>
      <c r="AG51" s="321">
        <v>2.852306</v>
      </c>
      <c r="AH51" s="321">
        <v>2.5944090000000002</v>
      </c>
      <c r="AI51" s="321">
        <v>2.6259969999999999</v>
      </c>
      <c r="AJ51" s="321">
        <v>2.74546</v>
      </c>
      <c r="AK51" s="321">
        <v>3.1666280000000002</v>
      </c>
      <c r="AL51" s="321">
        <v>2.48481</v>
      </c>
      <c r="AM51" s="321">
        <v>2.0601590000000001</v>
      </c>
      <c r="AN51" s="321">
        <v>2.4873989999999999</v>
      </c>
      <c r="AO51" s="321">
        <v>2.9294850000000001</v>
      </c>
      <c r="AP51" s="321">
        <v>2.7561450000000001</v>
      </c>
      <c r="AQ51" s="321">
        <v>2.2114340000000001</v>
      </c>
      <c r="AR51" s="321">
        <v>2.481811</v>
      </c>
      <c r="AS51" s="324">
        <v>0</v>
      </c>
      <c r="AT51" s="324">
        <v>0</v>
      </c>
      <c r="AU51" s="324">
        <v>0</v>
      </c>
      <c r="AV51" s="324">
        <v>0</v>
      </c>
      <c r="AW51" s="324">
        <v>0</v>
      </c>
      <c r="AX51" s="324">
        <v>0</v>
      </c>
      <c r="AY51" s="324">
        <v>0</v>
      </c>
      <c r="AZ51" s="324">
        <v>0</v>
      </c>
      <c r="BA51" s="321">
        <v>1.6983440000000001</v>
      </c>
      <c r="BB51" s="321">
        <v>1.542044</v>
      </c>
      <c r="BC51" s="321">
        <v>3.9367269999999999</v>
      </c>
      <c r="BD51" s="321">
        <v>2.8098000000000001</v>
      </c>
      <c r="BE51" s="321">
        <v>2.4908250000000001</v>
      </c>
      <c r="BF51" s="321">
        <v>3.4221810000000001</v>
      </c>
      <c r="BG51" s="321">
        <v>3.5403129999999998</v>
      </c>
      <c r="BH51" s="321">
        <v>3.6163650000000001</v>
      </c>
      <c r="BI51" s="321">
        <v>2.6228449999999999</v>
      </c>
      <c r="BJ51" s="321">
        <v>2.1925400000000002</v>
      </c>
      <c r="BK51" s="321">
        <v>2.427295</v>
      </c>
      <c r="BL51" s="321">
        <v>2.433713</v>
      </c>
      <c r="BM51" s="321">
        <v>0</v>
      </c>
    </row>
    <row r="52" spans="1:65">
      <c r="A52" s="315"/>
      <c r="B52" s="316"/>
      <c r="C52" s="349"/>
      <c r="D52" s="321"/>
      <c r="E52" s="321"/>
      <c r="F52" s="321"/>
      <c r="G52" s="321"/>
      <c r="H52" s="321"/>
      <c r="I52" s="321"/>
      <c r="J52" s="321"/>
      <c r="K52" s="321"/>
      <c r="L52" s="321"/>
      <c r="M52" s="321"/>
      <c r="N52" s="321"/>
      <c r="O52" s="321"/>
      <c r="P52" s="321"/>
      <c r="Q52" s="321"/>
      <c r="R52" s="321"/>
      <c r="S52" s="321"/>
      <c r="T52" s="321"/>
      <c r="U52" s="321"/>
      <c r="V52" s="321"/>
      <c r="W52" s="321"/>
      <c r="X52" s="321"/>
      <c r="Y52" s="321"/>
      <c r="Z52" s="321"/>
      <c r="AA52" s="321"/>
      <c r="AB52" s="321"/>
      <c r="AC52" s="321"/>
      <c r="AD52" s="321"/>
      <c r="AG52" s="321"/>
      <c r="AH52" s="321"/>
      <c r="AI52" s="321"/>
      <c r="AJ52" s="321"/>
      <c r="AK52" s="321"/>
      <c r="AL52" s="321"/>
      <c r="AM52" s="321"/>
      <c r="AN52" s="321"/>
      <c r="AO52" s="321"/>
      <c r="AP52" s="321"/>
      <c r="AQ52" s="321"/>
      <c r="AR52" s="321"/>
      <c r="AS52" s="324"/>
      <c r="AT52" s="324"/>
      <c r="AU52" s="324"/>
      <c r="AV52" s="324"/>
      <c r="AW52" s="324"/>
      <c r="AX52" s="324"/>
      <c r="AY52" s="324"/>
      <c r="AZ52" s="324"/>
      <c r="BA52" s="321"/>
      <c r="BB52" s="321"/>
      <c r="BC52" s="321"/>
      <c r="BD52" s="321"/>
      <c r="BE52" s="321"/>
      <c r="BF52" s="321"/>
      <c r="BG52" s="321"/>
      <c r="BH52" s="321"/>
      <c r="BI52" s="321"/>
      <c r="BJ52" s="321"/>
      <c r="BK52" s="321"/>
      <c r="BL52" s="321"/>
      <c r="BM52" s="321"/>
    </row>
    <row r="53" spans="1:65">
      <c r="A53" s="315"/>
      <c r="B53" s="316"/>
      <c r="C53" s="319" t="s">
        <v>378</v>
      </c>
      <c r="D53" s="321"/>
      <c r="E53" s="321"/>
      <c r="F53" s="321"/>
      <c r="G53" s="321"/>
      <c r="H53" s="321"/>
      <c r="I53" s="321"/>
      <c r="J53" s="321"/>
      <c r="K53" s="321"/>
      <c r="L53" s="321"/>
      <c r="M53" s="321"/>
      <c r="N53" s="321"/>
      <c r="O53" s="321"/>
      <c r="P53" s="321"/>
      <c r="Q53" s="321"/>
      <c r="R53" s="321"/>
      <c r="S53" s="321"/>
      <c r="T53" s="321"/>
      <c r="U53" s="321"/>
      <c r="V53" s="321"/>
      <c r="W53" s="321"/>
      <c r="X53" s="321"/>
      <c r="Y53" s="321"/>
      <c r="Z53" s="321"/>
      <c r="AA53" s="321"/>
      <c r="AB53" s="321"/>
      <c r="AC53" s="321"/>
      <c r="AD53" s="321"/>
      <c r="AG53" s="321"/>
      <c r="AH53" s="321"/>
      <c r="AI53" s="321"/>
      <c r="AJ53" s="321"/>
      <c r="AK53" s="321"/>
      <c r="AL53" s="321"/>
      <c r="AM53" s="321"/>
      <c r="AN53" s="321"/>
      <c r="AO53" s="321"/>
      <c r="AP53" s="321"/>
      <c r="AQ53" s="321"/>
      <c r="AR53" s="321"/>
      <c r="AS53" s="324"/>
      <c r="AT53" s="324"/>
      <c r="AU53" s="324"/>
      <c r="AV53" s="324"/>
      <c r="AW53" s="324"/>
      <c r="AX53" s="324"/>
      <c r="AY53" s="324"/>
      <c r="AZ53" s="324"/>
      <c r="BA53" s="321"/>
      <c r="BB53" s="321"/>
      <c r="BC53" s="321"/>
      <c r="BD53" s="321"/>
      <c r="BE53" s="321"/>
      <c r="BF53" s="321"/>
      <c r="BG53" s="321"/>
      <c r="BH53" s="321"/>
      <c r="BI53" s="321"/>
      <c r="BJ53" s="321"/>
      <c r="BK53" s="321"/>
      <c r="BL53" s="321"/>
      <c r="BM53" s="321"/>
    </row>
    <row r="54" spans="1:65">
      <c r="A54" s="315"/>
      <c r="B54" s="316"/>
      <c r="C54" s="320" t="s">
        <v>406</v>
      </c>
      <c r="D54" s="52" t="s">
        <v>219</v>
      </c>
      <c r="E54" s="52" t="s">
        <v>222</v>
      </c>
      <c r="F54" s="52" t="s">
        <v>231</v>
      </c>
      <c r="G54" s="52" t="s">
        <v>221</v>
      </c>
      <c r="H54" s="52" t="s">
        <v>223</v>
      </c>
      <c r="I54" s="52" t="s">
        <v>240</v>
      </c>
      <c r="J54" s="52" t="s">
        <v>216</v>
      </c>
      <c r="K54" s="52" t="s">
        <v>217</v>
      </c>
      <c r="L54" s="52" t="s">
        <v>218</v>
      </c>
      <c r="M54" s="52" t="s">
        <v>228</v>
      </c>
      <c r="N54" s="52" t="s">
        <v>237</v>
      </c>
      <c r="O54" s="52" t="s">
        <v>232</v>
      </c>
      <c r="P54" s="52" t="s">
        <v>248</v>
      </c>
      <c r="Q54" s="52" t="s">
        <v>220</v>
      </c>
      <c r="R54" s="52" t="s">
        <v>229</v>
      </c>
      <c r="S54" s="52" t="s">
        <v>238</v>
      </c>
      <c r="T54" s="52" t="s">
        <v>254</v>
      </c>
      <c r="U54" s="52" t="s">
        <v>245</v>
      </c>
      <c r="V54" s="52" t="s">
        <v>230</v>
      </c>
      <c r="W54" s="52" t="s">
        <v>225</v>
      </c>
      <c r="X54" s="52" t="s">
        <v>227</v>
      </c>
      <c r="Y54" s="52" t="s">
        <v>234</v>
      </c>
      <c r="Z54" s="52" t="s">
        <v>246</v>
      </c>
      <c r="AA54" s="52" t="s">
        <v>252</v>
      </c>
      <c r="AB54" s="52" t="s">
        <v>251</v>
      </c>
      <c r="AC54" s="52" t="s">
        <v>239</v>
      </c>
      <c r="AD54" s="52" t="s">
        <v>260</v>
      </c>
      <c r="AE54" s="52" t="s">
        <v>381</v>
      </c>
      <c r="AF54" s="52" t="s">
        <v>382</v>
      </c>
      <c r="AG54" s="52" t="s">
        <v>264</v>
      </c>
      <c r="AH54" s="52" t="s">
        <v>266</v>
      </c>
      <c r="AI54" s="52" t="s">
        <v>242</v>
      </c>
      <c r="AJ54" s="52" t="s">
        <v>489</v>
      </c>
      <c r="AK54" s="52" t="s">
        <v>247</v>
      </c>
      <c r="AL54" s="52" t="s">
        <v>250</v>
      </c>
      <c r="AM54" s="52" t="s">
        <v>236</v>
      </c>
      <c r="AN54" s="52" t="s">
        <v>268</v>
      </c>
      <c r="AO54" s="52" t="s">
        <v>258</v>
      </c>
      <c r="AP54" s="52" t="s">
        <v>253</v>
      </c>
      <c r="AQ54" s="52" t="s">
        <v>270</v>
      </c>
      <c r="AR54" s="52" t="s">
        <v>235</v>
      </c>
      <c r="AS54" s="407" t="s">
        <v>207</v>
      </c>
      <c r="AT54" s="407" t="s">
        <v>208</v>
      </c>
      <c r="AU54" s="407" t="s">
        <v>209</v>
      </c>
      <c r="AV54" s="407" t="s">
        <v>210</v>
      </c>
      <c r="AW54" s="407" t="s">
        <v>211</v>
      </c>
      <c r="AX54" s="407" t="s">
        <v>212</v>
      </c>
      <c r="AY54" s="407" t="s">
        <v>213</v>
      </c>
      <c r="AZ54" s="407" t="s">
        <v>214</v>
      </c>
      <c r="BA54" s="52" t="s">
        <v>256</v>
      </c>
      <c r="BB54" s="52" t="s">
        <v>490</v>
      </c>
      <c r="BC54" s="52" t="s">
        <v>272</v>
      </c>
      <c r="BD54" s="52" t="s">
        <v>491</v>
      </c>
      <c r="BE54" s="52" t="s">
        <v>492</v>
      </c>
      <c r="BF54" s="321" t="s">
        <v>604</v>
      </c>
      <c r="BG54" s="52" t="s">
        <v>274</v>
      </c>
      <c r="BH54" s="52" t="s">
        <v>262</v>
      </c>
      <c r="BI54" s="52" t="s">
        <v>244</v>
      </c>
      <c r="BJ54" s="52" t="s">
        <v>275</v>
      </c>
      <c r="BK54" s="52" t="s">
        <v>243</v>
      </c>
      <c r="BL54" s="52" t="s">
        <v>263</v>
      </c>
      <c r="BM54" s="52" t="s">
        <v>493</v>
      </c>
    </row>
    <row r="55" spans="1:65">
      <c r="A55" s="315"/>
      <c r="B55" s="316"/>
      <c r="C55" s="408" t="s">
        <v>383</v>
      </c>
      <c r="D55" s="321">
        <v>2.238505</v>
      </c>
      <c r="E55" s="321">
        <v>1.617346</v>
      </c>
      <c r="F55" s="321">
        <v>2.160234</v>
      </c>
      <c r="G55" s="321">
        <v>2.3725339999999999</v>
      </c>
      <c r="H55" s="321">
        <v>2.1082209999999999</v>
      </c>
      <c r="I55" s="321">
        <v>1.6914260000000001</v>
      </c>
      <c r="J55" s="321">
        <v>2.0617049999999999</v>
      </c>
      <c r="K55" s="321">
        <v>2.5912169999999999</v>
      </c>
      <c r="L55" s="321">
        <v>1.6658649999999999</v>
      </c>
      <c r="M55" s="321">
        <v>2.8748969999999998</v>
      </c>
      <c r="N55" s="321">
        <v>2.2697940000000001</v>
      </c>
      <c r="O55" s="321">
        <v>2.5154049999999999</v>
      </c>
      <c r="P55" s="321">
        <v>2.2834919999999999</v>
      </c>
      <c r="Q55" s="321">
        <v>2.3400150000000002</v>
      </c>
      <c r="R55" s="321">
        <v>2.5383110000000002</v>
      </c>
      <c r="S55" s="321">
        <v>2.0184310000000001</v>
      </c>
      <c r="T55" s="321">
        <v>1.6296999999999999</v>
      </c>
      <c r="U55" s="321">
        <v>2.5172810000000001</v>
      </c>
      <c r="V55" s="321">
        <v>2.5101290000000001</v>
      </c>
      <c r="W55" s="321">
        <v>3.8175159999999999</v>
      </c>
      <c r="X55" s="321">
        <v>1.655243</v>
      </c>
      <c r="Y55" s="321">
        <v>3.0078849999999999</v>
      </c>
      <c r="Z55" s="321">
        <v>2.1312530000000001</v>
      </c>
      <c r="AA55" s="321">
        <v>2.312497</v>
      </c>
      <c r="AB55" s="321">
        <v>2.938615</v>
      </c>
      <c r="AC55" s="321">
        <v>1.722164</v>
      </c>
      <c r="AD55" s="321">
        <v>2.0037829999999999</v>
      </c>
      <c r="AE55" s="52">
        <f>'User Add-in Location'!B61</f>
        <v>0</v>
      </c>
      <c r="AF55" s="52">
        <f>'User Add-in Location'!C61</f>
        <v>0</v>
      </c>
      <c r="AG55" s="321">
        <v>1.8555600000000001</v>
      </c>
      <c r="AH55" s="321">
        <v>1.198842</v>
      </c>
      <c r="AI55" s="321">
        <v>3.3929559999999999</v>
      </c>
      <c r="AJ55" s="321">
        <v>2.4638529999999998</v>
      </c>
      <c r="AK55" s="321">
        <v>2.3900670000000002</v>
      </c>
      <c r="AL55" s="321">
        <v>1.3715839999999999</v>
      </c>
      <c r="AM55" s="321">
        <v>2.1118749999999999</v>
      </c>
      <c r="AN55" s="321">
        <v>1.7042949999999999</v>
      </c>
      <c r="AO55" s="321">
        <v>2.0378029999999998</v>
      </c>
      <c r="AP55" s="321">
        <v>1.8792040000000001</v>
      </c>
      <c r="AQ55" s="321">
        <v>2.9172380000000002</v>
      </c>
      <c r="AR55" s="321">
        <v>2.4645090000000001</v>
      </c>
      <c r="AS55" s="324">
        <v>0</v>
      </c>
      <c r="AT55" s="324">
        <v>0</v>
      </c>
      <c r="AU55" s="324">
        <v>0</v>
      </c>
      <c r="AV55" s="324">
        <v>0</v>
      </c>
      <c r="AW55" s="324">
        <v>0</v>
      </c>
      <c r="AX55" s="324">
        <v>0</v>
      </c>
      <c r="AY55" s="324">
        <v>0</v>
      </c>
      <c r="AZ55" s="324">
        <v>0</v>
      </c>
      <c r="BA55" s="321">
        <v>3.281037</v>
      </c>
      <c r="BB55" s="321">
        <v>1.28627</v>
      </c>
      <c r="BC55" s="321">
        <v>2.4999009999999999</v>
      </c>
      <c r="BD55" s="321">
        <v>0.85065999999999997</v>
      </c>
      <c r="BE55" s="321">
        <v>1.9235709999999999</v>
      </c>
      <c r="BF55" s="321">
        <v>4.1640170000000003</v>
      </c>
      <c r="BG55" s="321">
        <v>1.5982529999999999</v>
      </c>
      <c r="BH55" s="321">
        <v>2.7547929999999998</v>
      </c>
      <c r="BI55" s="321">
        <v>1.467813</v>
      </c>
      <c r="BJ55" s="321">
        <v>2.1208239999999998</v>
      </c>
      <c r="BK55" s="321">
        <v>1.06976</v>
      </c>
      <c r="BL55" s="321">
        <v>1.643958</v>
      </c>
      <c r="BM55" s="321">
        <v>0.84227099999999999</v>
      </c>
    </row>
    <row r="56" spans="1:65">
      <c r="A56" s="315"/>
      <c r="B56" s="316"/>
      <c r="C56" s="408" t="s">
        <v>384</v>
      </c>
      <c r="D56" s="321">
        <v>1.5204340000000001</v>
      </c>
      <c r="E56" s="321">
        <v>1.461794</v>
      </c>
      <c r="F56" s="321">
        <v>1.7049939999999999</v>
      </c>
      <c r="G56" s="321">
        <v>1.8455809999999999</v>
      </c>
      <c r="H56" s="321">
        <v>1.4001189999999999</v>
      </c>
      <c r="I56" s="321">
        <v>3.7235550000000002</v>
      </c>
      <c r="J56" s="321">
        <v>1.6381619999999999</v>
      </c>
      <c r="K56" s="321">
        <v>1.3988879999999999</v>
      </c>
      <c r="L56" s="321">
        <v>1.1539900000000001</v>
      </c>
      <c r="M56" s="321">
        <v>1.9375819999999999</v>
      </c>
      <c r="N56" s="321">
        <v>1.9737150000000001</v>
      </c>
      <c r="O56" s="321">
        <v>1.3643449999999999</v>
      </c>
      <c r="P56" s="321">
        <v>2.735271</v>
      </c>
      <c r="Q56" s="321">
        <v>2.380674</v>
      </c>
      <c r="R56" s="321">
        <v>2.2098239999999998</v>
      </c>
      <c r="S56" s="321">
        <v>1.8795459999999999</v>
      </c>
      <c r="T56" s="321">
        <v>2.1569219999999998</v>
      </c>
      <c r="U56" s="321">
        <v>1.7049179999999999</v>
      </c>
      <c r="V56" s="321">
        <v>2.730232</v>
      </c>
      <c r="W56" s="321">
        <v>1.8982380000000001</v>
      </c>
      <c r="X56" s="321">
        <v>1.4788589999999999</v>
      </c>
      <c r="Y56" s="321">
        <v>1.8531390000000001</v>
      </c>
      <c r="Z56" s="321">
        <v>2.0863809999999998</v>
      </c>
      <c r="AA56" s="321">
        <v>2.3799579999999998</v>
      </c>
      <c r="AB56" s="321">
        <v>2.1034709999999999</v>
      </c>
      <c r="AC56" s="321">
        <v>2.2774570000000001</v>
      </c>
      <c r="AD56" s="321">
        <v>2.6419190000000001</v>
      </c>
      <c r="AE56" s="52">
        <f>'User Add-in Location'!B62</f>
        <v>0</v>
      </c>
      <c r="AF56" s="52">
        <f>'User Add-in Location'!C62</f>
        <v>0</v>
      </c>
      <c r="AG56" s="321">
        <v>2.2841200000000002</v>
      </c>
      <c r="AH56" s="321">
        <v>1.793399</v>
      </c>
      <c r="AI56" s="321">
        <v>2.4561199999999999</v>
      </c>
      <c r="AJ56" s="321">
        <v>4.4866529999999996</v>
      </c>
      <c r="AK56" s="321">
        <v>1.669735</v>
      </c>
      <c r="AL56" s="321">
        <v>4.0386519999999999</v>
      </c>
      <c r="AM56" s="321">
        <v>1.6176489999999999</v>
      </c>
      <c r="AN56" s="321">
        <v>1.971106</v>
      </c>
      <c r="AO56" s="321">
        <v>1.332978</v>
      </c>
      <c r="AP56" s="321">
        <v>2.2049910000000001</v>
      </c>
      <c r="AQ56" s="321">
        <v>2.0640589999999999</v>
      </c>
      <c r="AR56" s="321">
        <v>2.0098310000000001</v>
      </c>
      <c r="AS56" s="324">
        <v>0</v>
      </c>
      <c r="AT56" s="324">
        <v>0</v>
      </c>
      <c r="AU56" s="324">
        <v>0</v>
      </c>
      <c r="AV56" s="324">
        <v>0</v>
      </c>
      <c r="AW56" s="324">
        <v>0</v>
      </c>
      <c r="AX56" s="324">
        <v>0</v>
      </c>
      <c r="AY56" s="324">
        <v>0</v>
      </c>
      <c r="AZ56" s="324">
        <v>0</v>
      </c>
      <c r="BA56" s="321">
        <v>1.5313190000000001</v>
      </c>
      <c r="BB56" s="321">
        <v>1.2232670000000001</v>
      </c>
      <c r="BC56" s="321">
        <v>2.6944520000000001</v>
      </c>
      <c r="BD56" s="321">
        <v>1.6927680000000001</v>
      </c>
      <c r="BE56" s="321">
        <v>2.7883140000000002</v>
      </c>
      <c r="BF56" s="321">
        <v>4.3871099999999998</v>
      </c>
      <c r="BG56" s="321">
        <v>1.730772</v>
      </c>
      <c r="BH56" s="321">
        <v>1.9241740000000001</v>
      </c>
      <c r="BI56" s="321">
        <v>1.698075</v>
      </c>
      <c r="BJ56" s="321">
        <v>1.619483</v>
      </c>
      <c r="BK56" s="321">
        <v>1.296759</v>
      </c>
      <c r="BL56" s="321">
        <v>1.381985</v>
      </c>
      <c r="BM56" s="321">
        <v>0.99584899999999998</v>
      </c>
    </row>
    <row r="57" spans="1:65">
      <c r="A57" s="315"/>
      <c r="B57" s="316"/>
      <c r="C57" s="408" t="s">
        <v>385</v>
      </c>
      <c r="D57" s="321">
        <v>2.7634270000000001</v>
      </c>
      <c r="E57" s="321">
        <v>2.9495</v>
      </c>
      <c r="F57" s="321">
        <v>2.5343499999999999</v>
      </c>
      <c r="G57" s="321">
        <v>2.907464</v>
      </c>
      <c r="H57" s="321">
        <v>2.290759</v>
      </c>
      <c r="I57" s="321">
        <v>2.844929</v>
      </c>
      <c r="J57" s="321">
        <v>2.9217019999999998</v>
      </c>
      <c r="K57" s="321">
        <v>2.3199610000000002</v>
      </c>
      <c r="L57" s="321">
        <v>0.65141499999999997</v>
      </c>
      <c r="M57" s="321">
        <v>3.0740660000000002</v>
      </c>
      <c r="N57" s="321">
        <v>2.6497389999999998</v>
      </c>
      <c r="O57" s="321">
        <v>2.7545329999999999</v>
      </c>
      <c r="P57" s="321">
        <v>3.0228510000000002</v>
      </c>
      <c r="Q57" s="321">
        <v>3.343607</v>
      </c>
      <c r="R57" s="321">
        <v>3.5194559999999999</v>
      </c>
      <c r="S57" s="321">
        <v>3.3260990000000001</v>
      </c>
      <c r="T57" s="321">
        <v>2.8406069999999999</v>
      </c>
      <c r="U57" s="321">
        <v>2.9296150000000001</v>
      </c>
      <c r="V57" s="321">
        <v>3.5209730000000001</v>
      </c>
      <c r="W57" s="321">
        <v>3.7511489999999998</v>
      </c>
      <c r="X57" s="321">
        <v>2.733447</v>
      </c>
      <c r="Y57" s="321">
        <v>2.9666290000000002</v>
      </c>
      <c r="Z57" s="321">
        <v>3.5673409999999999</v>
      </c>
      <c r="AA57" s="321">
        <v>4.062646</v>
      </c>
      <c r="AB57" s="321">
        <v>3.0632739999999998</v>
      </c>
      <c r="AC57" s="321">
        <v>4.1327069999999999</v>
      </c>
      <c r="AD57" s="321">
        <v>3.3835829999999998</v>
      </c>
      <c r="AE57" s="52">
        <f>'User Add-in Location'!B63</f>
        <v>0</v>
      </c>
      <c r="AF57" s="52">
        <f>'User Add-in Location'!C63</f>
        <v>0</v>
      </c>
      <c r="AG57" s="321">
        <v>3.5269569999999999</v>
      </c>
      <c r="AH57" s="321">
        <v>2.557925</v>
      </c>
      <c r="AI57" s="321">
        <v>4.452528</v>
      </c>
      <c r="AJ57" s="321">
        <v>3.202207</v>
      </c>
      <c r="AK57" s="321">
        <v>3.0482140000000002</v>
      </c>
      <c r="AL57" s="321">
        <v>2.169038</v>
      </c>
      <c r="AM57" s="321">
        <v>2.7808449999999998</v>
      </c>
      <c r="AN57" s="321">
        <v>2.9068299999999998</v>
      </c>
      <c r="AO57" s="321">
        <v>3.272831</v>
      </c>
      <c r="AP57" s="321">
        <v>3.484165</v>
      </c>
      <c r="AQ57" s="321">
        <v>3.472245</v>
      </c>
      <c r="AR57" s="321">
        <v>3.7503890000000002</v>
      </c>
      <c r="AS57" s="324">
        <v>0</v>
      </c>
      <c r="AT57" s="324">
        <v>0</v>
      </c>
      <c r="AU57" s="324">
        <v>0</v>
      </c>
      <c r="AV57" s="324">
        <v>0</v>
      </c>
      <c r="AW57" s="324">
        <v>0</v>
      </c>
      <c r="AX57" s="324">
        <v>0</v>
      </c>
      <c r="AY57" s="324">
        <v>0</v>
      </c>
      <c r="AZ57" s="324">
        <v>0</v>
      </c>
      <c r="BA57" s="321">
        <v>2.4251900000000002</v>
      </c>
      <c r="BB57" s="321">
        <v>2.219964</v>
      </c>
      <c r="BC57" s="321">
        <v>3.6722999999999999</v>
      </c>
      <c r="BD57" s="321">
        <v>3.2841580000000001</v>
      </c>
      <c r="BE57" s="321">
        <v>3.5123220000000002</v>
      </c>
      <c r="BF57" s="321">
        <v>5.4431000000000003</v>
      </c>
      <c r="BG57" s="321">
        <v>2.8509859999999998</v>
      </c>
      <c r="BH57" s="321">
        <v>4.4383609999999996</v>
      </c>
      <c r="BI57" s="321">
        <v>2.6674449999999998</v>
      </c>
      <c r="BJ57" s="321">
        <v>2.0577779999999999</v>
      </c>
      <c r="BK57" s="321">
        <v>2.3162989999999999</v>
      </c>
      <c r="BL57" s="321">
        <v>3.3969520000000002</v>
      </c>
      <c r="BM57" s="321">
        <v>1.4869349999999999</v>
      </c>
    </row>
    <row r="58" spans="1:65">
      <c r="A58" s="315"/>
      <c r="B58" s="316"/>
      <c r="C58" s="408" t="s">
        <v>386</v>
      </c>
      <c r="D58" s="321">
        <v>2.1710029999999998</v>
      </c>
      <c r="E58" s="321">
        <v>2.4017300000000001</v>
      </c>
      <c r="F58" s="321">
        <v>1.878889</v>
      </c>
      <c r="G58" s="321">
        <v>2.2868059999999999</v>
      </c>
      <c r="H58" s="321">
        <v>1.8182389999999999</v>
      </c>
      <c r="I58" s="321">
        <v>2.2644150000000001</v>
      </c>
      <c r="J58" s="321">
        <v>2.5341070000000001</v>
      </c>
      <c r="K58" s="321">
        <v>1.762972</v>
      </c>
      <c r="L58" s="321">
        <v>0.479495</v>
      </c>
      <c r="M58" s="321">
        <v>2.3222459999999998</v>
      </c>
      <c r="N58" s="321">
        <v>2.0382690000000001</v>
      </c>
      <c r="O58" s="321">
        <v>2.0456479999999999</v>
      </c>
      <c r="P58" s="321">
        <v>2.3215509999999999</v>
      </c>
      <c r="Q58" s="321">
        <v>2.6773729999999998</v>
      </c>
      <c r="R58" s="321">
        <v>2.8206370000000001</v>
      </c>
      <c r="S58" s="321">
        <v>2.698709</v>
      </c>
      <c r="T58" s="321">
        <v>2.2938350000000001</v>
      </c>
      <c r="U58" s="321">
        <v>2.2649720000000002</v>
      </c>
      <c r="V58" s="321">
        <v>2.8343539999999998</v>
      </c>
      <c r="W58" s="321">
        <v>3.0521410000000002</v>
      </c>
      <c r="X58" s="321">
        <v>2.122652</v>
      </c>
      <c r="Y58" s="321">
        <v>2.4733019999999999</v>
      </c>
      <c r="Z58" s="321">
        <v>2.7682289999999998</v>
      </c>
      <c r="AA58" s="321">
        <v>3.35772</v>
      </c>
      <c r="AB58" s="321">
        <v>2.431718</v>
      </c>
      <c r="AC58" s="321">
        <v>3.4055270000000002</v>
      </c>
      <c r="AD58" s="321">
        <v>2.6728329999999998</v>
      </c>
      <c r="AE58" s="52">
        <f>'User Add-in Location'!B64</f>
        <v>0</v>
      </c>
      <c r="AF58" s="52">
        <f>'User Add-in Location'!C64</f>
        <v>0</v>
      </c>
      <c r="AG58" s="321">
        <v>3.0173019999999999</v>
      </c>
      <c r="AH58" s="321">
        <v>1.939541</v>
      </c>
      <c r="AI58" s="321">
        <v>4.16465</v>
      </c>
      <c r="AJ58" s="321">
        <v>2.5859770000000002</v>
      </c>
      <c r="AK58" s="321">
        <v>2.3503189999999998</v>
      </c>
      <c r="AL58" s="321">
        <v>1.703006</v>
      </c>
      <c r="AM58" s="321">
        <v>2.228739</v>
      </c>
      <c r="AN58" s="321">
        <v>2.2583959999999998</v>
      </c>
      <c r="AO58" s="321">
        <v>2.5336240000000001</v>
      </c>
      <c r="AP58" s="321">
        <v>2.8690440000000001</v>
      </c>
      <c r="AQ58" s="321">
        <v>2.7779370000000001</v>
      </c>
      <c r="AR58" s="321">
        <v>3.044635</v>
      </c>
      <c r="AS58" s="324">
        <v>0</v>
      </c>
      <c r="AT58" s="324">
        <v>0</v>
      </c>
      <c r="AU58" s="324">
        <v>0</v>
      </c>
      <c r="AV58" s="324">
        <v>0</v>
      </c>
      <c r="AW58" s="324">
        <v>0</v>
      </c>
      <c r="AX58" s="324">
        <v>0</v>
      </c>
      <c r="AY58" s="324">
        <v>0</v>
      </c>
      <c r="AZ58" s="324">
        <v>0</v>
      </c>
      <c r="BA58" s="321">
        <v>1.8318460000000001</v>
      </c>
      <c r="BB58" s="321">
        <v>1.631985</v>
      </c>
      <c r="BC58" s="321">
        <v>3.0097580000000002</v>
      </c>
      <c r="BD58" s="321">
        <v>2.6765400000000001</v>
      </c>
      <c r="BE58" s="321">
        <v>2.8951220000000002</v>
      </c>
      <c r="BF58" s="321">
        <v>4.5769789999999997</v>
      </c>
      <c r="BG58" s="321">
        <v>2.2177020000000001</v>
      </c>
      <c r="BH58" s="321">
        <v>3.798762</v>
      </c>
      <c r="BI58" s="321">
        <v>2.0736400000000001</v>
      </c>
      <c r="BJ58" s="321">
        <v>1.548138</v>
      </c>
      <c r="BK58" s="321">
        <v>1.702453</v>
      </c>
      <c r="BL58" s="321">
        <v>2.6108929999999999</v>
      </c>
      <c r="BM58" s="321">
        <v>1.100506</v>
      </c>
    </row>
    <row r="59" spans="1:65">
      <c r="A59" s="315"/>
      <c r="B59" s="316"/>
      <c r="C59" s="408" t="s">
        <v>387</v>
      </c>
      <c r="D59" s="321">
        <v>2.240828</v>
      </c>
      <c r="E59" s="321">
        <v>2.4258639999999998</v>
      </c>
      <c r="F59" s="321">
        <v>1.9942200000000001</v>
      </c>
      <c r="G59" s="321">
        <v>2.3720490000000001</v>
      </c>
      <c r="H59" s="321">
        <v>1.9048940000000001</v>
      </c>
      <c r="I59" s="321">
        <v>2.3586589999999998</v>
      </c>
      <c r="J59" s="321">
        <v>2.5350459999999999</v>
      </c>
      <c r="K59" s="321">
        <v>1.883713</v>
      </c>
      <c r="L59" s="321">
        <v>0.51294799999999996</v>
      </c>
      <c r="M59" s="321">
        <v>2.493293</v>
      </c>
      <c r="N59" s="321">
        <v>2.1735289999999998</v>
      </c>
      <c r="O59" s="321">
        <v>2.1612909999999999</v>
      </c>
      <c r="P59" s="321">
        <v>2.4889559999999999</v>
      </c>
      <c r="Q59" s="321">
        <v>2.771325</v>
      </c>
      <c r="R59" s="321">
        <v>2.9208449999999999</v>
      </c>
      <c r="S59" s="321">
        <v>2.7842380000000002</v>
      </c>
      <c r="T59" s="321">
        <v>2.343162</v>
      </c>
      <c r="U59" s="321">
        <v>2.3872589999999998</v>
      </c>
      <c r="V59" s="321">
        <v>2.9095740000000001</v>
      </c>
      <c r="W59" s="321">
        <v>3.0688770000000001</v>
      </c>
      <c r="X59" s="321">
        <v>2.2265229999999998</v>
      </c>
      <c r="Y59" s="321">
        <v>2.5410780000000002</v>
      </c>
      <c r="Z59" s="321">
        <v>2.9131990000000001</v>
      </c>
      <c r="AA59" s="321">
        <v>3.4532569999999998</v>
      </c>
      <c r="AB59" s="321">
        <v>2.5146289999999998</v>
      </c>
      <c r="AC59" s="321">
        <v>3.4693320000000001</v>
      </c>
      <c r="AD59" s="321">
        <v>2.804719</v>
      </c>
      <c r="AE59" s="52">
        <f>'User Add-in Location'!B65</f>
        <v>0</v>
      </c>
      <c r="AF59" s="52">
        <f>'User Add-in Location'!C65</f>
        <v>0</v>
      </c>
      <c r="AG59" s="321">
        <v>3.015625</v>
      </c>
      <c r="AH59" s="321">
        <v>2.0350100000000002</v>
      </c>
      <c r="AI59" s="321">
        <v>3.9611839999999998</v>
      </c>
      <c r="AJ59" s="321">
        <v>2.697451</v>
      </c>
      <c r="AK59" s="321">
        <v>2.462812</v>
      </c>
      <c r="AL59" s="321">
        <v>1.7894779999999999</v>
      </c>
      <c r="AM59" s="321">
        <v>2.3193359999999998</v>
      </c>
      <c r="AN59" s="321">
        <v>2.3646799999999999</v>
      </c>
      <c r="AO59" s="321">
        <v>2.6280060000000001</v>
      </c>
      <c r="AP59" s="321">
        <v>2.9268770000000002</v>
      </c>
      <c r="AQ59" s="321">
        <v>2.9180630000000001</v>
      </c>
      <c r="AR59" s="321">
        <v>3.1679529999999998</v>
      </c>
      <c r="AS59" s="324">
        <v>0</v>
      </c>
      <c r="AT59" s="324">
        <v>0</v>
      </c>
      <c r="AU59" s="324">
        <v>0</v>
      </c>
      <c r="AV59" s="324">
        <v>0</v>
      </c>
      <c r="AW59" s="324">
        <v>0</v>
      </c>
      <c r="AX59" s="324">
        <v>0</v>
      </c>
      <c r="AY59" s="324">
        <v>0</v>
      </c>
      <c r="AZ59" s="324">
        <v>0</v>
      </c>
      <c r="BA59" s="321">
        <v>1.9182729999999999</v>
      </c>
      <c r="BB59" s="321">
        <v>1.762994</v>
      </c>
      <c r="BC59" s="321">
        <v>3.064889</v>
      </c>
      <c r="BD59" s="321">
        <v>2.7321840000000002</v>
      </c>
      <c r="BE59" s="321">
        <v>2.9988519999999999</v>
      </c>
      <c r="BF59" s="321">
        <v>4.6917330000000002</v>
      </c>
      <c r="BG59" s="321">
        <v>2.359553</v>
      </c>
      <c r="BH59" s="321">
        <v>3.7487599999999999</v>
      </c>
      <c r="BI59" s="321">
        <v>2.178261</v>
      </c>
      <c r="BJ59" s="321">
        <v>1.6546620000000001</v>
      </c>
      <c r="BK59" s="321">
        <v>1.7825169999999999</v>
      </c>
      <c r="BL59" s="321">
        <v>2.712539</v>
      </c>
      <c r="BM59" s="321">
        <v>1.1607810000000001</v>
      </c>
    </row>
    <row r="60" spans="1:65">
      <c r="A60" s="315"/>
      <c r="B60" s="316"/>
      <c r="C60" s="408" t="s">
        <v>388</v>
      </c>
      <c r="D60" s="321">
        <v>1.4067259999999999</v>
      </c>
      <c r="E60" s="321">
        <v>1.1456820000000001</v>
      </c>
      <c r="F60" s="321">
        <v>1.5551900000000001</v>
      </c>
      <c r="G60" s="321">
        <v>1.668763</v>
      </c>
      <c r="H60" s="321">
        <v>1.430731</v>
      </c>
      <c r="I60" s="321">
        <v>1.8611880000000001</v>
      </c>
      <c r="J60" s="321">
        <v>1.8177779999999999</v>
      </c>
      <c r="K60" s="321">
        <v>1.2082999999999999</v>
      </c>
      <c r="L60" s="321">
        <v>0.27929300000000001</v>
      </c>
      <c r="M60" s="321">
        <v>1.9669490000000001</v>
      </c>
      <c r="N60" s="321">
        <v>1.5780320000000001</v>
      </c>
      <c r="O60" s="321">
        <v>1.1926570000000001</v>
      </c>
      <c r="P60" s="321">
        <v>2.0198140000000002</v>
      </c>
      <c r="Q60" s="321">
        <v>2.06271</v>
      </c>
      <c r="R60" s="321">
        <v>1.9057740000000001</v>
      </c>
      <c r="S60" s="321">
        <v>1.867613</v>
      </c>
      <c r="T60" s="321">
        <v>1.7097199999999999</v>
      </c>
      <c r="U60" s="321">
        <v>1.564843</v>
      </c>
      <c r="V60" s="321">
        <v>1.5533170000000001</v>
      </c>
      <c r="W60" s="321">
        <v>1.9338740000000001</v>
      </c>
      <c r="X60" s="321">
        <v>1.430615</v>
      </c>
      <c r="Y60" s="321">
        <v>1.6395580000000001</v>
      </c>
      <c r="Z60" s="321">
        <v>2.0570879999999998</v>
      </c>
      <c r="AA60" s="321">
        <v>2.5704250000000002</v>
      </c>
      <c r="AB60" s="321">
        <v>1.755376</v>
      </c>
      <c r="AC60" s="321">
        <v>2.3592499999999998</v>
      </c>
      <c r="AD60" s="321">
        <v>1.5617220000000001</v>
      </c>
      <c r="AE60" s="52">
        <f>'User Add-in Location'!B66</f>
        <v>0</v>
      </c>
      <c r="AF60" s="52">
        <f>'User Add-in Location'!C66</f>
        <v>0</v>
      </c>
      <c r="AG60" s="321">
        <v>1.884449</v>
      </c>
      <c r="AH60" s="321">
        <v>1.458725</v>
      </c>
      <c r="AI60" s="321">
        <v>2.326314</v>
      </c>
      <c r="AJ60" s="321">
        <v>1.99142</v>
      </c>
      <c r="AK60" s="321">
        <v>1.401437</v>
      </c>
      <c r="AL60" s="321">
        <v>1.280837</v>
      </c>
      <c r="AM60" s="321">
        <v>1.444312</v>
      </c>
      <c r="AN60" s="321">
        <v>1.377291</v>
      </c>
      <c r="AO60" s="321">
        <v>1.6878979999999999</v>
      </c>
      <c r="AP60" s="321">
        <v>2.132145</v>
      </c>
      <c r="AQ60" s="321">
        <v>2.072206</v>
      </c>
      <c r="AR60" s="321">
        <v>2.3635350000000002</v>
      </c>
      <c r="AS60" s="324">
        <v>0</v>
      </c>
      <c r="AT60" s="324">
        <v>0</v>
      </c>
      <c r="AU60" s="324">
        <v>0</v>
      </c>
      <c r="AV60" s="324">
        <v>0</v>
      </c>
      <c r="AW60" s="324">
        <v>0</v>
      </c>
      <c r="AX60" s="324">
        <v>0</v>
      </c>
      <c r="AY60" s="324">
        <v>0</v>
      </c>
      <c r="AZ60" s="324">
        <v>0</v>
      </c>
      <c r="BA60" s="321">
        <v>1.2977019999999999</v>
      </c>
      <c r="BB60" s="321">
        <v>1.16482</v>
      </c>
      <c r="BC60" s="321">
        <v>2.1875710000000002</v>
      </c>
      <c r="BD60" s="321">
        <v>1.5087140000000001</v>
      </c>
      <c r="BE60" s="321">
        <v>1.996505</v>
      </c>
      <c r="BF60" s="321">
        <v>3.7644350000000002</v>
      </c>
      <c r="BG60" s="321">
        <v>1.822759</v>
      </c>
      <c r="BH60" s="321">
        <v>2.1980940000000002</v>
      </c>
      <c r="BI60" s="321">
        <v>1.4378960000000001</v>
      </c>
      <c r="BJ60" s="321">
        <v>1.0105550000000001</v>
      </c>
      <c r="BK60" s="321">
        <v>0.97685699999999998</v>
      </c>
      <c r="BL60" s="321">
        <v>1.7469429999999999</v>
      </c>
      <c r="BM60" s="321">
        <v>0.54049199999999997</v>
      </c>
    </row>
    <row r="61" spans="1:65">
      <c r="A61" s="315"/>
      <c r="B61" s="316"/>
      <c r="C61" s="408" t="s">
        <v>389</v>
      </c>
      <c r="D61" s="321">
        <v>1.681648</v>
      </c>
      <c r="E61" s="321">
        <v>1.5963339999999999</v>
      </c>
      <c r="F61" s="321">
        <v>1.602525</v>
      </c>
      <c r="G61" s="321">
        <v>1.8425069999999999</v>
      </c>
      <c r="H61" s="321">
        <v>1.6489769999999999</v>
      </c>
      <c r="I61" s="321">
        <v>1.9281109999999999</v>
      </c>
      <c r="J61" s="321">
        <v>1.884922</v>
      </c>
      <c r="K61" s="321">
        <v>1.4811270000000001</v>
      </c>
      <c r="L61" s="321">
        <v>0</v>
      </c>
      <c r="M61" s="321">
        <v>2.2593209999999999</v>
      </c>
      <c r="N61" s="321">
        <v>1.782251</v>
      </c>
      <c r="O61" s="321">
        <v>1.6305229999999999</v>
      </c>
      <c r="P61" s="321">
        <v>2.1812649999999998</v>
      </c>
      <c r="Q61" s="321">
        <v>2.5242230000000001</v>
      </c>
      <c r="R61" s="321">
        <v>2.4600930000000001</v>
      </c>
      <c r="S61" s="321">
        <v>2.2598989999999999</v>
      </c>
      <c r="T61" s="321">
        <v>1.935818</v>
      </c>
      <c r="U61" s="321">
        <v>2.0064220000000001</v>
      </c>
      <c r="V61" s="321">
        <v>2.3426179999999999</v>
      </c>
      <c r="W61" s="321">
        <v>2.0461369999999999</v>
      </c>
      <c r="X61" s="321">
        <v>1.700108</v>
      </c>
      <c r="Y61" s="321">
        <v>1.862465</v>
      </c>
      <c r="Z61" s="321">
        <v>2.6426080000000001</v>
      </c>
      <c r="AA61" s="321">
        <v>3.050433</v>
      </c>
      <c r="AB61" s="321">
        <v>2.2676910000000001</v>
      </c>
      <c r="AC61" s="321">
        <v>2.8508179999999999</v>
      </c>
      <c r="AD61" s="321">
        <v>2.082176</v>
      </c>
      <c r="AE61" s="52">
        <f>'User Add-in Location'!B67</f>
        <v>0</v>
      </c>
      <c r="AF61" s="52">
        <f>'User Add-in Location'!C67</f>
        <v>0</v>
      </c>
      <c r="AG61" s="321">
        <v>2.3226789999999999</v>
      </c>
      <c r="AH61" s="321">
        <v>1.682536</v>
      </c>
      <c r="AI61" s="321">
        <v>2.2558579999999999</v>
      </c>
      <c r="AJ61" s="321">
        <v>2.3410139999999999</v>
      </c>
      <c r="AK61" s="321">
        <v>1.9996670000000001</v>
      </c>
      <c r="AL61" s="321">
        <v>1.494826</v>
      </c>
      <c r="AM61" s="321">
        <v>1.8009759999999999</v>
      </c>
      <c r="AN61" s="321">
        <v>2.0557949999999998</v>
      </c>
      <c r="AO61" s="321">
        <v>2.1708759999999998</v>
      </c>
      <c r="AP61" s="321">
        <v>2.4868920000000001</v>
      </c>
      <c r="AQ61" s="321">
        <v>2.4615369999999999</v>
      </c>
      <c r="AR61" s="321">
        <v>2.8217240000000001</v>
      </c>
      <c r="AS61" s="324">
        <v>0</v>
      </c>
      <c r="AT61" s="324">
        <v>0</v>
      </c>
      <c r="AU61" s="324">
        <v>0</v>
      </c>
      <c r="AV61" s="324">
        <v>0</v>
      </c>
      <c r="AW61" s="324">
        <v>0</v>
      </c>
      <c r="AX61" s="324">
        <v>0</v>
      </c>
      <c r="AY61" s="324">
        <v>0</v>
      </c>
      <c r="AZ61" s="324">
        <v>0</v>
      </c>
      <c r="BA61" s="321">
        <v>1.5748489999999999</v>
      </c>
      <c r="BB61" s="321">
        <v>1.572471</v>
      </c>
      <c r="BC61" s="321">
        <v>2.6594959999999999</v>
      </c>
      <c r="BD61" s="321">
        <v>2.0937999999999999</v>
      </c>
      <c r="BE61" s="321">
        <v>2.5408019999999998</v>
      </c>
      <c r="BF61" s="321">
        <v>4.4319350000000002</v>
      </c>
      <c r="BG61" s="321">
        <v>2.141035</v>
      </c>
      <c r="BH61" s="321">
        <v>2.6245129999999999</v>
      </c>
      <c r="BI61" s="321">
        <v>2.0705469999999999</v>
      </c>
      <c r="BJ61" s="321">
        <v>1.291005</v>
      </c>
      <c r="BK61" s="321">
        <v>1.343699</v>
      </c>
      <c r="BL61" s="321">
        <v>2.436995</v>
      </c>
      <c r="BM61" s="321">
        <v>0.83874000000000004</v>
      </c>
    </row>
    <row r="62" spans="1:65">
      <c r="A62" s="315"/>
      <c r="B62" s="316"/>
      <c r="C62" s="408" t="s">
        <v>390</v>
      </c>
      <c r="D62" s="321">
        <v>1.8838680000000001</v>
      </c>
      <c r="E62" s="321">
        <v>1.4031929999999999</v>
      </c>
      <c r="F62" s="321">
        <v>1.9975529999999999</v>
      </c>
      <c r="G62" s="321">
        <v>1.973071</v>
      </c>
      <c r="H62" s="321">
        <v>1.823353</v>
      </c>
      <c r="I62" s="321">
        <v>2.100209</v>
      </c>
      <c r="J62" s="321">
        <v>2.1541809999999999</v>
      </c>
      <c r="K62" s="321">
        <v>1.4292990000000001</v>
      </c>
      <c r="L62" s="321">
        <v>0</v>
      </c>
      <c r="M62" s="321">
        <v>2.4194830000000001</v>
      </c>
      <c r="N62" s="321">
        <v>1.9093560000000001</v>
      </c>
      <c r="O62" s="321">
        <v>0</v>
      </c>
      <c r="P62" s="321">
        <v>2.2885490000000002</v>
      </c>
      <c r="Q62" s="321">
        <v>2.6991100000000001</v>
      </c>
      <c r="R62" s="321">
        <v>2.6560039999999998</v>
      </c>
      <c r="S62" s="321">
        <v>2.285914</v>
      </c>
      <c r="T62" s="321">
        <v>2.34761</v>
      </c>
      <c r="U62" s="321">
        <v>2.416207</v>
      </c>
      <c r="V62" s="321">
        <v>2.681527</v>
      </c>
      <c r="W62" s="321">
        <v>2.1889910000000001</v>
      </c>
      <c r="X62" s="321">
        <v>1.9170020000000001</v>
      </c>
      <c r="Y62" s="321">
        <v>2.1671260000000001</v>
      </c>
      <c r="Z62" s="321">
        <v>2.9774729999999998</v>
      </c>
      <c r="AA62" s="321">
        <v>3.3433090000000001</v>
      </c>
      <c r="AB62" s="321">
        <v>2.178709</v>
      </c>
      <c r="AC62" s="321">
        <v>3.0335610000000002</v>
      </c>
      <c r="AD62" s="321">
        <v>2.3973559999999998</v>
      </c>
      <c r="AE62" s="52">
        <f>'User Add-in Location'!B68</f>
        <v>0</v>
      </c>
      <c r="AF62" s="52">
        <f>'User Add-in Location'!C68</f>
        <v>0</v>
      </c>
      <c r="AG62" s="321">
        <v>2.2532000000000001</v>
      </c>
      <c r="AH62" s="321">
        <v>1.881478</v>
      </c>
      <c r="AI62" s="321">
        <v>2.7538100000000001</v>
      </c>
      <c r="AJ62" s="321">
        <v>2.7810700000000002</v>
      </c>
      <c r="AK62" s="321">
        <v>2.072632</v>
      </c>
      <c r="AL62" s="321">
        <v>1.5968910000000001</v>
      </c>
      <c r="AM62" s="321">
        <v>2.0146280000000001</v>
      </c>
      <c r="AN62" s="321">
        <v>1.6361110000000001</v>
      </c>
      <c r="AO62" s="321">
        <v>2.4325969999999999</v>
      </c>
      <c r="AP62" s="321">
        <v>2.9877669999999998</v>
      </c>
      <c r="AQ62" s="321">
        <v>2.3666290000000001</v>
      </c>
      <c r="AR62" s="321">
        <v>3.080562</v>
      </c>
      <c r="AS62" s="324">
        <v>0</v>
      </c>
      <c r="AT62" s="324">
        <v>0</v>
      </c>
      <c r="AU62" s="324">
        <v>0</v>
      </c>
      <c r="AV62" s="324">
        <v>0</v>
      </c>
      <c r="AW62" s="324">
        <v>0</v>
      </c>
      <c r="AX62" s="324">
        <v>0</v>
      </c>
      <c r="AY62" s="324">
        <v>0</v>
      </c>
      <c r="AZ62" s="324">
        <v>0</v>
      </c>
      <c r="BA62" s="321">
        <v>1.598492</v>
      </c>
      <c r="BB62" s="321">
        <v>1.6966889999999999</v>
      </c>
      <c r="BC62" s="321">
        <v>2.3691879999999998</v>
      </c>
      <c r="BD62" s="321">
        <v>2.1599659999999998</v>
      </c>
      <c r="BE62" s="321">
        <v>2.7993749999999999</v>
      </c>
      <c r="BF62" s="321">
        <v>4.6135029999999997</v>
      </c>
      <c r="BG62" s="321">
        <v>2.3731710000000001</v>
      </c>
      <c r="BH62" s="321">
        <v>2.8274620000000001</v>
      </c>
      <c r="BI62" s="321">
        <v>2.0847790000000002</v>
      </c>
      <c r="BJ62" s="321">
        <v>1.5471410000000001</v>
      </c>
      <c r="BK62" s="321">
        <v>1.682164</v>
      </c>
      <c r="BL62" s="321">
        <v>2.4298250000000001</v>
      </c>
      <c r="BM62" s="321">
        <v>1.201468</v>
      </c>
    </row>
    <row r="63" spans="1:65">
      <c r="A63" s="315"/>
      <c r="B63" s="316"/>
      <c r="C63" s="408" t="s">
        <v>391</v>
      </c>
      <c r="D63" s="321">
        <v>1.743741</v>
      </c>
      <c r="E63" s="321">
        <v>2.6259070000000002</v>
      </c>
      <c r="F63" s="321">
        <v>1.978243</v>
      </c>
      <c r="G63" s="321">
        <v>1.8694379999999999</v>
      </c>
      <c r="H63" s="321">
        <v>1.8108850000000001</v>
      </c>
      <c r="I63" s="321">
        <v>1.6290830000000001</v>
      </c>
      <c r="J63" s="321">
        <v>1.9353340000000001</v>
      </c>
      <c r="K63" s="321">
        <v>1.91669</v>
      </c>
      <c r="L63" s="321">
        <v>0.78022100000000005</v>
      </c>
      <c r="M63" s="321">
        <v>2.223166</v>
      </c>
      <c r="N63" s="321">
        <v>1.960555</v>
      </c>
      <c r="O63" s="321">
        <v>0</v>
      </c>
      <c r="P63" s="321">
        <v>2.028953</v>
      </c>
      <c r="Q63" s="321">
        <v>2.519895</v>
      </c>
      <c r="R63" s="321">
        <v>2.3433549999999999</v>
      </c>
      <c r="S63" s="321">
        <v>2.250486</v>
      </c>
      <c r="T63" s="321">
        <v>1.977374</v>
      </c>
      <c r="U63" s="321">
        <v>2.1841889999999999</v>
      </c>
      <c r="V63" s="321">
        <v>2.2910979999999999</v>
      </c>
      <c r="W63" s="321">
        <v>2.3377430000000001</v>
      </c>
      <c r="X63" s="321">
        <v>1.7394019999999999</v>
      </c>
      <c r="Y63" s="321">
        <v>1.9973399999999999</v>
      </c>
      <c r="Z63" s="321">
        <v>2.5447090000000001</v>
      </c>
      <c r="AA63" s="321">
        <v>2.7223320000000002</v>
      </c>
      <c r="AB63" s="321">
        <v>2.0125630000000001</v>
      </c>
      <c r="AC63" s="321">
        <v>2.394593</v>
      </c>
      <c r="AD63" s="321">
        <v>1.990435</v>
      </c>
      <c r="AE63" s="52">
        <f>'User Add-in Location'!B69</f>
        <v>0</v>
      </c>
      <c r="AF63" s="52">
        <f>'User Add-in Location'!C69</f>
        <v>0</v>
      </c>
      <c r="AG63" s="321">
        <v>1.820106</v>
      </c>
      <c r="AH63" s="321">
        <v>1.7268509999999999</v>
      </c>
      <c r="AI63" s="321">
        <v>1.9710160000000001</v>
      </c>
      <c r="AJ63" s="321">
        <v>2.2156790000000002</v>
      </c>
      <c r="AK63" s="321">
        <v>1.701681</v>
      </c>
      <c r="AL63" s="321">
        <v>1.62659</v>
      </c>
      <c r="AM63" s="321">
        <v>1.796441</v>
      </c>
      <c r="AN63" s="321">
        <v>1.327688</v>
      </c>
      <c r="AO63" s="321">
        <v>1.9762040000000001</v>
      </c>
      <c r="AP63" s="321">
        <v>2.58901</v>
      </c>
      <c r="AQ63" s="321">
        <v>2.207354</v>
      </c>
      <c r="AR63" s="321">
        <v>2.7511779999999999</v>
      </c>
      <c r="AS63" s="324">
        <v>0</v>
      </c>
      <c r="AT63" s="324">
        <v>0</v>
      </c>
      <c r="AU63" s="324">
        <v>0</v>
      </c>
      <c r="AV63" s="324">
        <v>0</v>
      </c>
      <c r="AW63" s="324">
        <v>0</v>
      </c>
      <c r="AX63" s="324">
        <v>0</v>
      </c>
      <c r="AY63" s="324">
        <v>0</v>
      </c>
      <c r="AZ63" s="324">
        <v>0</v>
      </c>
      <c r="BA63" s="321">
        <v>1.6387780000000001</v>
      </c>
      <c r="BB63" s="321">
        <v>1.299755</v>
      </c>
      <c r="BC63" s="321">
        <v>2.1012119999999999</v>
      </c>
      <c r="BD63" s="321">
        <v>1.732575</v>
      </c>
      <c r="BE63" s="321">
        <v>2.5968290000000001</v>
      </c>
      <c r="BF63" s="321">
        <v>4.2368990000000002</v>
      </c>
      <c r="BG63" s="321">
        <v>2.3623210000000001</v>
      </c>
      <c r="BH63" s="321">
        <v>2.7433209999999999</v>
      </c>
      <c r="BI63" s="321">
        <v>1.8540490000000001</v>
      </c>
      <c r="BJ63" s="321">
        <v>1.440035</v>
      </c>
      <c r="BK63" s="321">
        <v>1.559234</v>
      </c>
      <c r="BL63" s="321">
        <v>2.3377629999999998</v>
      </c>
      <c r="BM63" s="321">
        <v>1.004167</v>
      </c>
    </row>
    <row r="64" spans="1:65">
      <c r="A64" s="315"/>
      <c r="B64" s="316"/>
      <c r="C64" s="408" t="s">
        <v>392</v>
      </c>
      <c r="D64" s="321">
        <v>1.6717249999999999</v>
      </c>
      <c r="E64" s="321">
        <v>0</v>
      </c>
      <c r="F64" s="321">
        <v>1.6248389999999999</v>
      </c>
      <c r="G64" s="321">
        <v>2.20425</v>
      </c>
      <c r="H64" s="321">
        <v>1.7421660000000001</v>
      </c>
      <c r="I64" s="321">
        <v>1.729657</v>
      </c>
      <c r="J64" s="321">
        <v>1.974855</v>
      </c>
      <c r="K64" s="321">
        <v>1.7979210000000001</v>
      </c>
      <c r="L64" s="321">
        <v>0</v>
      </c>
      <c r="M64" s="321">
        <v>2.3409019999999998</v>
      </c>
      <c r="N64" s="321">
        <v>1.991409</v>
      </c>
      <c r="O64" s="321">
        <v>0</v>
      </c>
      <c r="P64" s="321">
        <v>0</v>
      </c>
      <c r="Q64" s="321">
        <v>2.6941250000000001</v>
      </c>
      <c r="R64" s="321">
        <v>2.6068549999999999</v>
      </c>
      <c r="S64" s="321">
        <v>2.3508879999999999</v>
      </c>
      <c r="T64" s="321">
        <v>2.1273490000000002</v>
      </c>
      <c r="U64" s="321">
        <v>2.240971</v>
      </c>
      <c r="V64" s="321">
        <v>2.6093150000000001</v>
      </c>
      <c r="W64" s="321">
        <v>0</v>
      </c>
      <c r="X64" s="321">
        <v>2.0441769999999999</v>
      </c>
      <c r="Y64" s="321">
        <v>1.7559309999999999</v>
      </c>
      <c r="Z64" s="321">
        <v>2.79562</v>
      </c>
      <c r="AA64" s="321">
        <v>2.6708910000000001</v>
      </c>
      <c r="AB64" s="321">
        <v>2.1446160000000001</v>
      </c>
      <c r="AC64" s="321">
        <v>2.6497739999999999</v>
      </c>
      <c r="AD64" s="321">
        <v>0</v>
      </c>
      <c r="AE64" s="52">
        <f>'User Add-in Location'!B70</f>
        <v>0</v>
      </c>
      <c r="AF64" s="52">
        <f>'User Add-in Location'!C70</f>
        <v>0</v>
      </c>
      <c r="AG64" s="321">
        <v>0</v>
      </c>
      <c r="AH64" s="321">
        <v>1.7954509999999999</v>
      </c>
      <c r="AI64" s="321">
        <v>0</v>
      </c>
      <c r="AJ64" s="321">
        <v>2.2780659999999999</v>
      </c>
      <c r="AK64" s="321">
        <v>0</v>
      </c>
      <c r="AL64" s="321">
        <v>1.577045</v>
      </c>
      <c r="AM64" s="321">
        <v>1.9793719999999999</v>
      </c>
      <c r="AN64" s="321">
        <v>0</v>
      </c>
      <c r="AO64" s="321">
        <v>2.159618</v>
      </c>
      <c r="AP64" s="321">
        <v>2.5187710000000001</v>
      </c>
      <c r="AQ64" s="321">
        <v>2.14053</v>
      </c>
      <c r="AR64" s="321">
        <v>2.8690419999999999</v>
      </c>
      <c r="AS64" s="324">
        <v>0</v>
      </c>
      <c r="AT64" s="324">
        <v>0</v>
      </c>
      <c r="AU64" s="324">
        <v>0</v>
      </c>
      <c r="AV64" s="324">
        <v>0</v>
      </c>
      <c r="AW64" s="324">
        <v>0</v>
      </c>
      <c r="AX64" s="324">
        <v>0</v>
      </c>
      <c r="AY64" s="324">
        <v>0</v>
      </c>
      <c r="AZ64" s="324">
        <v>0</v>
      </c>
      <c r="BA64" s="321">
        <v>1.6302319999999999</v>
      </c>
      <c r="BB64" s="321">
        <v>1.4325159999999999</v>
      </c>
      <c r="BC64" s="321">
        <v>0</v>
      </c>
      <c r="BD64" s="321">
        <v>1.9981819999999999</v>
      </c>
      <c r="BE64" s="321">
        <v>2.7305259999999998</v>
      </c>
      <c r="BF64" s="321">
        <v>4.300116</v>
      </c>
      <c r="BG64" s="321">
        <v>2.2721990000000001</v>
      </c>
      <c r="BH64" s="321">
        <v>0</v>
      </c>
      <c r="BI64" s="321">
        <v>1.9073340000000001</v>
      </c>
      <c r="BJ64" s="321">
        <v>1.0803830000000001</v>
      </c>
      <c r="BK64" s="321">
        <v>1.7002740000000001</v>
      </c>
      <c r="BL64" s="321">
        <v>2.2151350000000001</v>
      </c>
      <c r="BM64" s="321">
        <v>0</v>
      </c>
    </row>
    <row r="65" spans="3:65">
      <c r="C65" s="408" t="s">
        <v>393</v>
      </c>
      <c r="D65" s="321">
        <v>1.2841119999999999</v>
      </c>
      <c r="E65" s="321">
        <v>0</v>
      </c>
      <c r="F65" s="321">
        <v>1.289644</v>
      </c>
      <c r="G65" s="321">
        <v>1.8021959999999999</v>
      </c>
      <c r="H65" s="321">
        <v>1.4077660000000001</v>
      </c>
      <c r="I65" s="321">
        <v>1.4332830000000001</v>
      </c>
      <c r="J65" s="321">
        <v>1.680823</v>
      </c>
      <c r="K65" s="321">
        <v>0</v>
      </c>
      <c r="L65" s="321">
        <v>0.70884199999999997</v>
      </c>
      <c r="M65" s="321">
        <v>1.7500990000000001</v>
      </c>
      <c r="N65" s="321">
        <v>1.5421560000000001</v>
      </c>
      <c r="O65" s="321">
        <v>0</v>
      </c>
      <c r="P65" s="321">
        <v>1.638582</v>
      </c>
      <c r="Q65" s="321">
        <v>2.32647</v>
      </c>
      <c r="R65" s="321">
        <v>2.0849190000000002</v>
      </c>
      <c r="S65" s="321">
        <v>0</v>
      </c>
      <c r="T65" s="321">
        <v>1.70339</v>
      </c>
      <c r="U65" s="321">
        <v>1.6920010000000001</v>
      </c>
      <c r="V65" s="321">
        <v>2.095904</v>
      </c>
      <c r="W65" s="321">
        <v>1.811593</v>
      </c>
      <c r="X65" s="321">
        <v>1.6443140000000001</v>
      </c>
      <c r="Y65" s="321">
        <v>1.5079670000000001</v>
      </c>
      <c r="Z65" s="321">
        <v>1.882684</v>
      </c>
      <c r="AA65" s="321">
        <v>2.4561999999999999</v>
      </c>
      <c r="AB65" s="321">
        <v>1.7780119999999999</v>
      </c>
      <c r="AC65" s="321">
        <v>0</v>
      </c>
      <c r="AD65" s="321">
        <v>1.508478</v>
      </c>
      <c r="AE65" s="52">
        <f>'User Add-in Location'!B71</f>
        <v>0</v>
      </c>
      <c r="AF65" s="52">
        <f>'User Add-in Location'!C71</f>
        <v>0</v>
      </c>
      <c r="AG65" s="321">
        <v>1.842354</v>
      </c>
      <c r="AH65" s="321">
        <v>1.413775</v>
      </c>
      <c r="AI65" s="321">
        <v>1.9305140000000001</v>
      </c>
      <c r="AJ65" s="321">
        <v>1.9415610000000001</v>
      </c>
      <c r="AK65" s="321">
        <v>1.306214</v>
      </c>
      <c r="AL65" s="321">
        <v>1.201465</v>
      </c>
      <c r="AM65" s="321">
        <v>1.6499330000000001</v>
      </c>
      <c r="AN65" s="321">
        <v>1.1932529999999999</v>
      </c>
      <c r="AO65" s="321">
        <v>1.6287050000000001</v>
      </c>
      <c r="AP65" s="321">
        <v>0</v>
      </c>
      <c r="AQ65" s="321">
        <v>0</v>
      </c>
      <c r="AR65" s="321">
        <v>2.2762340000000001</v>
      </c>
      <c r="AS65" s="324">
        <v>0</v>
      </c>
      <c r="AT65" s="324">
        <v>0</v>
      </c>
      <c r="AU65" s="324">
        <v>0</v>
      </c>
      <c r="AV65" s="324">
        <v>0</v>
      </c>
      <c r="AW65" s="324">
        <v>0</v>
      </c>
      <c r="AX65" s="324">
        <v>0</v>
      </c>
      <c r="AY65" s="324">
        <v>0</v>
      </c>
      <c r="AZ65" s="324">
        <v>0</v>
      </c>
      <c r="BA65" s="321">
        <v>1.114123</v>
      </c>
      <c r="BB65" s="321">
        <v>1.123599</v>
      </c>
      <c r="BC65" s="321">
        <v>0</v>
      </c>
      <c r="BD65" s="321">
        <v>1.3378540000000001</v>
      </c>
      <c r="BE65" s="321">
        <v>2.3608739999999999</v>
      </c>
      <c r="BF65" s="321">
        <v>3.6886610000000002</v>
      </c>
      <c r="BG65" s="321">
        <v>1.779477</v>
      </c>
      <c r="BH65" s="321">
        <v>2.0467010000000001</v>
      </c>
      <c r="BI65" s="321">
        <v>1.4812050000000001</v>
      </c>
      <c r="BJ65" s="321">
        <v>0.91676500000000005</v>
      </c>
      <c r="BK65" s="321">
        <v>1.247892</v>
      </c>
      <c r="BL65" s="321">
        <v>1.465471</v>
      </c>
      <c r="BM65" s="321">
        <v>0.57653299999999996</v>
      </c>
    </row>
    <row r="66" spans="3:65">
      <c r="C66" s="408" t="s">
        <v>394</v>
      </c>
      <c r="D66" s="321">
        <v>2.0674600000000001</v>
      </c>
      <c r="E66" s="321">
        <v>1.542584</v>
      </c>
      <c r="F66" s="321">
        <v>2.238737</v>
      </c>
      <c r="G66" s="321">
        <v>2.0527220000000002</v>
      </c>
      <c r="H66" s="321">
        <v>1.608401</v>
      </c>
      <c r="I66" s="321">
        <v>2.3689650000000002</v>
      </c>
      <c r="J66" s="321">
        <v>1.9734510000000001</v>
      </c>
      <c r="K66" s="321">
        <v>1.7678560000000001</v>
      </c>
      <c r="L66" s="321">
        <v>0.58586700000000003</v>
      </c>
      <c r="M66" s="321">
        <v>2.6738710000000001</v>
      </c>
      <c r="N66" s="321">
        <v>2.11381</v>
      </c>
      <c r="O66" s="321">
        <v>2.079504</v>
      </c>
      <c r="P66" s="321">
        <v>2.4167830000000001</v>
      </c>
      <c r="Q66" s="321">
        <v>2.5764490000000002</v>
      </c>
      <c r="R66" s="321">
        <v>2.6713049999999998</v>
      </c>
      <c r="S66" s="321">
        <v>2.3849689999999999</v>
      </c>
      <c r="T66" s="321">
        <v>2.0747939999999998</v>
      </c>
      <c r="U66" s="321">
        <v>2.0374140000000001</v>
      </c>
      <c r="V66" s="321">
        <v>2.4067280000000002</v>
      </c>
      <c r="W66" s="321">
        <v>2.4600689999999998</v>
      </c>
      <c r="X66" s="321">
        <v>2.0897480000000002</v>
      </c>
      <c r="Y66" s="321">
        <v>2.168952</v>
      </c>
      <c r="Z66" s="321">
        <v>2.8745599999999998</v>
      </c>
      <c r="AA66" s="321">
        <v>3.1109719999999998</v>
      </c>
      <c r="AB66" s="321">
        <v>2.1249020000000001</v>
      </c>
      <c r="AC66" s="321">
        <v>3.1214780000000002</v>
      </c>
      <c r="AD66" s="321">
        <v>2.5307759999999999</v>
      </c>
      <c r="AE66" s="52">
        <f>'User Add-in Location'!B72</f>
        <v>0</v>
      </c>
      <c r="AF66" s="52">
        <f>'User Add-in Location'!C72</f>
        <v>0</v>
      </c>
      <c r="AG66" s="321">
        <v>2.3378459999999999</v>
      </c>
      <c r="AH66" s="321">
        <v>1.9333480000000001</v>
      </c>
      <c r="AI66" s="321">
        <v>2.9391419999999999</v>
      </c>
      <c r="AJ66" s="321">
        <v>2.3350979999999999</v>
      </c>
      <c r="AK66" s="321">
        <v>2.2740939999999998</v>
      </c>
      <c r="AL66" s="321">
        <v>1.6687080000000001</v>
      </c>
      <c r="AM66" s="321">
        <v>2.060648</v>
      </c>
      <c r="AN66" s="321">
        <v>2.1136339999999998</v>
      </c>
      <c r="AO66" s="321">
        <v>2.5166879999999998</v>
      </c>
      <c r="AP66" s="321">
        <v>2.445309</v>
      </c>
      <c r="AQ66" s="321">
        <v>2.7015549999999999</v>
      </c>
      <c r="AR66" s="321">
        <v>2.8796759999999999</v>
      </c>
      <c r="AS66" s="324">
        <v>0</v>
      </c>
      <c r="AT66" s="324">
        <v>0</v>
      </c>
      <c r="AU66" s="324">
        <v>0</v>
      </c>
      <c r="AV66" s="324">
        <v>0</v>
      </c>
      <c r="AW66" s="324">
        <v>0</v>
      </c>
      <c r="AX66" s="324">
        <v>0</v>
      </c>
      <c r="AY66" s="324">
        <v>0</v>
      </c>
      <c r="AZ66" s="324">
        <v>0</v>
      </c>
      <c r="BA66" s="321">
        <v>1.8525590000000001</v>
      </c>
      <c r="BB66" s="321">
        <v>1.6969339999999999</v>
      </c>
      <c r="BC66" s="321">
        <v>2.5449470000000001</v>
      </c>
      <c r="BD66" s="321">
        <v>2.2299850000000001</v>
      </c>
      <c r="BE66" s="321">
        <v>2.4872390000000002</v>
      </c>
      <c r="BF66" s="321">
        <v>4.2847220000000004</v>
      </c>
      <c r="BG66" s="321">
        <v>2.3784000000000001</v>
      </c>
      <c r="BH66" s="321">
        <v>2.7443919999999999</v>
      </c>
      <c r="BI66" s="321">
        <v>2.1497310000000001</v>
      </c>
      <c r="BJ66" s="321">
        <v>1.562613</v>
      </c>
      <c r="BK66" s="321">
        <v>1.668811</v>
      </c>
      <c r="BL66" s="321">
        <v>2.8215859999999999</v>
      </c>
      <c r="BM66" s="321">
        <v>1.1447160000000001</v>
      </c>
    </row>
    <row r="67" spans="3:65">
      <c r="C67" s="408" t="s">
        <v>395</v>
      </c>
      <c r="D67" s="321">
        <v>2.3551950000000001</v>
      </c>
      <c r="E67" s="321">
        <v>2.3950309999999999</v>
      </c>
      <c r="F67" s="321">
        <v>2.471371</v>
      </c>
      <c r="G67" s="321">
        <v>2.5426229999999999</v>
      </c>
      <c r="H67" s="321">
        <v>1.976235</v>
      </c>
      <c r="I67" s="321">
        <v>2.4741629999999999</v>
      </c>
      <c r="J67" s="321">
        <v>2.2982710000000002</v>
      </c>
      <c r="K67" s="321">
        <v>2.2542300000000002</v>
      </c>
      <c r="L67" s="321">
        <v>0.67526200000000003</v>
      </c>
      <c r="M67" s="321">
        <v>3.099647</v>
      </c>
      <c r="N67" s="321">
        <v>2.493344</v>
      </c>
      <c r="O67" s="321">
        <v>2.3422740000000002</v>
      </c>
      <c r="P67" s="321">
        <v>2.9633660000000002</v>
      </c>
      <c r="Q67" s="321">
        <v>2.8186</v>
      </c>
      <c r="R67" s="321">
        <v>3.0296400000000001</v>
      </c>
      <c r="S67" s="321">
        <v>2.7578010000000002</v>
      </c>
      <c r="T67" s="321">
        <v>2.2364989999999998</v>
      </c>
      <c r="U67" s="321">
        <v>2.715951</v>
      </c>
      <c r="V67" s="321">
        <v>2.7199179999999998</v>
      </c>
      <c r="W67" s="321">
        <v>3.0069270000000001</v>
      </c>
      <c r="X67" s="321">
        <v>2.437786</v>
      </c>
      <c r="Y67" s="321">
        <v>2.5324040000000001</v>
      </c>
      <c r="Z67" s="321">
        <v>3.2914819999999998</v>
      </c>
      <c r="AA67" s="321">
        <v>3.377008</v>
      </c>
      <c r="AB67" s="321">
        <v>2.604568</v>
      </c>
      <c r="AC67" s="321">
        <v>3.4069759999999998</v>
      </c>
      <c r="AD67" s="321">
        <v>3.5505770000000001</v>
      </c>
      <c r="AE67" s="52">
        <f>'User Add-in Location'!B73</f>
        <v>0</v>
      </c>
      <c r="AF67" s="52">
        <f>'User Add-in Location'!C73</f>
        <v>0</v>
      </c>
      <c r="AG67" s="321">
        <v>2.7659829999999999</v>
      </c>
      <c r="AH67" s="321">
        <v>2.2220209999999998</v>
      </c>
      <c r="AI67" s="321">
        <v>3.2892329999999999</v>
      </c>
      <c r="AJ67" s="321">
        <v>2.8629980000000002</v>
      </c>
      <c r="AK67" s="321">
        <v>2.8543560000000001</v>
      </c>
      <c r="AL67" s="321">
        <v>1.9658659999999999</v>
      </c>
      <c r="AM67" s="321">
        <v>2.4009589999999998</v>
      </c>
      <c r="AN67" s="321">
        <v>2.6447639999999999</v>
      </c>
      <c r="AO67" s="321">
        <v>2.7587079999999999</v>
      </c>
      <c r="AP67" s="321">
        <v>2.9205030000000001</v>
      </c>
      <c r="AQ67" s="321">
        <v>3.3306689999999999</v>
      </c>
      <c r="AR67" s="321">
        <v>3.339013</v>
      </c>
      <c r="AS67" s="324">
        <v>0</v>
      </c>
      <c r="AT67" s="324">
        <v>0</v>
      </c>
      <c r="AU67" s="324">
        <v>0</v>
      </c>
      <c r="AV67" s="324">
        <v>0</v>
      </c>
      <c r="AW67" s="324">
        <v>0</v>
      </c>
      <c r="AX67" s="324">
        <v>0</v>
      </c>
      <c r="AY67" s="324">
        <v>0</v>
      </c>
      <c r="AZ67" s="324">
        <v>0</v>
      </c>
      <c r="BA67" s="321">
        <v>2.2971379999999999</v>
      </c>
      <c r="BB67" s="321">
        <v>2.1094849999999998</v>
      </c>
      <c r="BC67" s="321">
        <v>3.0573610000000002</v>
      </c>
      <c r="BD67" s="321">
        <v>2.7680709999999999</v>
      </c>
      <c r="BE67" s="321">
        <v>2.9750740000000002</v>
      </c>
      <c r="BF67" s="321">
        <v>4.8711039999999999</v>
      </c>
      <c r="BG67" s="321">
        <v>2.6348099999999999</v>
      </c>
      <c r="BH67" s="321">
        <v>3.4735589999999998</v>
      </c>
      <c r="BI67" s="321">
        <v>2.3876040000000001</v>
      </c>
      <c r="BJ67" s="321">
        <v>1.886825</v>
      </c>
      <c r="BK67" s="321">
        <v>2.1217250000000001</v>
      </c>
      <c r="BL67" s="321">
        <v>3.0527679999999999</v>
      </c>
      <c r="BM67" s="321">
        <v>1.318082</v>
      </c>
    </row>
    <row r="68" spans="3:65">
      <c r="C68" s="408" t="s">
        <v>396</v>
      </c>
      <c r="D68" s="321">
        <v>1.829367</v>
      </c>
      <c r="E68" s="321">
        <v>1.043277</v>
      </c>
      <c r="F68" s="321">
        <v>1.740313</v>
      </c>
      <c r="G68" s="321">
        <v>2.206588</v>
      </c>
      <c r="H68" s="321">
        <v>1.5842860000000001</v>
      </c>
      <c r="I68" s="321">
        <v>2.350133</v>
      </c>
      <c r="J68" s="321">
        <v>1.793831</v>
      </c>
      <c r="K68" s="321">
        <v>1.6076630000000001</v>
      </c>
      <c r="L68" s="321">
        <v>0.460426</v>
      </c>
      <c r="M68" s="321">
        <v>2.0965180000000001</v>
      </c>
      <c r="N68" s="321">
        <v>1.9611000000000001</v>
      </c>
      <c r="O68" s="321">
        <v>1.350741</v>
      </c>
      <c r="P68" s="321">
        <v>2.263903</v>
      </c>
      <c r="Q68" s="321">
        <v>2.456823</v>
      </c>
      <c r="R68" s="321">
        <v>2.4684439999999999</v>
      </c>
      <c r="S68" s="321">
        <v>2.2035939999999998</v>
      </c>
      <c r="T68" s="321">
        <v>2.3660969999999999</v>
      </c>
      <c r="U68" s="321">
        <v>2.070592</v>
      </c>
      <c r="V68" s="321">
        <v>2.2527400000000002</v>
      </c>
      <c r="W68" s="321">
        <v>2.19069</v>
      </c>
      <c r="X68" s="321">
        <v>1.813326</v>
      </c>
      <c r="Y68" s="321">
        <v>1.677751</v>
      </c>
      <c r="Z68" s="321">
        <v>2.5320130000000001</v>
      </c>
      <c r="AA68" s="321">
        <v>2.8101280000000002</v>
      </c>
      <c r="AB68" s="321">
        <v>1.9799420000000001</v>
      </c>
      <c r="AC68" s="321">
        <v>2.7582909999999998</v>
      </c>
      <c r="AD68" s="321">
        <v>2.3146689999999999</v>
      </c>
      <c r="AE68" s="52">
        <f>'User Add-in Location'!B74</f>
        <v>0</v>
      </c>
      <c r="AF68" s="52">
        <f>'User Add-in Location'!C74</f>
        <v>0</v>
      </c>
      <c r="AG68" s="321">
        <v>2.8960309999999998</v>
      </c>
      <c r="AH68" s="321">
        <v>1.58839</v>
      </c>
      <c r="AI68" s="321">
        <v>1.9097550000000001</v>
      </c>
      <c r="AJ68" s="321">
        <v>2.1058919999999999</v>
      </c>
      <c r="AK68" s="321">
        <v>2.0460509999999998</v>
      </c>
      <c r="AL68" s="321">
        <v>1.4034869999999999</v>
      </c>
      <c r="AM68" s="321">
        <v>1.8457600000000001</v>
      </c>
      <c r="AN68" s="321">
        <v>2.2040009999999999</v>
      </c>
      <c r="AO68" s="321">
        <v>2.4801799999999998</v>
      </c>
      <c r="AP68" s="321">
        <v>3.6474739999999999</v>
      </c>
      <c r="AQ68" s="321">
        <v>2.2583769999999999</v>
      </c>
      <c r="AR68" s="321">
        <v>3.2770950000000001</v>
      </c>
      <c r="AS68" s="324">
        <v>0</v>
      </c>
      <c r="AT68" s="324">
        <v>0</v>
      </c>
      <c r="AU68" s="324">
        <v>0</v>
      </c>
      <c r="AV68" s="324">
        <v>0</v>
      </c>
      <c r="AW68" s="324">
        <v>0</v>
      </c>
      <c r="AX68" s="324">
        <v>0</v>
      </c>
      <c r="AY68" s="324">
        <v>0</v>
      </c>
      <c r="AZ68" s="324">
        <v>0</v>
      </c>
      <c r="BA68" s="321">
        <v>1.2758119999999999</v>
      </c>
      <c r="BB68" s="321">
        <v>1.444096</v>
      </c>
      <c r="BC68" s="321">
        <v>2.5262869999999999</v>
      </c>
      <c r="BD68" s="321">
        <v>2.2364739999999999</v>
      </c>
      <c r="BE68" s="321">
        <v>3.0386790000000001</v>
      </c>
      <c r="BF68" s="321">
        <v>4.3316129999999999</v>
      </c>
      <c r="BG68" s="321">
        <v>2.114849</v>
      </c>
      <c r="BH68" s="321">
        <v>2.5251169999999998</v>
      </c>
      <c r="BI68" s="321">
        <v>1.814991</v>
      </c>
      <c r="BJ68" s="321">
        <v>1.370301</v>
      </c>
      <c r="BK68" s="321">
        <v>1.6178779999999999</v>
      </c>
      <c r="BL68" s="321">
        <v>2.5536300000000001</v>
      </c>
      <c r="BM68" s="321">
        <v>1.4547399999999999</v>
      </c>
    </row>
    <row r="69" spans="3:65">
      <c r="C69" s="408" t="s">
        <v>397</v>
      </c>
      <c r="D69" s="321">
        <v>0.97282500000000005</v>
      </c>
      <c r="E69" s="321">
        <v>0.68827199999999999</v>
      </c>
      <c r="F69" s="321">
        <v>1.126879</v>
      </c>
      <c r="G69" s="321">
        <v>1.0433460000000001</v>
      </c>
      <c r="H69" s="321">
        <v>0.83241299999999996</v>
      </c>
      <c r="I69" s="321">
        <v>1.1593439999999999</v>
      </c>
      <c r="J69" s="321">
        <v>0.99977099999999997</v>
      </c>
      <c r="K69" s="321">
        <v>0.56645999999999996</v>
      </c>
      <c r="L69" s="321">
        <v>0.32514500000000002</v>
      </c>
      <c r="M69" s="321">
        <v>1.413851</v>
      </c>
      <c r="N69" s="321">
        <v>1.064036</v>
      </c>
      <c r="O69" s="321">
        <v>0.89543200000000001</v>
      </c>
      <c r="P69" s="321">
        <v>1.1565650000000001</v>
      </c>
      <c r="Q69" s="321">
        <v>1.335518</v>
      </c>
      <c r="R69" s="321">
        <v>1.6056429999999999</v>
      </c>
      <c r="S69" s="321">
        <v>1.1501710000000001</v>
      </c>
      <c r="T69" s="321">
        <v>1.1311819999999999</v>
      </c>
      <c r="U69" s="321">
        <v>1.1918409999999999</v>
      </c>
      <c r="V69" s="321">
        <v>1.124306</v>
      </c>
      <c r="W69" s="321">
        <v>1.1637310000000001</v>
      </c>
      <c r="X69" s="321">
        <v>0.98119699999999999</v>
      </c>
      <c r="Y69" s="321">
        <v>1.0207889999999999</v>
      </c>
      <c r="Z69" s="321">
        <v>1.4009849999999999</v>
      </c>
      <c r="AA69" s="321">
        <v>1.671246</v>
      </c>
      <c r="AB69" s="321">
        <v>0.89845900000000001</v>
      </c>
      <c r="AC69" s="321">
        <v>1.617318</v>
      </c>
      <c r="AD69" s="321">
        <v>1.2604630000000001</v>
      </c>
      <c r="AE69" s="52">
        <f>'User Add-in Location'!B75</f>
        <v>0</v>
      </c>
      <c r="AF69" s="52">
        <f>'User Add-in Location'!C75</f>
        <v>0</v>
      </c>
      <c r="AG69" s="321">
        <v>1.1642509999999999</v>
      </c>
      <c r="AH69" s="321">
        <v>0.78451899999999997</v>
      </c>
      <c r="AI69" s="321">
        <v>1.0991299999999999</v>
      </c>
      <c r="AJ69" s="321">
        <v>1.1831069999999999</v>
      </c>
      <c r="AK69" s="321">
        <v>0.93396100000000004</v>
      </c>
      <c r="AL69" s="321">
        <v>0.82687900000000003</v>
      </c>
      <c r="AM69" s="321">
        <v>0.99667399999999995</v>
      </c>
      <c r="AN69" s="321">
        <v>1.1694059999999999</v>
      </c>
      <c r="AO69" s="321">
        <v>1.1817930000000001</v>
      </c>
      <c r="AP69" s="321">
        <v>1.1776009999999999</v>
      </c>
      <c r="AQ69" s="321">
        <v>1.138558</v>
      </c>
      <c r="AR69" s="321">
        <v>1.5022249999999999</v>
      </c>
      <c r="AS69" s="324">
        <v>0</v>
      </c>
      <c r="AT69" s="324">
        <v>0</v>
      </c>
      <c r="AU69" s="324">
        <v>0</v>
      </c>
      <c r="AV69" s="324">
        <v>0</v>
      </c>
      <c r="AW69" s="324">
        <v>0</v>
      </c>
      <c r="AX69" s="324">
        <v>0</v>
      </c>
      <c r="AY69" s="324">
        <v>0</v>
      </c>
      <c r="AZ69" s="324">
        <v>0</v>
      </c>
      <c r="BA69" s="321">
        <v>0.82550699999999999</v>
      </c>
      <c r="BB69" s="321">
        <v>0.87334699999999998</v>
      </c>
      <c r="BC69" s="321">
        <v>1.2932250000000001</v>
      </c>
      <c r="BD69" s="321">
        <v>1.3000050000000001</v>
      </c>
      <c r="BE69" s="321">
        <v>1.5082100000000001</v>
      </c>
      <c r="BF69" s="321">
        <v>2.428795</v>
      </c>
      <c r="BG69" s="321">
        <v>1.172312</v>
      </c>
      <c r="BH69" s="321">
        <v>1.208154</v>
      </c>
      <c r="BI69" s="321">
        <v>0.93893800000000005</v>
      </c>
      <c r="BJ69" s="321">
        <v>0.71840099999999996</v>
      </c>
      <c r="BK69" s="321">
        <v>0.74653400000000003</v>
      </c>
      <c r="BL69" s="321">
        <v>1.3646430000000001</v>
      </c>
      <c r="BM69" s="321">
        <v>0.53086900000000004</v>
      </c>
    </row>
    <row r="70" spans="3:65">
      <c r="C70" s="408" t="s">
        <v>398</v>
      </c>
      <c r="D70" s="321">
        <v>2.0702880000000001</v>
      </c>
      <c r="E70" s="321">
        <v>1.7138679999999999</v>
      </c>
      <c r="F70" s="321">
        <v>2.696758</v>
      </c>
      <c r="G70" s="321">
        <v>2.1583079999999999</v>
      </c>
      <c r="H70" s="321">
        <v>2.075987</v>
      </c>
      <c r="I70" s="321">
        <v>2.5896499999999998</v>
      </c>
      <c r="J70" s="321">
        <v>2.8385980000000002</v>
      </c>
      <c r="K70" s="321">
        <v>1.3324830000000001</v>
      </c>
      <c r="L70" s="321">
        <v>0.73427200000000004</v>
      </c>
      <c r="M70" s="321">
        <v>3.598204</v>
      </c>
      <c r="N70" s="321">
        <v>1.7808269999999999</v>
      </c>
      <c r="O70" s="321">
        <v>2.2268699999999999</v>
      </c>
      <c r="P70" s="321">
        <v>2.6344129999999999</v>
      </c>
      <c r="Q70" s="321">
        <v>3.0242390000000001</v>
      </c>
      <c r="R70" s="321">
        <v>3.0551650000000001</v>
      </c>
      <c r="S70" s="321">
        <v>2.4363589999999999</v>
      </c>
      <c r="T70" s="321">
        <v>2.4895499999999999</v>
      </c>
      <c r="U70" s="321">
        <v>2.5651890000000002</v>
      </c>
      <c r="V70" s="321">
        <v>2.5199959999999999</v>
      </c>
      <c r="W70" s="321">
        <v>2.9798469999999999</v>
      </c>
      <c r="X70" s="321">
        <v>2.7340460000000002</v>
      </c>
      <c r="Y70" s="321">
        <v>2.6739639999999998</v>
      </c>
      <c r="Z70" s="321">
        <v>3.4610029999999998</v>
      </c>
      <c r="AA70" s="321">
        <v>3.327804</v>
      </c>
      <c r="AB70" s="321">
        <v>2.1122420000000002</v>
      </c>
      <c r="AC70" s="321">
        <v>3.5460039999999999</v>
      </c>
      <c r="AD70" s="321">
        <v>2.6841729999999999</v>
      </c>
      <c r="AE70" s="52">
        <f>'User Add-in Location'!B76</f>
        <v>0</v>
      </c>
      <c r="AF70" s="52">
        <f>'User Add-in Location'!C76</f>
        <v>0</v>
      </c>
      <c r="AG70" s="321">
        <v>2.9353699999999998</v>
      </c>
      <c r="AH70" s="321">
        <v>1.8269340000000001</v>
      </c>
      <c r="AI70" s="321">
        <v>3.288278</v>
      </c>
      <c r="AJ70" s="321">
        <v>3.322079</v>
      </c>
      <c r="AK70" s="321">
        <v>2.5706630000000001</v>
      </c>
      <c r="AL70" s="321">
        <v>1.756114</v>
      </c>
      <c r="AM70" s="321">
        <v>1.868714</v>
      </c>
      <c r="AN70" s="321">
        <v>2.3663319999999999</v>
      </c>
      <c r="AO70" s="321">
        <v>2.0795149999999998</v>
      </c>
      <c r="AP70" s="321">
        <v>2.639386</v>
      </c>
      <c r="AQ70" s="321">
        <v>2.8251569999999999</v>
      </c>
      <c r="AR70" s="321">
        <v>3.2772199999999998</v>
      </c>
      <c r="AS70" s="324">
        <v>0</v>
      </c>
      <c r="AT70" s="324">
        <v>0</v>
      </c>
      <c r="AU70" s="324">
        <v>0</v>
      </c>
      <c r="AV70" s="324">
        <v>0</v>
      </c>
      <c r="AW70" s="324">
        <v>0</v>
      </c>
      <c r="AX70" s="324">
        <v>0</v>
      </c>
      <c r="AY70" s="324">
        <v>0</v>
      </c>
      <c r="AZ70" s="324">
        <v>0</v>
      </c>
      <c r="BA70" s="321">
        <v>2.292249</v>
      </c>
      <c r="BB70" s="321">
        <v>2.4472420000000001</v>
      </c>
      <c r="BC70" s="321">
        <v>1.858757</v>
      </c>
      <c r="BD70" s="321">
        <v>2.6898909999999998</v>
      </c>
      <c r="BE70" s="321">
        <v>3.1062189999999998</v>
      </c>
      <c r="BF70" s="321">
        <v>4.9425140000000001</v>
      </c>
      <c r="BG70" s="321">
        <v>1.983792</v>
      </c>
      <c r="BH70" s="321">
        <v>3.3699880000000002</v>
      </c>
      <c r="BI70" s="321">
        <v>2.5121560000000001</v>
      </c>
      <c r="BJ70" s="321">
        <v>1.7851669999999999</v>
      </c>
      <c r="BK70" s="321">
        <v>1.9304030000000001</v>
      </c>
      <c r="BL70" s="321">
        <v>3.1424910000000001</v>
      </c>
      <c r="BM70" s="321">
        <v>1.033582</v>
      </c>
    </row>
    <row r="71" spans="3:65">
      <c r="C71" s="408" t="s">
        <v>399</v>
      </c>
      <c r="D71" s="321">
        <v>2.844592</v>
      </c>
      <c r="E71" s="321">
        <v>2.7859280000000002</v>
      </c>
      <c r="F71" s="321">
        <v>3.0701109999999998</v>
      </c>
      <c r="G71" s="321">
        <v>3.4448859999999999</v>
      </c>
      <c r="H71" s="321">
        <v>2.4517250000000002</v>
      </c>
      <c r="I71" s="321">
        <v>3.2512780000000001</v>
      </c>
      <c r="J71" s="321">
        <v>2.8154509999999999</v>
      </c>
      <c r="K71" s="321">
        <v>2.5152060000000001</v>
      </c>
      <c r="L71" s="321">
        <v>0.95809100000000003</v>
      </c>
      <c r="M71" s="321">
        <v>3.9405000000000001</v>
      </c>
      <c r="N71" s="321">
        <v>3.2244869999999999</v>
      </c>
      <c r="O71" s="321">
        <v>3.0099100000000001</v>
      </c>
      <c r="P71" s="321">
        <v>3.4019520000000001</v>
      </c>
      <c r="Q71" s="321">
        <v>3.6400839999999999</v>
      </c>
      <c r="R71" s="321">
        <v>3.2133039999999999</v>
      </c>
      <c r="S71" s="321">
        <v>3.1979150000000001</v>
      </c>
      <c r="T71" s="321">
        <v>2.8411309999999999</v>
      </c>
      <c r="U71" s="321">
        <v>3.09694</v>
      </c>
      <c r="V71" s="321">
        <v>3.379867</v>
      </c>
      <c r="W71" s="321">
        <v>3.6010270000000002</v>
      </c>
      <c r="X71" s="321">
        <v>3.0426410000000002</v>
      </c>
      <c r="Y71" s="321">
        <v>3.0099589999999998</v>
      </c>
      <c r="Z71" s="321">
        <v>4.1303650000000003</v>
      </c>
      <c r="AA71" s="321">
        <v>4.3833830000000003</v>
      </c>
      <c r="AB71" s="321">
        <v>3.0822379999999998</v>
      </c>
      <c r="AC71" s="321">
        <v>4.2447299999999997</v>
      </c>
      <c r="AD71" s="321">
        <v>3.5352100000000002</v>
      </c>
      <c r="AE71" s="52">
        <f>'User Add-in Location'!B77</f>
        <v>0</v>
      </c>
      <c r="AF71" s="52">
        <f>'User Add-in Location'!C77</f>
        <v>0</v>
      </c>
      <c r="AG71" s="321">
        <v>3.2566670000000002</v>
      </c>
      <c r="AH71" s="321">
        <v>2.9725619999999999</v>
      </c>
      <c r="AI71" s="321">
        <v>3.427003</v>
      </c>
      <c r="AJ71" s="321">
        <v>3.513331</v>
      </c>
      <c r="AK71" s="321">
        <v>3.4850059999999998</v>
      </c>
      <c r="AL71" s="321">
        <v>2.3502320000000001</v>
      </c>
      <c r="AM71" s="321">
        <v>2.7494510000000001</v>
      </c>
      <c r="AN71" s="321">
        <v>2.9962810000000002</v>
      </c>
      <c r="AO71" s="321">
        <v>3.623046</v>
      </c>
      <c r="AP71" s="321">
        <v>3.4302459999999999</v>
      </c>
      <c r="AQ71" s="321">
        <v>3.5679639999999999</v>
      </c>
      <c r="AR71" s="321">
        <v>4.0268319999999997</v>
      </c>
      <c r="AS71" s="324">
        <v>0</v>
      </c>
      <c r="AT71" s="324">
        <v>0</v>
      </c>
      <c r="AU71" s="324">
        <v>0</v>
      </c>
      <c r="AV71" s="324">
        <v>0</v>
      </c>
      <c r="AW71" s="324">
        <v>0</v>
      </c>
      <c r="AX71" s="324">
        <v>0</v>
      </c>
      <c r="AY71" s="324">
        <v>0</v>
      </c>
      <c r="AZ71" s="324">
        <v>0</v>
      </c>
      <c r="BA71" s="321">
        <v>2.5685340000000001</v>
      </c>
      <c r="BB71" s="321">
        <v>2.5623279999999999</v>
      </c>
      <c r="BC71" s="321">
        <v>3.4506649999999999</v>
      </c>
      <c r="BD71" s="321">
        <v>3.3328700000000002</v>
      </c>
      <c r="BE71" s="321">
        <v>3.531622</v>
      </c>
      <c r="BF71" s="321">
        <v>5.8918100000000004</v>
      </c>
      <c r="BG71" s="321">
        <v>3.087164</v>
      </c>
      <c r="BH71" s="321">
        <v>4.0995629999999998</v>
      </c>
      <c r="BI71" s="321">
        <v>3.269412</v>
      </c>
      <c r="BJ71" s="321">
        <v>2.1492689999999999</v>
      </c>
      <c r="BK71" s="321">
        <v>2.4567770000000002</v>
      </c>
      <c r="BL71" s="321">
        <v>3.7896990000000002</v>
      </c>
      <c r="BM71" s="321">
        <v>1.646207</v>
      </c>
    </row>
    <row r="72" spans="3:65">
      <c r="C72" s="408" t="s">
        <v>400</v>
      </c>
      <c r="D72" s="321">
        <v>2.9808370000000002</v>
      </c>
      <c r="E72" s="321">
        <v>2.6455350000000002</v>
      </c>
      <c r="F72" s="321">
        <v>2.9226139999999998</v>
      </c>
      <c r="G72" s="321">
        <v>3.1833930000000001</v>
      </c>
      <c r="H72" s="321">
        <v>2.1909770000000002</v>
      </c>
      <c r="I72" s="321">
        <v>2.8842129999999999</v>
      </c>
      <c r="J72" s="321">
        <v>2.6243859999999999</v>
      </c>
      <c r="K72" s="321">
        <v>2.5753469999999998</v>
      </c>
      <c r="L72" s="321">
        <v>1.1721649999999999</v>
      </c>
      <c r="M72" s="321">
        <v>3.6826789999999998</v>
      </c>
      <c r="N72" s="321">
        <v>3.079272</v>
      </c>
      <c r="O72" s="321">
        <v>3.0254910000000002</v>
      </c>
      <c r="P72" s="321">
        <v>3.1900819999999999</v>
      </c>
      <c r="Q72" s="321">
        <v>4.0041659999999997</v>
      </c>
      <c r="R72" s="321">
        <v>3.4560819999999999</v>
      </c>
      <c r="S72" s="321">
        <v>3.3534700000000002</v>
      </c>
      <c r="T72" s="321">
        <v>2.7799239999999998</v>
      </c>
      <c r="U72" s="321">
        <v>3.5205519999999999</v>
      </c>
      <c r="V72" s="321">
        <v>3.9328270000000001</v>
      </c>
      <c r="W72" s="321">
        <v>3.4708380000000001</v>
      </c>
      <c r="X72" s="321">
        <v>2.5804299999999998</v>
      </c>
      <c r="Y72" s="321">
        <v>2.3781099999999999</v>
      </c>
      <c r="Z72" s="321">
        <v>4.2075050000000003</v>
      </c>
      <c r="AA72" s="321">
        <v>4.0665250000000004</v>
      </c>
      <c r="AB72" s="321">
        <v>3.3571810000000002</v>
      </c>
      <c r="AC72" s="321">
        <v>4.3542699999999996</v>
      </c>
      <c r="AD72" s="321">
        <v>3.5611449999999998</v>
      </c>
      <c r="AE72" s="52">
        <f>'User Add-in Location'!B78</f>
        <v>0</v>
      </c>
      <c r="AF72" s="52">
        <f>'User Add-in Location'!C78</f>
        <v>0</v>
      </c>
      <c r="AG72" s="321">
        <v>3.4854419999999999</v>
      </c>
      <c r="AH72" s="321">
        <v>2.7965930000000001</v>
      </c>
      <c r="AI72" s="321">
        <v>3.1457099999999998</v>
      </c>
      <c r="AJ72" s="321">
        <v>3.2172969999999999</v>
      </c>
      <c r="AK72" s="321">
        <v>2.8070650000000001</v>
      </c>
      <c r="AL72" s="321">
        <v>2.6102889999999999</v>
      </c>
      <c r="AM72" s="321">
        <v>2.601213</v>
      </c>
      <c r="AN72" s="321">
        <v>3.0863589999999999</v>
      </c>
      <c r="AO72" s="321">
        <v>3.622817</v>
      </c>
      <c r="AP72" s="321">
        <v>3.6029620000000002</v>
      </c>
      <c r="AQ72" s="321">
        <v>3.4142079999999999</v>
      </c>
      <c r="AR72" s="321">
        <v>4.1810640000000001</v>
      </c>
      <c r="AS72" s="324">
        <v>0</v>
      </c>
      <c r="AT72" s="324">
        <v>0</v>
      </c>
      <c r="AU72" s="324">
        <v>0</v>
      </c>
      <c r="AV72" s="324">
        <v>0</v>
      </c>
      <c r="AW72" s="324">
        <v>0</v>
      </c>
      <c r="AX72" s="324">
        <v>0</v>
      </c>
      <c r="AY72" s="324">
        <v>0</v>
      </c>
      <c r="AZ72" s="324">
        <v>0</v>
      </c>
      <c r="BA72" s="321">
        <v>2.5342889999999998</v>
      </c>
      <c r="BB72" s="321">
        <v>2.5662579999999999</v>
      </c>
      <c r="BC72" s="321">
        <v>3.5015260000000001</v>
      </c>
      <c r="BD72" s="321">
        <v>3.4281869999999999</v>
      </c>
      <c r="BE72" s="321">
        <v>3.5148570000000001</v>
      </c>
      <c r="BF72" s="321">
        <v>5.5955750000000002</v>
      </c>
      <c r="BG72" s="321">
        <v>3.1606049999999999</v>
      </c>
      <c r="BH72" s="321">
        <v>3.622379</v>
      </c>
      <c r="BI72" s="321">
        <v>2.828503</v>
      </c>
      <c r="BJ72" s="321">
        <v>1.969792</v>
      </c>
      <c r="BK72" s="321">
        <v>3.5798770000000002</v>
      </c>
      <c r="BL72" s="321">
        <v>3.6693030000000002</v>
      </c>
      <c r="BM72" s="321">
        <v>1.733533</v>
      </c>
    </row>
    <row r="73" spans="3:65">
      <c r="C73" s="408" t="s">
        <v>401</v>
      </c>
      <c r="D73" s="321">
        <v>3.304027</v>
      </c>
      <c r="E73" s="321">
        <v>2.9610699999999999</v>
      </c>
      <c r="F73" s="321">
        <v>3.2204190000000001</v>
      </c>
      <c r="G73" s="321">
        <v>3.3345500000000001</v>
      </c>
      <c r="H73" s="321">
        <v>2.5270039999999998</v>
      </c>
      <c r="I73" s="321">
        <v>3.282368</v>
      </c>
      <c r="J73" s="321">
        <v>2.8498130000000002</v>
      </c>
      <c r="K73" s="321">
        <v>2.7799800000000001</v>
      </c>
      <c r="L73" s="321">
        <v>1.1073120000000001</v>
      </c>
      <c r="M73" s="321">
        <v>3.9570310000000002</v>
      </c>
      <c r="N73" s="321">
        <v>3.2813279999999998</v>
      </c>
      <c r="O73" s="321">
        <v>3.1851099999999999</v>
      </c>
      <c r="P73" s="321">
        <v>3.5743999999999998</v>
      </c>
      <c r="Q73" s="321">
        <v>4.0362010000000001</v>
      </c>
      <c r="R73" s="321">
        <v>3.660717</v>
      </c>
      <c r="S73" s="321">
        <v>3.5612309999999998</v>
      </c>
      <c r="T73" s="321">
        <v>3.1562160000000001</v>
      </c>
      <c r="U73" s="321">
        <v>3.5637289999999999</v>
      </c>
      <c r="V73" s="321">
        <v>4.0505950000000004</v>
      </c>
      <c r="W73" s="321">
        <v>3.8591419999999999</v>
      </c>
      <c r="X73" s="321">
        <v>3.0973999999999999</v>
      </c>
      <c r="Y73" s="321">
        <v>2.9245000000000001</v>
      </c>
      <c r="Z73" s="321">
        <v>4.4750059999999996</v>
      </c>
      <c r="AA73" s="321">
        <v>4.4580900000000003</v>
      </c>
      <c r="AB73" s="321">
        <v>3.4515920000000002</v>
      </c>
      <c r="AC73" s="321">
        <v>4.6839139999999997</v>
      </c>
      <c r="AD73" s="321">
        <v>3.816249</v>
      </c>
      <c r="AE73" s="52">
        <f>'User Add-in Location'!B79</f>
        <v>0</v>
      </c>
      <c r="AF73" s="52">
        <f>'User Add-in Location'!C79</f>
        <v>0</v>
      </c>
      <c r="AG73" s="321">
        <v>3.6416059999999999</v>
      </c>
      <c r="AH73" s="321">
        <v>3.0009260000000002</v>
      </c>
      <c r="AI73" s="321">
        <v>3.6525400000000001</v>
      </c>
      <c r="AJ73" s="321">
        <v>3.4963639999999998</v>
      </c>
      <c r="AK73" s="321">
        <v>3.448928</v>
      </c>
      <c r="AL73" s="321">
        <v>2.6223920000000001</v>
      </c>
      <c r="AM73" s="321">
        <v>2.9105029999999998</v>
      </c>
      <c r="AN73" s="321">
        <v>3.3425240000000001</v>
      </c>
      <c r="AO73" s="321">
        <v>3.7323339999999998</v>
      </c>
      <c r="AP73" s="321">
        <v>3.6700499999999998</v>
      </c>
      <c r="AQ73" s="321">
        <v>3.7010399999999999</v>
      </c>
      <c r="AR73" s="321">
        <v>4.3755230000000003</v>
      </c>
      <c r="AS73" s="324">
        <v>0</v>
      </c>
      <c r="AT73" s="324">
        <v>0</v>
      </c>
      <c r="AU73" s="324">
        <v>0</v>
      </c>
      <c r="AV73" s="324">
        <v>0</v>
      </c>
      <c r="AW73" s="324">
        <v>0</v>
      </c>
      <c r="AX73" s="324">
        <v>0</v>
      </c>
      <c r="AY73" s="324">
        <v>0</v>
      </c>
      <c r="AZ73" s="324">
        <v>0</v>
      </c>
      <c r="BA73" s="321">
        <v>2.6702029999999999</v>
      </c>
      <c r="BB73" s="321">
        <v>2.8209249999999999</v>
      </c>
      <c r="BC73" s="321">
        <v>3.691694</v>
      </c>
      <c r="BD73" s="321">
        <v>3.4736530000000001</v>
      </c>
      <c r="BE73" s="321">
        <v>3.911797</v>
      </c>
      <c r="BF73" s="321">
        <v>6.1823230000000002</v>
      </c>
      <c r="BG73" s="321">
        <v>3.36687</v>
      </c>
      <c r="BH73" s="321">
        <v>4.0363439999999997</v>
      </c>
      <c r="BI73" s="321">
        <v>3.308252</v>
      </c>
      <c r="BJ73" s="321">
        <v>2.3367520000000002</v>
      </c>
      <c r="BK73" s="321">
        <v>3.226756</v>
      </c>
      <c r="BL73" s="321">
        <v>3.9319820000000001</v>
      </c>
      <c r="BM73" s="321">
        <v>1.7803629999999999</v>
      </c>
    </row>
    <row r="74" spans="3:65">
      <c r="C74" s="408" t="s">
        <v>402</v>
      </c>
      <c r="D74" s="321">
        <v>2.7895219999999998</v>
      </c>
      <c r="E74" s="321">
        <v>2.6261510000000001</v>
      </c>
      <c r="F74" s="321">
        <v>2.876395</v>
      </c>
      <c r="G74" s="321">
        <v>3.0314990000000002</v>
      </c>
      <c r="H74" s="321">
        <v>2.2268379999999999</v>
      </c>
      <c r="I74" s="321">
        <v>2.7446009999999998</v>
      </c>
      <c r="J74" s="321">
        <v>2.4737650000000002</v>
      </c>
      <c r="K74" s="321">
        <v>2.2158500000000001</v>
      </c>
      <c r="L74" s="321">
        <v>0.75097700000000001</v>
      </c>
      <c r="M74" s="321">
        <v>3.4766849999999998</v>
      </c>
      <c r="N74" s="321">
        <v>2.694534</v>
      </c>
      <c r="O74" s="321">
        <v>2.6813370000000001</v>
      </c>
      <c r="P74" s="321">
        <v>3.2660870000000002</v>
      </c>
      <c r="Q74" s="321">
        <v>3.3483510000000001</v>
      </c>
      <c r="R74" s="321">
        <v>3.5103650000000002</v>
      </c>
      <c r="S74" s="321">
        <v>3.1646260000000002</v>
      </c>
      <c r="T74" s="321">
        <v>2.7454900000000002</v>
      </c>
      <c r="U74" s="321">
        <v>3.145743</v>
      </c>
      <c r="V74" s="321">
        <v>3.272993</v>
      </c>
      <c r="W74" s="321">
        <v>3.5661900000000002</v>
      </c>
      <c r="X74" s="321">
        <v>2.8908049999999998</v>
      </c>
      <c r="Y74" s="321">
        <v>2.746318</v>
      </c>
      <c r="Z74" s="321">
        <v>3.7565179999999998</v>
      </c>
      <c r="AA74" s="321">
        <v>3.9850829999999999</v>
      </c>
      <c r="AB74" s="321">
        <v>3.0074900000000002</v>
      </c>
      <c r="AC74" s="321">
        <v>3.9435190000000002</v>
      </c>
      <c r="AD74" s="321">
        <v>3.5381079999999998</v>
      </c>
      <c r="AE74" s="52">
        <f>'User Add-in Location'!B80</f>
        <v>0</v>
      </c>
      <c r="AF74" s="52">
        <f>'User Add-in Location'!C80</f>
        <v>0</v>
      </c>
      <c r="AG74" s="321">
        <v>3.1513629999999999</v>
      </c>
      <c r="AH74" s="321">
        <v>2.4468220000000001</v>
      </c>
      <c r="AI74" s="321">
        <v>3.4889070000000002</v>
      </c>
      <c r="AJ74" s="321">
        <v>3.192062</v>
      </c>
      <c r="AK74" s="321">
        <v>3.0452249999999998</v>
      </c>
      <c r="AL74" s="321">
        <v>2.1210290000000001</v>
      </c>
      <c r="AM74" s="321">
        <v>2.686315</v>
      </c>
      <c r="AN74" s="321">
        <v>2.8903439999999998</v>
      </c>
      <c r="AO74" s="321">
        <v>3.352325</v>
      </c>
      <c r="AP74" s="321">
        <v>3.2611110000000001</v>
      </c>
      <c r="AQ74" s="321">
        <v>3.4236040000000001</v>
      </c>
      <c r="AR74" s="321">
        <v>3.878085</v>
      </c>
      <c r="AS74" s="324">
        <v>0</v>
      </c>
      <c r="AT74" s="324">
        <v>0</v>
      </c>
      <c r="AU74" s="324">
        <v>0</v>
      </c>
      <c r="AV74" s="324">
        <v>0</v>
      </c>
      <c r="AW74" s="324">
        <v>0</v>
      </c>
      <c r="AX74" s="324">
        <v>0</v>
      </c>
      <c r="AY74" s="324">
        <v>0</v>
      </c>
      <c r="AZ74" s="324">
        <v>0</v>
      </c>
      <c r="BA74" s="321">
        <v>2.5041310000000001</v>
      </c>
      <c r="BB74" s="321">
        <v>2.364182</v>
      </c>
      <c r="BC74" s="321">
        <v>3.5014129999999999</v>
      </c>
      <c r="BD74" s="321">
        <v>3.1993580000000001</v>
      </c>
      <c r="BE74" s="321">
        <v>3.3290600000000001</v>
      </c>
      <c r="BF74" s="321">
        <v>5.4488880000000002</v>
      </c>
      <c r="BG74" s="321">
        <v>2.9202279999999998</v>
      </c>
      <c r="BH74" s="321">
        <v>3.9992869999999998</v>
      </c>
      <c r="BI74" s="321">
        <v>2.8971149999999999</v>
      </c>
      <c r="BJ74" s="321">
        <v>2.0090870000000001</v>
      </c>
      <c r="BK74" s="321">
        <v>2.6103890000000001</v>
      </c>
      <c r="BL74" s="321">
        <v>3.499771</v>
      </c>
      <c r="BM74" s="321">
        <v>1.5363690000000001</v>
      </c>
    </row>
    <row r="75" spans="3:65">
      <c r="C75" s="408" t="s">
        <v>403</v>
      </c>
      <c r="D75" s="321">
        <v>3.0894360000000001</v>
      </c>
      <c r="E75" s="321">
        <v>3.7054200000000002</v>
      </c>
      <c r="F75" s="321">
        <v>3.4740929999999999</v>
      </c>
      <c r="G75" s="321">
        <v>4.2086370000000004</v>
      </c>
      <c r="H75" s="321">
        <v>3.014329</v>
      </c>
      <c r="I75" s="321">
        <v>3.8104480000000001</v>
      </c>
      <c r="J75" s="321">
        <v>2.6343930000000002</v>
      </c>
      <c r="K75" s="321">
        <v>3.1407859999999999</v>
      </c>
      <c r="L75" s="321">
        <v>0.814357</v>
      </c>
      <c r="M75" s="321">
        <v>4.5842799999999997</v>
      </c>
      <c r="N75" s="321">
        <v>3.98245</v>
      </c>
      <c r="O75" s="321">
        <v>3.7662900000000001</v>
      </c>
      <c r="P75" s="321">
        <v>4.2575430000000001</v>
      </c>
      <c r="Q75" s="321">
        <v>4.7236409999999998</v>
      </c>
      <c r="R75" s="321">
        <v>4.3299640000000004</v>
      </c>
      <c r="S75" s="321">
        <v>4.0987049999999998</v>
      </c>
      <c r="T75" s="321">
        <v>3.6954470000000001</v>
      </c>
      <c r="U75" s="321">
        <v>4.0456539999999999</v>
      </c>
      <c r="V75" s="321">
        <v>4.7035330000000002</v>
      </c>
      <c r="W75" s="321">
        <v>5.0679489999999996</v>
      </c>
      <c r="X75" s="321">
        <v>2.9740669999999998</v>
      </c>
      <c r="Y75" s="321">
        <v>2.6120640000000002</v>
      </c>
      <c r="Z75" s="321">
        <v>5.0421449999999997</v>
      </c>
      <c r="AA75" s="321">
        <v>4.9573229999999997</v>
      </c>
      <c r="AB75" s="321">
        <v>4.5652020000000002</v>
      </c>
      <c r="AC75" s="321">
        <v>5.2112410000000002</v>
      </c>
      <c r="AD75" s="321">
        <v>4.8366660000000001</v>
      </c>
      <c r="AE75" s="52">
        <f>'User Add-in Location'!B81</f>
        <v>0</v>
      </c>
      <c r="AF75" s="52">
        <f>'User Add-in Location'!C81</f>
        <v>0</v>
      </c>
      <c r="AG75" s="321">
        <v>4.3741989999999999</v>
      </c>
      <c r="AH75" s="321">
        <v>3.9172609999999999</v>
      </c>
      <c r="AI75" s="321">
        <v>3.4180609999999998</v>
      </c>
      <c r="AJ75" s="321">
        <v>4.1338150000000002</v>
      </c>
      <c r="AK75" s="321">
        <v>2.8515799999999998</v>
      </c>
      <c r="AL75" s="321">
        <v>2.935006</v>
      </c>
      <c r="AM75" s="321">
        <v>3.6399629999999998</v>
      </c>
      <c r="AN75" s="321">
        <v>3.8231419999999998</v>
      </c>
      <c r="AO75" s="321">
        <v>4.3554490000000001</v>
      </c>
      <c r="AP75" s="321">
        <v>3.8434149999999998</v>
      </c>
      <c r="AQ75" s="321">
        <v>4.4205930000000002</v>
      </c>
      <c r="AR75" s="321">
        <v>4.6349840000000002</v>
      </c>
      <c r="AS75" s="324">
        <v>0</v>
      </c>
      <c r="AT75" s="324">
        <v>0</v>
      </c>
      <c r="AU75" s="324">
        <v>0</v>
      </c>
      <c r="AV75" s="324">
        <v>0</v>
      </c>
      <c r="AW75" s="324">
        <v>0</v>
      </c>
      <c r="AX75" s="324">
        <v>0</v>
      </c>
      <c r="AY75" s="324">
        <v>0</v>
      </c>
      <c r="AZ75" s="324">
        <v>0</v>
      </c>
      <c r="BA75" s="321">
        <v>2.9931990000000002</v>
      </c>
      <c r="BB75" s="321">
        <v>3.5232800000000002</v>
      </c>
      <c r="BC75" s="321">
        <v>4.4562200000000001</v>
      </c>
      <c r="BD75" s="321">
        <v>3.9410859999999999</v>
      </c>
      <c r="BE75" s="321">
        <v>4.2956580000000004</v>
      </c>
      <c r="BF75" s="321">
        <v>6.406263</v>
      </c>
      <c r="BG75" s="321">
        <v>3.8035519999999998</v>
      </c>
      <c r="BH75" s="321">
        <v>5.811515</v>
      </c>
      <c r="BI75" s="321">
        <v>3.7315149999999999</v>
      </c>
      <c r="BJ75" s="321">
        <v>2.7425660000000001</v>
      </c>
      <c r="BK75" s="321">
        <v>3.4382739999999998</v>
      </c>
      <c r="BL75" s="321">
        <v>4.8345830000000003</v>
      </c>
      <c r="BM75" s="321">
        <v>2.4254929999999999</v>
      </c>
    </row>
    <row r="76" spans="3:65">
      <c r="C76" s="408" t="s">
        <v>404</v>
      </c>
      <c r="D76" s="321">
        <v>1.9056839999999999</v>
      </c>
      <c r="E76" s="321">
        <v>1.8744369999999999</v>
      </c>
      <c r="F76" s="321">
        <v>2.220081</v>
      </c>
      <c r="G76" s="321">
        <v>1.748043</v>
      </c>
      <c r="H76" s="321">
        <v>2.021306</v>
      </c>
      <c r="I76" s="321">
        <v>2.1932459999999998</v>
      </c>
      <c r="J76" s="321">
        <v>1.832392</v>
      </c>
      <c r="K76" s="321">
        <v>1.2634559999999999</v>
      </c>
      <c r="L76" s="321">
        <v>0.36915799999999999</v>
      </c>
      <c r="M76" s="321">
        <v>2.7323110000000002</v>
      </c>
      <c r="N76" s="321">
        <v>2.1091299999999999</v>
      </c>
      <c r="O76" s="321">
        <v>1.208196</v>
      </c>
      <c r="P76" s="321">
        <v>2.5374699999999999</v>
      </c>
      <c r="Q76" s="321">
        <v>2.4141819999999998</v>
      </c>
      <c r="R76" s="321">
        <v>2.3117589999999999</v>
      </c>
      <c r="S76" s="321">
        <v>2.4038789999999999</v>
      </c>
      <c r="T76" s="321">
        <v>1.7132160000000001</v>
      </c>
      <c r="U76" s="321">
        <v>1.8024450000000001</v>
      </c>
      <c r="V76" s="321">
        <v>1.924952</v>
      </c>
      <c r="W76" s="321">
        <v>2.0146579999999998</v>
      </c>
      <c r="X76" s="321">
        <v>1.9674849999999999</v>
      </c>
      <c r="Y76" s="321">
        <v>2.0775960000000002</v>
      </c>
      <c r="Z76" s="321">
        <v>2.9200689999999998</v>
      </c>
      <c r="AA76" s="321">
        <v>3.1243629999999998</v>
      </c>
      <c r="AB76" s="321">
        <v>1.6617219999999999</v>
      </c>
      <c r="AC76" s="321">
        <v>2.4426999999999999</v>
      </c>
      <c r="AD76" s="321">
        <v>2.6606909999999999</v>
      </c>
      <c r="AE76" s="52">
        <f>'User Add-in Location'!B82</f>
        <v>0</v>
      </c>
      <c r="AF76" s="52">
        <f>'User Add-in Location'!C82</f>
        <v>0</v>
      </c>
      <c r="AG76" s="321">
        <v>2.4336060000000002</v>
      </c>
      <c r="AH76" s="321">
        <v>1.5680130000000001</v>
      </c>
      <c r="AI76" s="321">
        <v>2.7739630000000002</v>
      </c>
      <c r="AJ76" s="321">
        <v>2.3535879999999998</v>
      </c>
      <c r="AK76" s="321">
        <v>2.4797030000000002</v>
      </c>
      <c r="AL76" s="321">
        <v>1.7532300000000001</v>
      </c>
      <c r="AM76" s="321">
        <v>1.7125280000000001</v>
      </c>
      <c r="AN76" s="321">
        <v>2.1220979999999998</v>
      </c>
      <c r="AO76" s="321">
        <v>2.3783289999999999</v>
      </c>
      <c r="AP76" s="321">
        <v>2.458329</v>
      </c>
      <c r="AQ76" s="321">
        <v>2.295779</v>
      </c>
      <c r="AR76" s="321">
        <v>2.8691990000000001</v>
      </c>
      <c r="AS76" s="324">
        <v>0</v>
      </c>
      <c r="AT76" s="324">
        <v>0</v>
      </c>
      <c r="AU76" s="324">
        <v>0</v>
      </c>
      <c r="AV76" s="324">
        <v>0</v>
      </c>
      <c r="AW76" s="324">
        <v>0</v>
      </c>
      <c r="AX76" s="324">
        <v>0</v>
      </c>
      <c r="AY76" s="324">
        <v>0</v>
      </c>
      <c r="AZ76" s="324">
        <v>0</v>
      </c>
      <c r="BA76" s="321">
        <v>1.750894</v>
      </c>
      <c r="BB76" s="321">
        <v>1.191336</v>
      </c>
      <c r="BC76" s="321">
        <v>2.1723539999999999</v>
      </c>
      <c r="BD76" s="321">
        <v>1.9843200000000001</v>
      </c>
      <c r="BE76" s="321">
        <v>2.4655779999999998</v>
      </c>
      <c r="BF76" s="321">
        <v>4.5621320000000001</v>
      </c>
      <c r="BG76" s="321">
        <v>2.31379</v>
      </c>
      <c r="BH76" s="321">
        <v>3.09456</v>
      </c>
      <c r="BI76" s="321">
        <v>2.1350609999999999</v>
      </c>
      <c r="BJ76" s="321">
        <v>1.4419979999999999</v>
      </c>
      <c r="BK76" s="321">
        <v>1.4228940000000001</v>
      </c>
      <c r="BL76" s="321">
        <v>2.6100080000000001</v>
      </c>
      <c r="BM76" s="321">
        <v>0</v>
      </c>
    </row>
    <row r="77" spans="3:65">
      <c r="C77" s="349"/>
      <c r="D77" s="321"/>
      <c r="E77" s="321"/>
      <c r="F77" s="321"/>
      <c r="G77" s="321"/>
      <c r="H77" s="321"/>
      <c r="I77" s="321"/>
      <c r="J77" s="321"/>
      <c r="K77" s="321"/>
      <c r="L77" s="321"/>
      <c r="M77" s="321"/>
      <c r="N77" s="321"/>
      <c r="O77" s="321"/>
      <c r="P77" s="321"/>
      <c r="Q77" s="321"/>
      <c r="R77" s="321"/>
      <c r="S77" s="321"/>
      <c r="T77" s="321"/>
      <c r="U77" s="321"/>
      <c r="V77" s="321"/>
      <c r="W77" s="321"/>
      <c r="X77" s="321"/>
      <c r="Y77" s="321"/>
      <c r="Z77" s="321"/>
      <c r="AA77" s="321"/>
      <c r="AB77" s="321"/>
      <c r="AC77" s="321"/>
      <c r="AD77" s="321"/>
      <c r="AG77" s="321"/>
      <c r="AH77" s="321"/>
      <c r="AI77" s="321"/>
      <c r="AJ77" s="321"/>
      <c r="AK77" s="321"/>
      <c r="AL77" s="321"/>
      <c r="AM77" s="321"/>
      <c r="AN77" s="321"/>
      <c r="AO77" s="321"/>
      <c r="AP77" s="321"/>
      <c r="AQ77" s="321"/>
      <c r="AR77" s="321"/>
      <c r="AS77" s="324"/>
      <c r="AT77" s="324"/>
      <c r="AU77" s="324"/>
      <c r="AV77" s="324"/>
      <c r="AW77" s="324"/>
      <c r="AX77" s="324"/>
      <c r="AY77" s="324"/>
      <c r="AZ77" s="324"/>
      <c r="BA77" s="321"/>
      <c r="BB77" s="321"/>
      <c r="BC77" s="321"/>
      <c r="BD77" s="321"/>
      <c r="BE77" s="321"/>
      <c r="BF77" s="321"/>
      <c r="BG77" s="321"/>
      <c r="BH77" s="321"/>
      <c r="BI77" s="321"/>
      <c r="BJ77" s="321"/>
      <c r="BK77" s="321"/>
      <c r="BL77" s="321"/>
      <c r="BM77" s="321"/>
    </row>
    <row r="78" spans="3:65" ht="12.75" customHeight="1">
      <c r="C78" s="319" t="s">
        <v>407</v>
      </c>
      <c r="D78" s="321"/>
      <c r="E78" s="321"/>
      <c r="F78" s="321"/>
      <c r="G78" s="321"/>
      <c r="H78" s="321"/>
      <c r="I78" s="321"/>
      <c r="J78" s="321"/>
      <c r="K78" s="321"/>
      <c r="L78" s="321"/>
      <c r="M78" s="321"/>
      <c r="N78" s="321"/>
      <c r="O78" s="321"/>
      <c r="P78" s="321"/>
      <c r="Q78" s="321"/>
      <c r="R78" s="321"/>
      <c r="S78" s="321"/>
      <c r="T78" s="321"/>
      <c r="U78" s="321"/>
      <c r="V78" s="321"/>
      <c r="W78" s="321"/>
      <c r="X78" s="321"/>
      <c r="Y78" s="321"/>
      <c r="Z78" s="321"/>
      <c r="AA78" s="321"/>
      <c r="AB78" s="321"/>
      <c r="AC78" s="321"/>
      <c r="AD78" s="321"/>
      <c r="AG78" s="321"/>
      <c r="AH78" s="321"/>
      <c r="AI78" s="321"/>
      <c r="AJ78" s="321"/>
      <c r="AK78" s="321"/>
      <c r="AL78" s="321"/>
      <c r="AM78" s="321"/>
      <c r="AN78" s="321"/>
      <c r="AO78" s="321"/>
      <c r="AP78" s="321"/>
      <c r="AQ78" s="321"/>
      <c r="AR78" s="321"/>
      <c r="AS78" s="324"/>
      <c r="AT78" s="324"/>
      <c r="AU78" s="324"/>
      <c r="AV78" s="324"/>
      <c r="AW78" s="324"/>
      <c r="AX78" s="324"/>
      <c r="AY78" s="324"/>
      <c r="AZ78" s="324"/>
      <c r="BA78" s="321"/>
      <c r="BB78" s="321"/>
      <c r="BC78" s="321"/>
      <c r="BD78" s="321"/>
      <c r="BE78" s="321"/>
      <c r="BF78" s="321"/>
      <c r="BG78" s="321"/>
      <c r="BH78" s="321"/>
      <c r="BI78" s="321"/>
      <c r="BJ78" s="321"/>
      <c r="BK78" s="321"/>
      <c r="BL78" s="321"/>
      <c r="BM78" s="321"/>
    </row>
    <row r="79" spans="3:65">
      <c r="C79" s="350" t="s">
        <v>408</v>
      </c>
      <c r="D79" s="52" t="s">
        <v>219</v>
      </c>
      <c r="E79" s="52" t="s">
        <v>222</v>
      </c>
      <c r="F79" s="52" t="s">
        <v>231</v>
      </c>
      <c r="G79" s="52" t="s">
        <v>221</v>
      </c>
      <c r="H79" s="52" t="s">
        <v>223</v>
      </c>
      <c r="I79" s="52" t="s">
        <v>240</v>
      </c>
      <c r="J79" s="52" t="s">
        <v>216</v>
      </c>
      <c r="K79" s="52" t="s">
        <v>217</v>
      </c>
      <c r="L79" s="52" t="s">
        <v>218</v>
      </c>
      <c r="M79" s="52" t="s">
        <v>228</v>
      </c>
      <c r="N79" s="52" t="s">
        <v>237</v>
      </c>
      <c r="O79" s="52" t="s">
        <v>232</v>
      </c>
      <c r="P79" s="52" t="s">
        <v>248</v>
      </c>
      <c r="Q79" s="52" t="s">
        <v>220</v>
      </c>
      <c r="R79" s="52" t="s">
        <v>229</v>
      </c>
      <c r="S79" s="52" t="s">
        <v>238</v>
      </c>
      <c r="T79" s="52" t="s">
        <v>254</v>
      </c>
      <c r="U79" s="52" t="s">
        <v>245</v>
      </c>
      <c r="V79" s="52" t="s">
        <v>230</v>
      </c>
      <c r="W79" s="52" t="s">
        <v>225</v>
      </c>
      <c r="X79" s="52" t="s">
        <v>227</v>
      </c>
      <c r="Y79" s="52" t="s">
        <v>234</v>
      </c>
      <c r="Z79" s="52" t="s">
        <v>246</v>
      </c>
      <c r="AA79" s="52" t="s">
        <v>252</v>
      </c>
      <c r="AB79" s="52" t="s">
        <v>251</v>
      </c>
      <c r="AC79" s="52" t="s">
        <v>239</v>
      </c>
      <c r="AD79" s="52" t="s">
        <v>260</v>
      </c>
      <c r="AE79" s="52" t="s">
        <v>381</v>
      </c>
      <c r="AF79" s="52" t="s">
        <v>382</v>
      </c>
      <c r="AG79" s="52" t="s">
        <v>264</v>
      </c>
      <c r="AH79" s="52" t="s">
        <v>266</v>
      </c>
      <c r="AI79" s="52" t="s">
        <v>242</v>
      </c>
      <c r="AJ79" s="52" t="s">
        <v>489</v>
      </c>
      <c r="AK79" s="52" t="s">
        <v>247</v>
      </c>
      <c r="AL79" s="52" t="s">
        <v>250</v>
      </c>
      <c r="AM79" s="52" t="s">
        <v>236</v>
      </c>
      <c r="AN79" s="52" t="s">
        <v>268</v>
      </c>
      <c r="AO79" s="52" t="s">
        <v>258</v>
      </c>
      <c r="AP79" s="52" t="s">
        <v>253</v>
      </c>
      <c r="AQ79" s="52" t="s">
        <v>270</v>
      </c>
      <c r="AR79" s="52" t="s">
        <v>235</v>
      </c>
      <c r="AS79" s="407" t="s">
        <v>207</v>
      </c>
      <c r="AT79" s="407" t="s">
        <v>208</v>
      </c>
      <c r="AU79" s="407" t="s">
        <v>209</v>
      </c>
      <c r="AV79" s="407" t="s">
        <v>210</v>
      </c>
      <c r="AW79" s="407" t="s">
        <v>211</v>
      </c>
      <c r="AX79" s="407" t="s">
        <v>212</v>
      </c>
      <c r="AY79" s="407" t="s">
        <v>213</v>
      </c>
      <c r="AZ79" s="407" t="s">
        <v>214</v>
      </c>
      <c r="BA79" s="52" t="s">
        <v>256</v>
      </c>
      <c r="BB79" s="52" t="s">
        <v>490</v>
      </c>
      <c r="BC79" s="52" t="s">
        <v>272</v>
      </c>
      <c r="BD79" s="52" t="s">
        <v>491</v>
      </c>
      <c r="BE79" s="52" t="s">
        <v>492</v>
      </c>
      <c r="BF79" s="321" t="s">
        <v>604</v>
      </c>
      <c r="BG79" s="52" t="s">
        <v>274</v>
      </c>
      <c r="BH79" s="52" t="s">
        <v>262</v>
      </c>
      <c r="BI79" s="52" t="s">
        <v>244</v>
      </c>
      <c r="BJ79" s="52" t="s">
        <v>275</v>
      </c>
      <c r="BK79" s="52" t="s">
        <v>243</v>
      </c>
      <c r="BL79" s="52" t="s">
        <v>263</v>
      </c>
      <c r="BM79" s="52" t="s">
        <v>493</v>
      </c>
    </row>
    <row r="80" spans="3:65">
      <c r="C80" s="408" t="s">
        <v>383</v>
      </c>
      <c r="D80" s="329">
        <v>0.10968</v>
      </c>
      <c r="E80" s="329">
        <v>5.6078999999999997E-2</v>
      </c>
      <c r="F80" s="329">
        <v>0.21351800000000001</v>
      </c>
      <c r="G80" s="329">
        <v>8.8358000000000006E-2</v>
      </c>
      <c r="H80" s="329">
        <v>0.30203400000000002</v>
      </c>
      <c r="I80" s="329">
        <v>0.13014800000000001</v>
      </c>
      <c r="J80" s="329">
        <v>0.28736699999999998</v>
      </c>
      <c r="K80" s="329">
        <v>6.2900999999999999E-2</v>
      </c>
      <c r="L80" s="329">
        <v>7.0470000000000005E-2</v>
      </c>
      <c r="M80" s="329">
        <v>0.28970400000000002</v>
      </c>
      <c r="N80" s="329">
        <v>0.118241</v>
      </c>
      <c r="O80" s="329">
        <v>0.362562</v>
      </c>
      <c r="P80" s="329">
        <v>0.137438</v>
      </c>
      <c r="Q80" s="329">
        <v>6.1258E-2</v>
      </c>
      <c r="R80" s="329">
        <v>8.0494999999999997E-2</v>
      </c>
      <c r="S80" s="329">
        <v>4.4471999999999998E-2</v>
      </c>
      <c r="T80" s="329">
        <v>4.8210000000000003E-2</v>
      </c>
      <c r="U80" s="329">
        <v>0.13925299999999999</v>
      </c>
      <c r="V80" s="329">
        <v>0.14732999999999999</v>
      </c>
      <c r="W80" s="329">
        <v>0.23339299999999999</v>
      </c>
      <c r="X80" s="329">
        <v>0.144117</v>
      </c>
      <c r="Y80" s="329">
        <v>0.38654699999999997</v>
      </c>
      <c r="Z80" s="329">
        <v>0.18477399999999999</v>
      </c>
      <c r="AA80" s="329">
        <v>6.4574999999999994E-2</v>
      </c>
      <c r="AB80" s="329">
        <v>0.10867300000000001</v>
      </c>
      <c r="AC80" s="329">
        <v>7.0508000000000001E-2</v>
      </c>
      <c r="AD80" s="329">
        <v>0.13069900000000001</v>
      </c>
      <c r="AE80" s="52">
        <f>'User Add-in Location'!B86</f>
        <v>0</v>
      </c>
      <c r="AF80" s="52">
        <f>'User Add-in Location'!C86</f>
        <v>0</v>
      </c>
      <c r="AG80" s="329">
        <v>4.8300999999999997E-2</v>
      </c>
      <c r="AH80" s="329">
        <v>0.168848</v>
      </c>
      <c r="AI80" s="329">
        <v>0.24927299999999999</v>
      </c>
      <c r="AJ80" s="329">
        <v>0.32355400000000001</v>
      </c>
      <c r="AK80" s="329">
        <v>0.14613999999999999</v>
      </c>
      <c r="AL80" s="329">
        <v>0.19522500000000001</v>
      </c>
      <c r="AM80" s="329">
        <v>0.11530899999999999</v>
      </c>
      <c r="AN80" s="329">
        <v>5.2838000000000003E-2</v>
      </c>
      <c r="AO80" s="329">
        <v>0.1163</v>
      </c>
      <c r="AP80" s="329">
        <v>6.2742999999999993E-2</v>
      </c>
      <c r="AQ80" s="329">
        <v>0.33703300000000003</v>
      </c>
      <c r="AR80" s="329">
        <v>0.13661699999999999</v>
      </c>
      <c r="AS80" s="324">
        <v>0</v>
      </c>
      <c r="AT80" s="324">
        <v>0</v>
      </c>
      <c r="AU80" s="324">
        <v>0</v>
      </c>
      <c r="AV80" s="324">
        <v>0</v>
      </c>
      <c r="AW80" s="324">
        <v>0</v>
      </c>
      <c r="AX80" s="324">
        <v>0</v>
      </c>
      <c r="AY80" s="324">
        <v>0</v>
      </c>
      <c r="AZ80" s="324">
        <v>0</v>
      </c>
      <c r="BA80" s="329">
        <v>0.32873599999999997</v>
      </c>
      <c r="BB80" s="329">
        <v>0.17694699999999999</v>
      </c>
      <c r="BC80" s="329">
        <v>4.3298999999999997E-2</v>
      </c>
      <c r="BD80" s="329">
        <v>0.120812</v>
      </c>
      <c r="BE80" s="329">
        <v>0.159163</v>
      </c>
      <c r="BF80" s="329">
        <v>0.14810699999999999</v>
      </c>
      <c r="BG80" s="329">
        <v>0.163854</v>
      </c>
      <c r="BH80" s="329">
        <v>0.14515600000000001</v>
      </c>
      <c r="BI80" s="329">
        <v>0.17611499999999999</v>
      </c>
      <c r="BJ80" s="329">
        <v>0.309504</v>
      </c>
      <c r="BK80" s="329">
        <v>0.14499600000000001</v>
      </c>
      <c r="BL80" s="329">
        <v>0.124281</v>
      </c>
      <c r="BM80" s="329">
        <v>0.15690100000000001</v>
      </c>
    </row>
    <row r="81" spans="3:65">
      <c r="C81" s="408" t="s">
        <v>384</v>
      </c>
      <c r="D81" s="329">
        <v>0.13725899999999999</v>
      </c>
      <c r="E81" s="329">
        <v>0.208954</v>
      </c>
      <c r="F81" s="329">
        <v>0.13295599999999999</v>
      </c>
      <c r="G81" s="329">
        <v>7.0043999999999995E-2</v>
      </c>
      <c r="H81" s="329">
        <v>0.15118200000000001</v>
      </c>
      <c r="I81" s="329">
        <v>0.165767</v>
      </c>
      <c r="J81" s="329">
        <v>5.7206E-2</v>
      </c>
      <c r="K81" s="329">
        <v>4.9778999999999997E-2</v>
      </c>
      <c r="L81" s="329">
        <v>0</v>
      </c>
      <c r="M81" s="329">
        <v>4.7528000000000001E-2</v>
      </c>
      <c r="N81" s="329">
        <v>0.12811900000000001</v>
      </c>
      <c r="O81" s="329">
        <v>0.10846500000000001</v>
      </c>
      <c r="P81" s="329">
        <v>0.16428599999999999</v>
      </c>
      <c r="Q81" s="329">
        <v>0.103229</v>
      </c>
      <c r="R81" s="329">
        <v>0.139541</v>
      </c>
      <c r="S81" s="329">
        <v>0.136911</v>
      </c>
      <c r="T81" s="329">
        <v>4.2048000000000002E-2</v>
      </c>
      <c r="U81" s="329">
        <v>0.14103399999999999</v>
      </c>
      <c r="V81" s="329">
        <v>0.169515</v>
      </c>
      <c r="W81" s="329">
        <v>6.8497000000000002E-2</v>
      </c>
      <c r="X81" s="329">
        <v>7.3120000000000004E-2</v>
      </c>
      <c r="Y81" s="329">
        <v>9.9584000000000006E-2</v>
      </c>
      <c r="Z81" s="329">
        <v>9.4800999999999996E-2</v>
      </c>
      <c r="AA81" s="329">
        <v>0.15318300000000001</v>
      </c>
      <c r="AB81" s="329">
        <v>9.4822000000000004E-2</v>
      </c>
      <c r="AC81" s="329">
        <v>0.11914</v>
      </c>
      <c r="AD81" s="329">
        <v>0.16028200000000001</v>
      </c>
      <c r="AE81" s="52">
        <f>'User Add-in Location'!B87</f>
        <v>0</v>
      </c>
      <c r="AF81" s="52">
        <f>'User Add-in Location'!C87</f>
        <v>0</v>
      </c>
      <c r="AG81" s="329">
        <v>8.3349000000000006E-2</v>
      </c>
      <c r="AH81" s="329">
        <v>0.22317699999999999</v>
      </c>
      <c r="AI81" s="329">
        <v>0.130555</v>
      </c>
      <c r="AJ81" s="329">
        <v>0.123033</v>
      </c>
      <c r="AK81" s="329">
        <v>0.14863299999999999</v>
      </c>
      <c r="AL81" s="329">
        <v>0.10767599999999999</v>
      </c>
      <c r="AM81" s="329">
        <v>0.108891</v>
      </c>
      <c r="AN81" s="329">
        <v>0.24327299999999999</v>
      </c>
      <c r="AO81" s="329">
        <v>5.9434000000000001E-2</v>
      </c>
      <c r="AP81" s="329">
        <v>0.114353</v>
      </c>
      <c r="AQ81" s="329">
        <v>0.103556</v>
      </c>
      <c r="AR81" s="329">
        <v>0.115853</v>
      </c>
      <c r="AS81" s="324">
        <v>0</v>
      </c>
      <c r="AT81" s="324">
        <v>0</v>
      </c>
      <c r="AU81" s="324">
        <v>0</v>
      </c>
      <c r="AV81" s="324">
        <v>0</v>
      </c>
      <c r="AW81" s="324">
        <v>0</v>
      </c>
      <c r="AX81" s="324">
        <v>0</v>
      </c>
      <c r="AY81" s="324">
        <v>0</v>
      </c>
      <c r="AZ81" s="324">
        <v>0</v>
      </c>
      <c r="BA81" s="329">
        <v>0.111113</v>
      </c>
      <c r="BB81" s="329">
        <v>0.103714</v>
      </c>
      <c r="BC81" s="329">
        <v>9.9460000000000007E-2</v>
      </c>
      <c r="BD81" s="329">
        <v>0.10782799999999999</v>
      </c>
      <c r="BE81" s="329">
        <v>0.153614</v>
      </c>
      <c r="BF81" s="329">
        <v>0.14251</v>
      </c>
      <c r="BG81" s="329">
        <v>0.17071</v>
      </c>
      <c r="BH81" s="329">
        <v>0.118616</v>
      </c>
      <c r="BI81" s="329">
        <v>0.12870899999999999</v>
      </c>
      <c r="BJ81" s="329">
        <v>9.2032000000000003E-2</v>
      </c>
      <c r="BK81" s="329">
        <v>0.15029799999999999</v>
      </c>
      <c r="BL81" s="329">
        <v>0.103156</v>
      </c>
      <c r="BM81" s="329">
        <v>0.19192200000000001</v>
      </c>
    </row>
    <row r="82" spans="3:65">
      <c r="C82" s="408" t="s">
        <v>385</v>
      </c>
      <c r="D82" s="329">
        <v>0.30759199999999998</v>
      </c>
      <c r="E82" s="329">
        <v>0.38788</v>
      </c>
      <c r="F82" s="329">
        <v>0.32752399999999998</v>
      </c>
      <c r="G82" s="329">
        <v>0.25881599999999999</v>
      </c>
      <c r="H82" s="329">
        <v>0.35480600000000001</v>
      </c>
      <c r="I82" s="329">
        <v>0.31305699999999997</v>
      </c>
      <c r="J82" s="329">
        <v>0.29288599999999998</v>
      </c>
      <c r="K82" s="329">
        <v>0.30522899999999997</v>
      </c>
      <c r="L82" s="329">
        <v>0.41390300000000002</v>
      </c>
      <c r="M82" s="329">
        <v>0.29550799999999999</v>
      </c>
      <c r="N82" s="329">
        <v>0.28953099999999998</v>
      </c>
      <c r="O82" s="329">
        <v>0.35078700000000002</v>
      </c>
      <c r="P82" s="329">
        <v>0.25083499999999997</v>
      </c>
      <c r="Q82" s="329">
        <v>0.348136</v>
      </c>
      <c r="R82" s="329">
        <v>0.32521099999999997</v>
      </c>
      <c r="S82" s="329">
        <v>0.317805</v>
      </c>
      <c r="T82" s="329">
        <v>0.30333300000000002</v>
      </c>
      <c r="U82" s="329">
        <v>0.27685199999999999</v>
      </c>
      <c r="V82" s="329">
        <v>0.378133</v>
      </c>
      <c r="W82" s="329">
        <v>0.27308300000000002</v>
      </c>
      <c r="X82" s="329">
        <v>0.35012599999999999</v>
      </c>
      <c r="Y82" s="329">
        <v>0.35940800000000001</v>
      </c>
      <c r="Z82" s="329">
        <v>0.29806500000000002</v>
      </c>
      <c r="AA82" s="329">
        <v>0.34258100000000002</v>
      </c>
      <c r="AB82" s="329">
        <v>0.256351</v>
      </c>
      <c r="AC82" s="329">
        <v>0.32876499999999997</v>
      </c>
      <c r="AD82" s="329">
        <v>0.28045399999999998</v>
      </c>
      <c r="AE82" s="52">
        <f>'User Add-in Location'!B88</f>
        <v>0</v>
      </c>
      <c r="AF82" s="52">
        <f>'User Add-in Location'!C88</f>
        <v>0</v>
      </c>
      <c r="AG82" s="329">
        <v>0.35696299999999997</v>
      </c>
      <c r="AH82" s="329">
        <v>0.38930999999999999</v>
      </c>
      <c r="AI82" s="329">
        <v>0.29974400000000001</v>
      </c>
      <c r="AJ82" s="329">
        <v>0.31761800000000001</v>
      </c>
      <c r="AK82" s="329">
        <v>0.33574399999999999</v>
      </c>
      <c r="AL82" s="329">
        <v>0.36777300000000002</v>
      </c>
      <c r="AM82" s="329">
        <v>0.30385800000000002</v>
      </c>
      <c r="AN82" s="329">
        <v>0.358566</v>
      </c>
      <c r="AO82" s="329">
        <v>0.31017400000000001</v>
      </c>
      <c r="AP82" s="329">
        <v>0.30104700000000001</v>
      </c>
      <c r="AQ82" s="329">
        <v>0.346277</v>
      </c>
      <c r="AR82" s="329">
        <v>0.319938</v>
      </c>
      <c r="AS82" s="324">
        <v>0</v>
      </c>
      <c r="AT82" s="324">
        <v>0</v>
      </c>
      <c r="AU82" s="324">
        <v>0</v>
      </c>
      <c r="AV82" s="324">
        <v>0</v>
      </c>
      <c r="AW82" s="324">
        <v>0</v>
      </c>
      <c r="AX82" s="324">
        <v>0</v>
      </c>
      <c r="AY82" s="324">
        <v>0</v>
      </c>
      <c r="AZ82" s="324">
        <v>0</v>
      </c>
      <c r="BA82" s="329">
        <v>0.29622900000000002</v>
      </c>
      <c r="BB82" s="329">
        <v>0.27606599999999998</v>
      </c>
      <c r="BC82" s="329">
        <v>0.290663</v>
      </c>
      <c r="BD82" s="329">
        <v>0.271291</v>
      </c>
      <c r="BE82" s="329">
        <v>0.32332899999999998</v>
      </c>
      <c r="BF82" s="329">
        <v>0.325459</v>
      </c>
      <c r="BG82" s="329">
        <v>0.30569000000000002</v>
      </c>
      <c r="BH82" s="329">
        <v>0.289742</v>
      </c>
      <c r="BI82" s="329">
        <v>0.32067499999999999</v>
      </c>
      <c r="BJ82" s="329">
        <v>0.34515899999999999</v>
      </c>
      <c r="BK82" s="329">
        <v>0.34302700000000003</v>
      </c>
      <c r="BL82" s="329">
        <v>0.321961</v>
      </c>
      <c r="BM82" s="329">
        <v>0.32551600000000003</v>
      </c>
    </row>
    <row r="83" spans="3:65">
      <c r="C83" s="408" t="s">
        <v>386</v>
      </c>
      <c r="D83" s="329">
        <v>0.198681</v>
      </c>
      <c r="E83" s="329">
        <v>0.27411600000000003</v>
      </c>
      <c r="F83" s="329">
        <v>0.206203</v>
      </c>
      <c r="G83" s="329">
        <v>0.161273</v>
      </c>
      <c r="H83" s="329">
        <v>0.23208999999999999</v>
      </c>
      <c r="I83" s="329">
        <v>0.20305000000000001</v>
      </c>
      <c r="J83" s="329">
        <v>0.20333499999999999</v>
      </c>
      <c r="K83" s="329">
        <v>0.19441</v>
      </c>
      <c r="L83" s="329">
        <v>0.27095200000000003</v>
      </c>
      <c r="M83" s="329">
        <v>0.18329599999999999</v>
      </c>
      <c r="N83" s="329">
        <v>0.18142</v>
      </c>
      <c r="O83" s="329">
        <v>0.23169500000000001</v>
      </c>
      <c r="P83" s="329">
        <v>0.153865</v>
      </c>
      <c r="Q83" s="329">
        <v>0.226159</v>
      </c>
      <c r="R83" s="329">
        <v>0.210919</v>
      </c>
      <c r="S83" s="329">
        <v>0.208093</v>
      </c>
      <c r="T83" s="329">
        <v>0.19408700000000001</v>
      </c>
      <c r="U83" s="329">
        <v>0.173567</v>
      </c>
      <c r="V83" s="329">
        <v>0.24824099999999999</v>
      </c>
      <c r="W83" s="329">
        <v>0.17938399999999999</v>
      </c>
      <c r="X83" s="329">
        <v>0.229625</v>
      </c>
      <c r="Y83" s="329">
        <v>0.25015999999999999</v>
      </c>
      <c r="Z83" s="329">
        <v>0.189525</v>
      </c>
      <c r="AA83" s="329">
        <v>0.22863700000000001</v>
      </c>
      <c r="AB83" s="329">
        <v>0.15625700000000001</v>
      </c>
      <c r="AC83" s="329">
        <v>0.21737400000000001</v>
      </c>
      <c r="AD83" s="329">
        <v>0.17937900000000001</v>
      </c>
      <c r="AE83" s="52">
        <f>'User Add-in Location'!B89</f>
        <v>0</v>
      </c>
      <c r="AF83" s="52">
        <f>'User Add-in Location'!C89</f>
        <v>0</v>
      </c>
      <c r="AG83" s="329">
        <v>0.239647</v>
      </c>
      <c r="AH83" s="329">
        <v>0.25276399999999999</v>
      </c>
      <c r="AI83" s="329">
        <v>0.22636500000000001</v>
      </c>
      <c r="AJ83" s="329">
        <v>0.21079200000000001</v>
      </c>
      <c r="AK83" s="329">
        <v>0.21238000000000001</v>
      </c>
      <c r="AL83" s="329">
        <v>0.241539</v>
      </c>
      <c r="AM83" s="329">
        <v>0.19645199999999999</v>
      </c>
      <c r="AN83" s="329">
        <v>0.23211699999999999</v>
      </c>
      <c r="AO83" s="329">
        <v>0.201129</v>
      </c>
      <c r="AP83" s="329">
        <v>0.19272600000000001</v>
      </c>
      <c r="AQ83" s="329">
        <v>0.228606</v>
      </c>
      <c r="AR83" s="329">
        <v>0.209262</v>
      </c>
      <c r="AS83" s="324">
        <v>0</v>
      </c>
      <c r="AT83" s="324">
        <v>0</v>
      </c>
      <c r="AU83" s="324">
        <v>0</v>
      </c>
      <c r="AV83" s="324">
        <v>0</v>
      </c>
      <c r="AW83" s="324">
        <v>0</v>
      </c>
      <c r="AX83" s="324">
        <v>0</v>
      </c>
      <c r="AY83" s="324">
        <v>0</v>
      </c>
      <c r="AZ83" s="324">
        <v>0</v>
      </c>
      <c r="BA83" s="329">
        <v>0.190218</v>
      </c>
      <c r="BB83" s="329">
        <v>0.16980999999999999</v>
      </c>
      <c r="BC83" s="329">
        <v>0.18949199999999999</v>
      </c>
      <c r="BD83" s="329">
        <v>0.183258</v>
      </c>
      <c r="BE83" s="329">
        <v>0.21260599999999999</v>
      </c>
      <c r="BF83" s="329">
        <v>0.21137300000000001</v>
      </c>
      <c r="BG83" s="329">
        <v>0.192243</v>
      </c>
      <c r="BH83" s="329">
        <v>0.19853599999999999</v>
      </c>
      <c r="BI83" s="329">
        <v>0.204599</v>
      </c>
      <c r="BJ83" s="329">
        <v>0.22613800000000001</v>
      </c>
      <c r="BK83" s="329">
        <v>0.21983800000000001</v>
      </c>
      <c r="BL83" s="329">
        <v>0.21080199999999999</v>
      </c>
      <c r="BM83" s="329">
        <v>0.20987900000000001</v>
      </c>
    </row>
    <row r="84" spans="3:65">
      <c r="C84" s="408" t="s">
        <v>387</v>
      </c>
      <c r="D84" s="329">
        <v>0.20535600000000001</v>
      </c>
      <c r="E84" s="329">
        <v>0.27553299999999997</v>
      </c>
      <c r="F84" s="329">
        <v>0.21652199999999999</v>
      </c>
      <c r="G84" s="329">
        <v>0.16919000000000001</v>
      </c>
      <c r="H84" s="329">
        <v>0.24229500000000001</v>
      </c>
      <c r="I84" s="329">
        <v>0.21265700000000001</v>
      </c>
      <c r="J84" s="329">
        <v>0.210726</v>
      </c>
      <c r="K84" s="329">
        <v>0.208035</v>
      </c>
      <c r="L84" s="329">
        <v>0.28833900000000001</v>
      </c>
      <c r="M84" s="329">
        <v>0.19628300000000001</v>
      </c>
      <c r="N84" s="329">
        <v>0.19301599999999999</v>
      </c>
      <c r="O84" s="329">
        <v>0.23954300000000001</v>
      </c>
      <c r="P84" s="329">
        <v>0.164682</v>
      </c>
      <c r="Q84" s="329">
        <v>0.233406</v>
      </c>
      <c r="R84" s="329">
        <v>0.21749599999999999</v>
      </c>
      <c r="S84" s="329">
        <v>0.21363699999999999</v>
      </c>
      <c r="T84" s="329">
        <v>0.198849</v>
      </c>
      <c r="U84" s="329">
        <v>0.183951</v>
      </c>
      <c r="V84" s="329">
        <v>0.25405100000000003</v>
      </c>
      <c r="W84" s="329">
        <v>0.185723</v>
      </c>
      <c r="X84" s="329">
        <v>0.23930499999999999</v>
      </c>
      <c r="Y84" s="329">
        <v>0.25953999999999999</v>
      </c>
      <c r="Z84" s="329">
        <v>0.19949700000000001</v>
      </c>
      <c r="AA84" s="329">
        <v>0.23439599999999999</v>
      </c>
      <c r="AB84" s="329">
        <v>0.164738</v>
      </c>
      <c r="AC84" s="329">
        <v>0.22171099999999999</v>
      </c>
      <c r="AD84" s="329">
        <v>0.190193</v>
      </c>
      <c r="AE84" s="52">
        <f>'User Add-in Location'!B90</f>
        <v>0</v>
      </c>
      <c r="AF84" s="52">
        <f>'User Add-in Location'!C90</f>
        <v>0</v>
      </c>
      <c r="AG84" s="329">
        <v>0.239011</v>
      </c>
      <c r="AH84" s="329">
        <v>0.26059700000000002</v>
      </c>
      <c r="AI84" s="329">
        <v>0.227383</v>
      </c>
      <c r="AJ84" s="329">
        <v>0.220614</v>
      </c>
      <c r="AK84" s="329">
        <v>0.219421</v>
      </c>
      <c r="AL84" s="329">
        <v>0.25260100000000002</v>
      </c>
      <c r="AM84" s="329">
        <v>0.20505899999999999</v>
      </c>
      <c r="AN84" s="329">
        <v>0.240731</v>
      </c>
      <c r="AO84" s="329">
        <v>0.207423</v>
      </c>
      <c r="AP84" s="329">
        <v>0.198713</v>
      </c>
      <c r="AQ84" s="329">
        <v>0.23625599999999999</v>
      </c>
      <c r="AR84" s="329">
        <v>0.217863</v>
      </c>
      <c r="AS84" s="324">
        <v>0</v>
      </c>
      <c r="AT84" s="324">
        <v>0</v>
      </c>
      <c r="AU84" s="324">
        <v>0</v>
      </c>
      <c r="AV84" s="324">
        <v>0</v>
      </c>
      <c r="AW84" s="324">
        <v>0</v>
      </c>
      <c r="AX84" s="324">
        <v>0</v>
      </c>
      <c r="AY84" s="324">
        <v>0</v>
      </c>
      <c r="AZ84" s="324">
        <v>0</v>
      </c>
      <c r="BA84" s="329">
        <v>0.20168900000000001</v>
      </c>
      <c r="BB84" s="329">
        <v>0.18216299999999999</v>
      </c>
      <c r="BC84" s="329">
        <v>0.194462</v>
      </c>
      <c r="BD84" s="329">
        <v>0.18932299999999999</v>
      </c>
      <c r="BE84" s="329">
        <v>0.221827</v>
      </c>
      <c r="BF84" s="329">
        <v>0.22095100000000001</v>
      </c>
      <c r="BG84" s="329">
        <v>0.20608000000000001</v>
      </c>
      <c r="BH84" s="329">
        <v>0.20352500000000001</v>
      </c>
      <c r="BI84" s="329">
        <v>0.21385599999999999</v>
      </c>
      <c r="BJ84" s="329">
        <v>0.25214199999999998</v>
      </c>
      <c r="BK84" s="329">
        <v>0.227325</v>
      </c>
      <c r="BL84" s="329">
        <v>0.216421</v>
      </c>
      <c r="BM84" s="329">
        <v>0.218029</v>
      </c>
    </row>
    <row r="85" spans="3:65">
      <c r="C85" s="408" t="s">
        <v>388</v>
      </c>
      <c r="D85" s="329">
        <v>0.13777900000000001</v>
      </c>
      <c r="E85" s="329">
        <v>0.12493</v>
      </c>
      <c r="F85" s="329">
        <v>0.187082</v>
      </c>
      <c r="G85" s="329">
        <v>0.13433200000000001</v>
      </c>
      <c r="H85" s="329">
        <v>0.186974</v>
      </c>
      <c r="I85" s="329">
        <v>0.174903</v>
      </c>
      <c r="J85" s="329">
        <v>0.22808200000000001</v>
      </c>
      <c r="K85" s="329">
        <v>0.134713</v>
      </c>
      <c r="L85" s="329">
        <v>0.16483100000000001</v>
      </c>
      <c r="M85" s="329">
        <v>0.17669499999999999</v>
      </c>
      <c r="N85" s="329">
        <v>0.15235899999999999</v>
      </c>
      <c r="O85" s="329">
        <v>0.12845699999999999</v>
      </c>
      <c r="P85" s="329">
        <v>0.14056299999999999</v>
      </c>
      <c r="Q85" s="329">
        <v>0.16447600000000001</v>
      </c>
      <c r="R85" s="329">
        <v>0.13898199999999999</v>
      </c>
      <c r="S85" s="329">
        <v>0.14070099999999999</v>
      </c>
      <c r="T85" s="329">
        <v>0.12565699999999999</v>
      </c>
      <c r="U85" s="329">
        <v>0.12843099999999999</v>
      </c>
      <c r="V85" s="329">
        <v>7.7468999999999996E-2</v>
      </c>
      <c r="W85" s="329">
        <v>0.17998700000000001</v>
      </c>
      <c r="X85" s="329">
        <v>0.184504</v>
      </c>
      <c r="Y85" s="329">
        <v>0.22010399999999999</v>
      </c>
      <c r="Z85" s="329">
        <v>0.16003899999999999</v>
      </c>
      <c r="AA85" s="329">
        <v>0.18059800000000001</v>
      </c>
      <c r="AB85" s="329">
        <v>0.115381</v>
      </c>
      <c r="AC85" s="329">
        <v>0.14080000000000001</v>
      </c>
      <c r="AD85" s="329">
        <v>8.7196999999999997E-2</v>
      </c>
      <c r="AE85" s="52">
        <f>'User Add-in Location'!B91</f>
        <v>0</v>
      </c>
      <c r="AF85" s="52">
        <f>'User Add-in Location'!C91</f>
        <v>0</v>
      </c>
      <c r="AG85" s="329">
        <v>0.12587799999999999</v>
      </c>
      <c r="AH85" s="329">
        <v>0.18015600000000001</v>
      </c>
      <c r="AI85" s="329">
        <v>0.231043</v>
      </c>
      <c r="AJ85" s="329">
        <v>0.17821200000000001</v>
      </c>
      <c r="AK85" s="329">
        <v>8.8244000000000003E-2</v>
      </c>
      <c r="AL85" s="329">
        <v>0.18360699999999999</v>
      </c>
      <c r="AM85" s="329">
        <v>0.140348</v>
      </c>
      <c r="AN85" s="329">
        <v>9.7115999999999994E-2</v>
      </c>
      <c r="AO85" s="329">
        <v>0.15007000000000001</v>
      </c>
      <c r="AP85" s="329">
        <v>0.13484099999999999</v>
      </c>
      <c r="AQ85" s="329">
        <v>0.17483799999999999</v>
      </c>
      <c r="AR85" s="329">
        <v>0.16358700000000001</v>
      </c>
      <c r="AS85" s="324">
        <v>0</v>
      </c>
      <c r="AT85" s="324">
        <v>0</v>
      </c>
      <c r="AU85" s="324">
        <v>0</v>
      </c>
      <c r="AV85" s="324">
        <v>0</v>
      </c>
      <c r="AW85" s="324">
        <v>0</v>
      </c>
      <c r="AX85" s="324">
        <v>0</v>
      </c>
      <c r="AY85" s="324">
        <v>0</v>
      </c>
      <c r="AZ85" s="324">
        <v>0</v>
      </c>
      <c r="BA85" s="329">
        <v>0.19544700000000001</v>
      </c>
      <c r="BB85" s="329">
        <v>0.13963500000000001</v>
      </c>
      <c r="BC85" s="329">
        <v>0.14363999999999999</v>
      </c>
      <c r="BD85" s="329">
        <v>0.14058000000000001</v>
      </c>
      <c r="BE85" s="329">
        <v>0.11127099999999999</v>
      </c>
      <c r="BF85" s="329">
        <v>0.15251899999999999</v>
      </c>
      <c r="BG85" s="329">
        <v>0.14943600000000001</v>
      </c>
      <c r="BH85" s="329">
        <v>0.156912</v>
      </c>
      <c r="BI85" s="329">
        <v>0.155001</v>
      </c>
      <c r="BJ85" s="329">
        <v>0.15664900000000001</v>
      </c>
      <c r="BK85" s="329">
        <v>0.119188</v>
      </c>
      <c r="BL85" s="329">
        <v>0.16601399999999999</v>
      </c>
      <c r="BM85" s="329">
        <v>7.3080999999999993E-2</v>
      </c>
    </row>
    <row r="86" spans="3:65">
      <c r="C86" s="408" t="s">
        <v>389</v>
      </c>
      <c r="D86" s="329">
        <v>0.201825</v>
      </c>
      <c r="E86" s="329">
        <v>0.20685000000000001</v>
      </c>
      <c r="F86" s="329">
        <v>0.204817</v>
      </c>
      <c r="G86" s="329">
        <v>0.20369000000000001</v>
      </c>
      <c r="H86" s="329">
        <v>0.23480400000000001</v>
      </c>
      <c r="I86" s="329">
        <v>0.207094</v>
      </c>
      <c r="J86" s="329">
        <v>0.25150299999999998</v>
      </c>
      <c r="K86" s="329">
        <v>0.19811100000000001</v>
      </c>
      <c r="L86" s="329">
        <v>0</v>
      </c>
      <c r="M86" s="329">
        <v>0.22375800000000001</v>
      </c>
      <c r="N86" s="329">
        <v>0.194269</v>
      </c>
      <c r="O86" s="329">
        <v>0.20991599999999999</v>
      </c>
      <c r="P86" s="329">
        <v>0.200046</v>
      </c>
      <c r="Q86" s="329">
        <v>0.25066500000000003</v>
      </c>
      <c r="R86" s="329">
        <v>0.21263899999999999</v>
      </c>
      <c r="S86" s="329">
        <v>0.220969</v>
      </c>
      <c r="T86" s="329">
        <v>0.20468800000000001</v>
      </c>
      <c r="U86" s="329">
        <v>0.232206</v>
      </c>
      <c r="V86" s="329">
        <v>0.22781899999999999</v>
      </c>
      <c r="W86" s="329">
        <v>0.21093400000000001</v>
      </c>
      <c r="X86" s="329">
        <v>0.211006</v>
      </c>
      <c r="Y86" s="329">
        <v>0.26912599999999998</v>
      </c>
      <c r="Z86" s="329">
        <v>0.24551400000000001</v>
      </c>
      <c r="AA86" s="329">
        <v>0.247999</v>
      </c>
      <c r="AB86" s="329">
        <v>0.20966799999999999</v>
      </c>
      <c r="AC86" s="329">
        <v>0.215008</v>
      </c>
      <c r="AD86" s="329">
        <v>0.18659000000000001</v>
      </c>
      <c r="AE86" s="52">
        <f>'User Add-in Location'!B92</f>
        <v>0</v>
      </c>
      <c r="AF86" s="52">
        <f>'User Add-in Location'!C92</f>
        <v>0</v>
      </c>
      <c r="AG86" s="329">
        <v>0.23120499999999999</v>
      </c>
      <c r="AH86" s="329">
        <v>0.244061</v>
      </c>
      <c r="AI86" s="329">
        <v>0.20915300000000001</v>
      </c>
      <c r="AJ86" s="329">
        <v>0.249921</v>
      </c>
      <c r="AK86" s="329">
        <v>0.19797100000000001</v>
      </c>
      <c r="AL86" s="329">
        <v>0.252307</v>
      </c>
      <c r="AM86" s="329">
        <v>0.204239</v>
      </c>
      <c r="AN86" s="329">
        <v>0.25955099999999998</v>
      </c>
      <c r="AO86" s="329">
        <v>0.22442699999999999</v>
      </c>
      <c r="AP86" s="329">
        <v>0.23103199999999999</v>
      </c>
      <c r="AQ86" s="329">
        <v>0.253467</v>
      </c>
      <c r="AR86" s="329">
        <v>0.25063299999999999</v>
      </c>
      <c r="AS86" s="324">
        <v>0</v>
      </c>
      <c r="AT86" s="324">
        <v>0</v>
      </c>
      <c r="AU86" s="324">
        <v>0</v>
      </c>
      <c r="AV86" s="324">
        <v>0</v>
      </c>
      <c r="AW86" s="324">
        <v>0</v>
      </c>
      <c r="AX86" s="324">
        <v>0</v>
      </c>
      <c r="AY86" s="324">
        <v>0</v>
      </c>
      <c r="AZ86" s="324">
        <v>0</v>
      </c>
      <c r="BA86" s="329">
        <v>0.23107</v>
      </c>
      <c r="BB86" s="329">
        <v>0.23205200000000001</v>
      </c>
      <c r="BC86" s="329">
        <v>0.24837200000000001</v>
      </c>
      <c r="BD86" s="329">
        <v>0.249918</v>
      </c>
      <c r="BE86" s="329">
        <v>0.246999</v>
      </c>
      <c r="BF86" s="329">
        <v>0.233708</v>
      </c>
      <c r="BG86" s="329">
        <v>0.22156400000000001</v>
      </c>
      <c r="BH86" s="329">
        <v>0.23633199999999999</v>
      </c>
      <c r="BI86" s="329">
        <v>0.29119600000000001</v>
      </c>
      <c r="BJ86" s="329">
        <v>0.21976599999999999</v>
      </c>
      <c r="BK86" s="329">
        <v>0.19955600000000001</v>
      </c>
      <c r="BL86" s="329">
        <v>0.26700800000000002</v>
      </c>
      <c r="BM86" s="329">
        <v>0.20288999999999999</v>
      </c>
    </row>
    <row r="87" spans="3:65">
      <c r="C87" s="408" t="s">
        <v>390</v>
      </c>
      <c r="D87" s="329">
        <v>0.230433</v>
      </c>
      <c r="E87" s="329">
        <v>0.187865</v>
      </c>
      <c r="F87" s="329">
        <v>0.25067099999999998</v>
      </c>
      <c r="G87" s="329">
        <v>0.202769</v>
      </c>
      <c r="H87" s="329">
        <v>0.27752700000000002</v>
      </c>
      <c r="I87" s="329">
        <v>0.20822399999999999</v>
      </c>
      <c r="J87" s="329">
        <v>0.29573100000000002</v>
      </c>
      <c r="K87" s="329">
        <v>0.215866</v>
      </c>
      <c r="L87" s="329">
        <v>0</v>
      </c>
      <c r="M87" s="329">
        <v>0.21060899999999999</v>
      </c>
      <c r="N87" s="329">
        <v>0.225739</v>
      </c>
      <c r="O87" s="329">
        <v>0</v>
      </c>
      <c r="P87" s="329">
        <v>0.207868</v>
      </c>
      <c r="Q87" s="329">
        <v>0.28109400000000001</v>
      </c>
      <c r="R87" s="329">
        <v>0.257025</v>
      </c>
      <c r="S87" s="329">
        <v>0.21987400000000001</v>
      </c>
      <c r="T87" s="329">
        <v>0.28161599999999998</v>
      </c>
      <c r="U87" s="329">
        <v>0.29244399999999998</v>
      </c>
      <c r="V87" s="329">
        <v>0.25641599999999998</v>
      </c>
      <c r="W87" s="329">
        <v>0.20266999999999999</v>
      </c>
      <c r="X87" s="329">
        <v>0.249755</v>
      </c>
      <c r="Y87" s="329">
        <v>0.30430099999999999</v>
      </c>
      <c r="Z87" s="329">
        <v>0.30333700000000002</v>
      </c>
      <c r="AA87" s="329">
        <v>0.30571500000000001</v>
      </c>
      <c r="AB87" s="329">
        <v>0.21464800000000001</v>
      </c>
      <c r="AC87" s="329">
        <v>0.23822299999999999</v>
      </c>
      <c r="AD87" s="329">
        <v>0.22974</v>
      </c>
      <c r="AE87" s="52">
        <f>'User Add-in Location'!B93</f>
        <v>0</v>
      </c>
      <c r="AF87" s="52">
        <f>'User Add-in Location'!C93</f>
        <v>0</v>
      </c>
      <c r="AG87" s="329">
        <v>0.209868</v>
      </c>
      <c r="AH87" s="329">
        <v>0.24632000000000001</v>
      </c>
      <c r="AI87" s="329">
        <v>0.30647999999999997</v>
      </c>
      <c r="AJ87" s="329">
        <v>0.30448599999999998</v>
      </c>
      <c r="AK87" s="329">
        <v>0.20246</v>
      </c>
      <c r="AL87" s="329">
        <v>0.27377099999999999</v>
      </c>
      <c r="AM87" s="329">
        <v>0.23905299999999999</v>
      </c>
      <c r="AN87" s="329">
        <v>0.16486300000000001</v>
      </c>
      <c r="AO87" s="329">
        <v>0.27793400000000001</v>
      </c>
      <c r="AP87" s="329">
        <v>0.34057100000000001</v>
      </c>
      <c r="AQ87" s="329">
        <v>0.254689</v>
      </c>
      <c r="AR87" s="329">
        <v>0.287248</v>
      </c>
      <c r="AS87" s="324">
        <v>0</v>
      </c>
      <c r="AT87" s="324">
        <v>0</v>
      </c>
      <c r="AU87" s="324">
        <v>0</v>
      </c>
      <c r="AV87" s="324">
        <v>0</v>
      </c>
      <c r="AW87" s="324">
        <v>0</v>
      </c>
      <c r="AX87" s="324">
        <v>0</v>
      </c>
      <c r="AY87" s="324">
        <v>0</v>
      </c>
      <c r="AZ87" s="324">
        <v>0</v>
      </c>
      <c r="BA87" s="329">
        <v>0.25222600000000001</v>
      </c>
      <c r="BB87" s="329">
        <v>0.256463</v>
      </c>
      <c r="BC87" s="329">
        <v>0.171982</v>
      </c>
      <c r="BD87" s="329">
        <v>0.250336</v>
      </c>
      <c r="BE87" s="329">
        <v>0.30360100000000001</v>
      </c>
      <c r="BF87" s="329">
        <v>0.26990900000000001</v>
      </c>
      <c r="BG87" s="329">
        <v>0.276389</v>
      </c>
      <c r="BH87" s="329">
        <v>0.27676899999999999</v>
      </c>
      <c r="BI87" s="329">
        <v>0.26408799999999999</v>
      </c>
      <c r="BJ87" s="329">
        <v>0.284192</v>
      </c>
      <c r="BK87" s="329">
        <v>0.26529999999999998</v>
      </c>
      <c r="BL87" s="329">
        <v>0.28270299999999998</v>
      </c>
      <c r="BM87" s="329">
        <v>0.24563599999999999</v>
      </c>
    </row>
    <row r="88" spans="3:65">
      <c r="C88" s="408" t="s">
        <v>391</v>
      </c>
      <c r="D88" s="329">
        <v>0.22351699999999999</v>
      </c>
      <c r="E88" s="329">
        <v>0.44796900000000001</v>
      </c>
      <c r="F88" s="329">
        <v>0.25604100000000002</v>
      </c>
      <c r="G88" s="329">
        <v>0.199929</v>
      </c>
      <c r="H88" s="329">
        <v>0.29439399999999999</v>
      </c>
      <c r="I88" s="329">
        <v>0.18590499999999999</v>
      </c>
      <c r="J88" s="329">
        <v>0.28028700000000001</v>
      </c>
      <c r="K88" s="329">
        <v>0.340783</v>
      </c>
      <c r="L88" s="329">
        <v>0.35385</v>
      </c>
      <c r="M88" s="329">
        <v>0.21982199999999999</v>
      </c>
      <c r="N88" s="329">
        <v>0.25908700000000001</v>
      </c>
      <c r="O88" s="329">
        <v>0</v>
      </c>
      <c r="P88" s="329">
        <v>0.18584800000000001</v>
      </c>
      <c r="Q88" s="329">
        <v>0.24824199999999999</v>
      </c>
      <c r="R88" s="329">
        <v>0.21235999999999999</v>
      </c>
      <c r="S88" s="329">
        <v>0.23613799999999999</v>
      </c>
      <c r="T88" s="329">
        <v>0.17730599999999999</v>
      </c>
      <c r="U88" s="329">
        <v>0.26899899999999999</v>
      </c>
      <c r="V88" s="329">
        <v>0.22700999999999999</v>
      </c>
      <c r="W88" s="329">
        <v>0.24513399999999999</v>
      </c>
      <c r="X88" s="329">
        <v>0.21576799999999999</v>
      </c>
      <c r="Y88" s="329">
        <v>0.305174</v>
      </c>
      <c r="Z88" s="329">
        <v>0.25318499999999999</v>
      </c>
      <c r="AA88" s="329">
        <v>0.23299400000000001</v>
      </c>
      <c r="AB88" s="329">
        <v>0.19283800000000001</v>
      </c>
      <c r="AC88" s="329">
        <v>0.19534299999999999</v>
      </c>
      <c r="AD88" s="329">
        <v>0.18906200000000001</v>
      </c>
      <c r="AE88" s="52">
        <f>'User Add-in Location'!B94</f>
        <v>0</v>
      </c>
      <c r="AF88" s="52">
        <f>'User Add-in Location'!C94</f>
        <v>0</v>
      </c>
      <c r="AG88" s="329">
        <v>0.18512999999999999</v>
      </c>
      <c r="AH88" s="329">
        <v>0.26145499999999999</v>
      </c>
      <c r="AI88" s="329">
        <v>0.20996699999999999</v>
      </c>
      <c r="AJ88" s="329">
        <v>0.247089</v>
      </c>
      <c r="AK88" s="329">
        <v>0.17435400000000001</v>
      </c>
      <c r="AL88" s="329">
        <v>0.29904900000000001</v>
      </c>
      <c r="AM88" s="329">
        <v>0.233321</v>
      </c>
      <c r="AN88" s="329">
        <v>0.12867999999999999</v>
      </c>
      <c r="AO88" s="329">
        <v>0.24237400000000001</v>
      </c>
      <c r="AP88" s="329">
        <v>0.26989000000000002</v>
      </c>
      <c r="AQ88" s="329">
        <v>0.22701099999999999</v>
      </c>
      <c r="AR88" s="329">
        <v>0.27871800000000002</v>
      </c>
      <c r="AS88" s="324">
        <v>0</v>
      </c>
      <c r="AT88" s="324">
        <v>0</v>
      </c>
      <c r="AU88" s="324">
        <v>0</v>
      </c>
      <c r="AV88" s="324">
        <v>0</v>
      </c>
      <c r="AW88" s="324">
        <v>0</v>
      </c>
      <c r="AX88" s="324">
        <v>0</v>
      </c>
      <c r="AY88" s="324">
        <v>0</v>
      </c>
      <c r="AZ88" s="324">
        <v>0</v>
      </c>
      <c r="BA88" s="329">
        <v>0.28567199999999998</v>
      </c>
      <c r="BB88" s="329">
        <v>0.196718</v>
      </c>
      <c r="BC88" s="329">
        <v>0.16755</v>
      </c>
      <c r="BD88" s="329">
        <v>0.20880499999999999</v>
      </c>
      <c r="BE88" s="329">
        <v>0.25506299999999998</v>
      </c>
      <c r="BF88" s="329">
        <v>0.25248300000000001</v>
      </c>
      <c r="BG88" s="329">
        <v>0.27682299999999999</v>
      </c>
      <c r="BH88" s="329">
        <v>0.26688200000000001</v>
      </c>
      <c r="BI88" s="329">
        <v>0.256496</v>
      </c>
      <c r="BJ88" s="329">
        <v>0.28926099999999999</v>
      </c>
      <c r="BK88" s="329">
        <v>0.25683099999999998</v>
      </c>
      <c r="BL88" s="329">
        <v>0.28892299999999999</v>
      </c>
      <c r="BM88" s="329">
        <v>0.25554199999999999</v>
      </c>
    </row>
    <row r="89" spans="3:65">
      <c r="C89" s="408" t="s">
        <v>392</v>
      </c>
      <c r="D89" s="329">
        <v>0.195492</v>
      </c>
      <c r="E89" s="329">
        <v>0</v>
      </c>
      <c r="F89" s="329">
        <v>0.209227</v>
      </c>
      <c r="G89" s="329">
        <v>0.25288500000000003</v>
      </c>
      <c r="H89" s="329">
        <v>0.26893400000000001</v>
      </c>
      <c r="I89" s="329">
        <v>0.227711</v>
      </c>
      <c r="J89" s="329">
        <v>0.27387800000000001</v>
      </c>
      <c r="K89" s="329">
        <v>0.288968</v>
      </c>
      <c r="L89" s="329">
        <v>0</v>
      </c>
      <c r="M89" s="329">
        <v>0.26391599999999998</v>
      </c>
      <c r="N89" s="329">
        <v>0.26111299999999998</v>
      </c>
      <c r="O89" s="329">
        <v>0</v>
      </c>
      <c r="P89" s="329">
        <v>0</v>
      </c>
      <c r="Q89" s="329">
        <v>0.27494099999999999</v>
      </c>
      <c r="R89" s="329">
        <v>0.25666299999999997</v>
      </c>
      <c r="S89" s="329">
        <v>0.245502</v>
      </c>
      <c r="T89" s="329">
        <v>0.211205</v>
      </c>
      <c r="U89" s="329">
        <v>0.266154</v>
      </c>
      <c r="V89" s="329">
        <v>0.27986</v>
      </c>
      <c r="W89" s="329">
        <v>0</v>
      </c>
      <c r="X89" s="329">
        <v>0.29472799999999999</v>
      </c>
      <c r="Y89" s="329">
        <v>0.23435700000000001</v>
      </c>
      <c r="Z89" s="329">
        <v>0.30197299999999999</v>
      </c>
      <c r="AA89" s="329">
        <v>0.17543300000000001</v>
      </c>
      <c r="AB89" s="329">
        <v>0.203683</v>
      </c>
      <c r="AC89" s="329">
        <v>0.21822</v>
      </c>
      <c r="AD89" s="329">
        <v>0</v>
      </c>
      <c r="AE89" s="52">
        <f>'User Add-in Location'!B95</f>
        <v>0</v>
      </c>
      <c r="AF89" s="52">
        <f>'User Add-in Location'!C95</f>
        <v>0</v>
      </c>
      <c r="AG89" s="329">
        <v>0</v>
      </c>
      <c r="AH89" s="329">
        <v>0.27029500000000001</v>
      </c>
      <c r="AI89" s="329">
        <v>0</v>
      </c>
      <c r="AJ89" s="329">
        <v>0.25411800000000001</v>
      </c>
      <c r="AK89" s="329">
        <v>0</v>
      </c>
      <c r="AL89" s="329">
        <v>0.29379100000000002</v>
      </c>
      <c r="AM89" s="329">
        <v>0.26561299999999999</v>
      </c>
      <c r="AN89" s="329">
        <v>0</v>
      </c>
      <c r="AO89" s="329">
        <v>0.25598100000000001</v>
      </c>
      <c r="AP89" s="329">
        <v>0.22756000000000001</v>
      </c>
      <c r="AQ89" s="329">
        <v>0.22547900000000001</v>
      </c>
      <c r="AR89" s="329">
        <v>0.275148</v>
      </c>
      <c r="AS89" s="324">
        <v>0</v>
      </c>
      <c r="AT89" s="324">
        <v>0</v>
      </c>
      <c r="AU89" s="324">
        <v>0</v>
      </c>
      <c r="AV89" s="324">
        <v>0</v>
      </c>
      <c r="AW89" s="324">
        <v>0</v>
      </c>
      <c r="AX89" s="324">
        <v>0</v>
      </c>
      <c r="AY89" s="324">
        <v>0</v>
      </c>
      <c r="AZ89" s="324">
        <v>0</v>
      </c>
      <c r="BA89" s="329">
        <v>0.27616200000000002</v>
      </c>
      <c r="BB89" s="329">
        <v>0.227297</v>
      </c>
      <c r="BC89" s="329">
        <v>0</v>
      </c>
      <c r="BD89" s="329">
        <v>0.27376</v>
      </c>
      <c r="BE89" s="329">
        <v>0.266453</v>
      </c>
      <c r="BF89" s="329">
        <v>0.25657200000000002</v>
      </c>
      <c r="BG89" s="329">
        <v>0.255693</v>
      </c>
      <c r="BH89" s="329">
        <v>0</v>
      </c>
      <c r="BI89" s="329">
        <v>0.27637200000000001</v>
      </c>
      <c r="BJ89" s="329">
        <v>0.17538300000000001</v>
      </c>
      <c r="BK89" s="329">
        <v>0.29321599999999998</v>
      </c>
      <c r="BL89" s="329">
        <v>0.27255499999999999</v>
      </c>
      <c r="BM89" s="329">
        <v>0</v>
      </c>
    </row>
    <row r="90" spans="3:65">
      <c r="C90" s="408" t="s">
        <v>393</v>
      </c>
      <c r="D90" s="329">
        <v>0.125421</v>
      </c>
      <c r="E90" s="329">
        <v>0</v>
      </c>
      <c r="F90" s="329">
        <v>0.151361</v>
      </c>
      <c r="G90" s="329">
        <v>0.181504</v>
      </c>
      <c r="H90" s="329">
        <v>0.16666400000000001</v>
      </c>
      <c r="I90" s="329">
        <v>0.15146200000000001</v>
      </c>
      <c r="J90" s="329">
        <v>0.19406300000000001</v>
      </c>
      <c r="K90" s="329">
        <v>0</v>
      </c>
      <c r="L90" s="329">
        <v>0.27063900000000002</v>
      </c>
      <c r="M90" s="329">
        <v>0.158808</v>
      </c>
      <c r="N90" s="329">
        <v>0.15715899999999999</v>
      </c>
      <c r="O90" s="329">
        <v>0</v>
      </c>
      <c r="P90" s="329">
        <v>0.12325</v>
      </c>
      <c r="Q90" s="329">
        <v>0.19508700000000001</v>
      </c>
      <c r="R90" s="329">
        <v>0.161716</v>
      </c>
      <c r="S90" s="329">
        <v>0</v>
      </c>
      <c r="T90" s="329">
        <v>0.10881200000000001</v>
      </c>
      <c r="U90" s="329">
        <v>0.170518</v>
      </c>
      <c r="V90" s="329">
        <v>0.190362</v>
      </c>
      <c r="W90" s="329">
        <v>0.17075899999999999</v>
      </c>
      <c r="X90" s="329">
        <v>0.217364</v>
      </c>
      <c r="Y90" s="329">
        <v>0.17449300000000001</v>
      </c>
      <c r="Z90" s="329">
        <v>0.14118</v>
      </c>
      <c r="AA90" s="329">
        <v>0.160387</v>
      </c>
      <c r="AB90" s="329">
        <v>0.14452599999999999</v>
      </c>
      <c r="AC90" s="329">
        <v>0</v>
      </c>
      <c r="AD90" s="329">
        <v>0.11107599999999999</v>
      </c>
      <c r="AE90" s="52">
        <f>'User Add-in Location'!B96</f>
        <v>0</v>
      </c>
      <c r="AF90" s="52">
        <f>'User Add-in Location'!C96</f>
        <v>0</v>
      </c>
      <c r="AG90" s="329">
        <v>0.17300699999999999</v>
      </c>
      <c r="AH90" s="329">
        <v>0.19463</v>
      </c>
      <c r="AI90" s="329">
        <v>0.16320699999999999</v>
      </c>
      <c r="AJ90" s="329">
        <v>0.181143</v>
      </c>
      <c r="AK90" s="329">
        <v>0.12789200000000001</v>
      </c>
      <c r="AL90" s="329">
        <v>0.18526100000000001</v>
      </c>
      <c r="AM90" s="329">
        <v>0.18432899999999999</v>
      </c>
      <c r="AN90" s="329">
        <v>8.7843000000000004E-2</v>
      </c>
      <c r="AO90" s="329">
        <v>0.16506899999999999</v>
      </c>
      <c r="AP90" s="329">
        <v>0</v>
      </c>
      <c r="AQ90" s="329">
        <v>0</v>
      </c>
      <c r="AR90" s="329">
        <v>0.15875</v>
      </c>
      <c r="AS90" s="324">
        <v>0</v>
      </c>
      <c r="AT90" s="324">
        <v>0</v>
      </c>
      <c r="AU90" s="324">
        <v>0</v>
      </c>
      <c r="AV90" s="324">
        <v>0</v>
      </c>
      <c r="AW90" s="324">
        <v>0</v>
      </c>
      <c r="AX90" s="324">
        <v>0</v>
      </c>
      <c r="AY90" s="324">
        <v>0</v>
      </c>
      <c r="AZ90" s="324">
        <v>0</v>
      </c>
      <c r="BA90" s="329">
        <v>0.15917300000000001</v>
      </c>
      <c r="BB90" s="329">
        <v>0.154003</v>
      </c>
      <c r="BC90" s="329">
        <v>0</v>
      </c>
      <c r="BD90" s="329">
        <v>0.12756000000000001</v>
      </c>
      <c r="BE90" s="329">
        <v>0.197438</v>
      </c>
      <c r="BF90" s="329">
        <v>0.17549000000000001</v>
      </c>
      <c r="BG90" s="329">
        <v>0.14893300000000001</v>
      </c>
      <c r="BH90" s="329">
        <v>0.169488</v>
      </c>
      <c r="BI90" s="329">
        <v>0.17525199999999999</v>
      </c>
      <c r="BJ90" s="329">
        <v>0.15823300000000001</v>
      </c>
      <c r="BK90" s="329">
        <v>0.212119</v>
      </c>
      <c r="BL90" s="329">
        <v>0.15143300000000001</v>
      </c>
      <c r="BM90" s="329">
        <v>0.12927</v>
      </c>
    </row>
    <row r="91" spans="3:65">
      <c r="C91" s="408" t="s">
        <v>394</v>
      </c>
      <c r="D91" s="329">
        <v>0.27393000000000001</v>
      </c>
      <c r="E91" s="329">
        <v>0.209094</v>
      </c>
      <c r="F91" s="329">
        <v>0.26286500000000002</v>
      </c>
      <c r="G91" s="329">
        <v>0.23794999999999999</v>
      </c>
      <c r="H91" s="329">
        <v>0.251164</v>
      </c>
      <c r="I91" s="329">
        <v>0.30352899999999999</v>
      </c>
      <c r="J91" s="329">
        <v>0.30218299999999998</v>
      </c>
      <c r="K91" s="329">
        <v>0.27856900000000001</v>
      </c>
      <c r="L91" s="329">
        <v>0.38274599999999998</v>
      </c>
      <c r="M91" s="329">
        <v>0.25422299999999998</v>
      </c>
      <c r="N91" s="329">
        <v>0.27210000000000001</v>
      </c>
      <c r="O91" s="329">
        <v>0.25061099999999997</v>
      </c>
      <c r="P91" s="329">
        <v>0.24385299999999999</v>
      </c>
      <c r="Q91" s="329">
        <v>0.284246</v>
      </c>
      <c r="R91" s="329">
        <v>0.26443</v>
      </c>
      <c r="S91" s="329">
        <v>0.25758900000000001</v>
      </c>
      <c r="T91" s="329">
        <v>0.25649499999999997</v>
      </c>
      <c r="U91" s="329">
        <v>0.23160600000000001</v>
      </c>
      <c r="V91" s="329">
        <v>0.247359</v>
      </c>
      <c r="W91" s="329">
        <v>0.24094599999999999</v>
      </c>
      <c r="X91" s="329">
        <v>0.272789</v>
      </c>
      <c r="Y91" s="329">
        <v>0.32101200000000002</v>
      </c>
      <c r="Z91" s="329">
        <v>0.26455200000000001</v>
      </c>
      <c r="AA91" s="329">
        <v>0.28205799999999998</v>
      </c>
      <c r="AB91" s="329">
        <v>0.22381599999999999</v>
      </c>
      <c r="AC91" s="329">
        <v>0.264789</v>
      </c>
      <c r="AD91" s="329">
        <v>0.24465799999999999</v>
      </c>
      <c r="AE91" s="52">
        <f>'User Add-in Location'!B97</f>
        <v>0</v>
      </c>
      <c r="AF91" s="52">
        <f>'User Add-in Location'!C97</f>
        <v>0</v>
      </c>
      <c r="AG91" s="329">
        <v>0.23605100000000001</v>
      </c>
      <c r="AH91" s="329">
        <v>0.25834600000000002</v>
      </c>
      <c r="AI91" s="329">
        <v>0.358408</v>
      </c>
      <c r="AJ91" s="329">
        <v>0.26202900000000001</v>
      </c>
      <c r="AK91" s="329">
        <v>0.22233</v>
      </c>
      <c r="AL91" s="329">
        <v>0.277061</v>
      </c>
      <c r="AM91" s="329">
        <v>0.27462799999999998</v>
      </c>
      <c r="AN91" s="329">
        <v>0.25411400000000001</v>
      </c>
      <c r="AO91" s="329">
        <v>0.269986</v>
      </c>
      <c r="AP91" s="329">
        <v>0.24623200000000001</v>
      </c>
      <c r="AQ91" s="329">
        <v>0.28523900000000002</v>
      </c>
      <c r="AR91" s="329">
        <v>0.28981499999999999</v>
      </c>
      <c r="AS91" s="324">
        <v>0</v>
      </c>
      <c r="AT91" s="324">
        <v>0</v>
      </c>
      <c r="AU91" s="324">
        <v>0</v>
      </c>
      <c r="AV91" s="324">
        <v>0</v>
      </c>
      <c r="AW91" s="324">
        <v>0</v>
      </c>
      <c r="AX91" s="324">
        <v>0</v>
      </c>
      <c r="AY91" s="324">
        <v>0</v>
      </c>
      <c r="AZ91" s="324">
        <v>0</v>
      </c>
      <c r="BA91" s="329">
        <v>0.26941999999999999</v>
      </c>
      <c r="BB91" s="329">
        <v>0.258519</v>
      </c>
      <c r="BC91" s="329">
        <v>0.24030499999999999</v>
      </c>
      <c r="BD91" s="329">
        <v>0.24284</v>
      </c>
      <c r="BE91" s="329">
        <v>0.27538699999999999</v>
      </c>
      <c r="BF91" s="329">
        <v>0.26850000000000002</v>
      </c>
      <c r="BG91" s="329">
        <v>0.25327300000000003</v>
      </c>
      <c r="BH91" s="329">
        <v>0.231516</v>
      </c>
      <c r="BI91" s="329">
        <v>0.28669299999999998</v>
      </c>
      <c r="BJ91" s="329">
        <v>0.280084</v>
      </c>
      <c r="BK91" s="329">
        <v>0.23233400000000001</v>
      </c>
      <c r="BL91" s="329">
        <v>0.28073799999999999</v>
      </c>
      <c r="BM91" s="329">
        <v>0.24007400000000001</v>
      </c>
    </row>
    <row r="92" spans="3:65">
      <c r="C92" s="408" t="s">
        <v>395</v>
      </c>
      <c r="D92" s="329">
        <v>0.318637</v>
      </c>
      <c r="E92" s="329">
        <v>0.35656500000000002</v>
      </c>
      <c r="F92" s="329">
        <v>0.32835999999999999</v>
      </c>
      <c r="G92" s="329">
        <v>0.30438399999999999</v>
      </c>
      <c r="H92" s="329">
        <v>0.33256599999999997</v>
      </c>
      <c r="I92" s="329">
        <v>0.32976899999999998</v>
      </c>
      <c r="J92" s="329">
        <v>0.34035300000000002</v>
      </c>
      <c r="K92" s="329">
        <v>0.37193900000000002</v>
      </c>
      <c r="L92" s="329">
        <v>0.45539499999999999</v>
      </c>
      <c r="M92" s="329">
        <v>0.34361000000000003</v>
      </c>
      <c r="N92" s="329">
        <v>0.33445799999999998</v>
      </c>
      <c r="O92" s="329">
        <v>0.31470700000000001</v>
      </c>
      <c r="P92" s="329">
        <v>0.29554399999999997</v>
      </c>
      <c r="Q92" s="329">
        <v>0.33705200000000002</v>
      </c>
      <c r="R92" s="329">
        <v>0.30721599999999999</v>
      </c>
      <c r="S92" s="329">
        <v>0.32216400000000001</v>
      </c>
      <c r="T92" s="329">
        <v>0.28012500000000001</v>
      </c>
      <c r="U92" s="329">
        <v>0.337949</v>
      </c>
      <c r="V92" s="329">
        <v>0.29658699999999999</v>
      </c>
      <c r="W92" s="329">
        <v>0.31956699999999999</v>
      </c>
      <c r="X92" s="329">
        <v>0.33459</v>
      </c>
      <c r="Y92" s="329">
        <v>0.39013500000000001</v>
      </c>
      <c r="Z92" s="329">
        <v>0.34315800000000002</v>
      </c>
      <c r="AA92" s="329">
        <v>0.32079099999999999</v>
      </c>
      <c r="AB92" s="329">
        <v>0.285939</v>
      </c>
      <c r="AC92" s="329">
        <v>0.32150400000000001</v>
      </c>
      <c r="AD92" s="329">
        <v>0.34757199999999999</v>
      </c>
      <c r="AE92" s="52">
        <f>'User Add-in Location'!B98</f>
        <v>0</v>
      </c>
      <c r="AF92" s="52">
        <f>'User Add-in Location'!C98</f>
        <v>0</v>
      </c>
      <c r="AG92" s="329">
        <v>0.31558000000000003</v>
      </c>
      <c r="AH92" s="329">
        <v>0.308002</v>
      </c>
      <c r="AI92" s="329">
        <v>0.37212099999999998</v>
      </c>
      <c r="AJ92" s="329">
        <v>0.34630300000000003</v>
      </c>
      <c r="AK92" s="329">
        <v>0.32994800000000002</v>
      </c>
      <c r="AL92" s="329">
        <v>0.37591000000000002</v>
      </c>
      <c r="AM92" s="329">
        <v>0.333505</v>
      </c>
      <c r="AN92" s="329">
        <v>0.33611999999999997</v>
      </c>
      <c r="AO92" s="329">
        <v>0.302927</v>
      </c>
      <c r="AP92" s="329">
        <v>0.316359</v>
      </c>
      <c r="AQ92" s="329">
        <v>0.36277199999999998</v>
      </c>
      <c r="AR92" s="329">
        <v>0.32983499999999999</v>
      </c>
      <c r="AS92" s="324">
        <v>0</v>
      </c>
      <c r="AT92" s="324">
        <v>0</v>
      </c>
      <c r="AU92" s="324">
        <v>0</v>
      </c>
      <c r="AV92" s="324">
        <v>0</v>
      </c>
      <c r="AW92" s="324">
        <v>0</v>
      </c>
      <c r="AX92" s="324">
        <v>0</v>
      </c>
      <c r="AY92" s="324">
        <v>0</v>
      </c>
      <c r="AZ92" s="324">
        <v>0</v>
      </c>
      <c r="BA92" s="329">
        <v>0.34821000000000002</v>
      </c>
      <c r="BB92" s="329">
        <v>0.32508700000000001</v>
      </c>
      <c r="BC92" s="329">
        <v>0.29379300000000003</v>
      </c>
      <c r="BD92" s="329">
        <v>0.30776100000000001</v>
      </c>
      <c r="BE92" s="329">
        <v>0.33414500000000003</v>
      </c>
      <c r="BF92" s="329">
        <v>0.33532400000000001</v>
      </c>
      <c r="BG92" s="329">
        <v>0.31709999999999999</v>
      </c>
      <c r="BH92" s="329">
        <v>0.33548099999999997</v>
      </c>
      <c r="BI92" s="329">
        <v>0.32593100000000003</v>
      </c>
      <c r="BJ92" s="329">
        <v>0.38797199999999998</v>
      </c>
      <c r="BK92" s="329">
        <v>0.313529</v>
      </c>
      <c r="BL92" s="329">
        <v>0.30868299999999999</v>
      </c>
      <c r="BM92" s="329">
        <v>0.292576</v>
      </c>
    </row>
    <row r="93" spans="3:65">
      <c r="C93" s="408" t="s">
        <v>396</v>
      </c>
      <c r="D93" s="329">
        <v>0.18848999999999999</v>
      </c>
      <c r="E93" s="329">
        <v>0.12923599999999999</v>
      </c>
      <c r="F93" s="329">
        <v>0.19406399999999999</v>
      </c>
      <c r="G93" s="329">
        <v>0.21615500000000001</v>
      </c>
      <c r="H93" s="329">
        <v>0.20786499999999999</v>
      </c>
      <c r="I93" s="329">
        <v>0.19675200000000001</v>
      </c>
      <c r="J93" s="329">
        <v>0.15984499999999999</v>
      </c>
      <c r="K93" s="329">
        <v>0.19973099999999999</v>
      </c>
      <c r="L93" s="329">
        <v>0.19166</v>
      </c>
      <c r="M93" s="329">
        <v>0.16877800000000001</v>
      </c>
      <c r="N93" s="329">
        <v>0.21218799999999999</v>
      </c>
      <c r="O93" s="329">
        <v>0.16761200000000001</v>
      </c>
      <c r="P93" s="329">
        <v>0.183841</v>
      </c>
      <c r="Q93" s="329">
        <v>0.22702700000000001</v>
      </c>
      <c r="R93" s="329">
        <v>0.20824699999999999</v>
      </c>
      <c r="S93" s="329">
        <v>0.20238300000000001</v>
      </c>
      <c r="T93" s="329">
        <v>0.189943</v>
      </c>
      <c r="U93" s="329">
        <v>0.19020500000000001</v>
      </c>
      <c r="V93" s="329">
        <v>0.17404900000000001</v>
      </c>
      <c r="W93" s="329">
        <v>0.16925699999999999</v>
      </c>
      <c r="X93" s="329">
        <v>0.17424600000000001</v>
      </c>
      <c r="Y93" s="329">
        <v>0.192556</v>
      </c>
      <c r="Z93" s="329">
        <v>0.21870999999999999</v>
      </c>
      <c r="AA93" s="329">
        <v>0.207453</v>
      </c>
      <c r="AB93" s="329">
        <v>0.172573</v>
      </c>
      <c r="AC93" s="329">
        <v>0.203127</v>
      </c>
      <c r="AD93" s="329">
        <v>0.181232</v>
      </c>
      <c r="AE93" s="52">
        <f>'User Add-in Location'!B99</f>
        <v>0</v>
      </c>
      <c r="AF93" s="52">
        <f>'User Add-in Location'!C99</f>
        <v>0</v>
      </c>
      <c r="AG93" s="329">
        <v>0.19403400000000001</v>
      </c>
      <c r="AH93" s="329">
        <v>0.18947</v>
      </c>
      <c r="AI93" s="329">
        <v>0.164882</v>
      </c>
      <c r="AJ93" s="329">
        <v>0.206874</v>
      </c>
      <c r="AK93" s="329">
        <v>0.18109700000000001</v>
      </c>
      <c r="AL93" s="329">
        <v>0.182922</v>
      </c>
      <c r="AM93" s="329">
        <v>0.18904699999999999</v>
      </c>
      <c r="AN93" s="329">
        <v>0.23736299999999999</v>
      </c>
      <c r="AO93" s="329">
        <v>0.21560599999999999</v>
      </c>
      <c r="AP93" s="329">
        <v>0.14687</v>
      </c>
      <c r="AQ93" s="329">
        <v>0.20020499999999999</v>
      </c>
      <c r="AR93" s="329">
        <v>0.19836799999999999</v>
      </c>
      <c r="AS93" s="324">
        <v>0</v>
      </c>
      <c r="AT93" s="324">
        <v>0</v>
      </c>
      <c r="AU93" s="324">
        <v>0</v>
      </c>
      <c r="AV93" s="324">
        <v>0</v>
      </c>
      <c r="AW93" s="324">
        <v>0</v>
      </c>
      <c r="AX93" s="324">
        <v>0</v>
      </c>
      <c r="AY93" s="324">
        <v>0</v>
      </c>
      <c r="AZ93" s="324">
        <v>0</v>
      </c>
      <c r="BA93" s="329">
        <v>0.14474100000000001</v>
      </c>
      <c r="BB93" s="329">
        <v>0.176261</v>
      </c>
      <c r="BC93" s="329">
        <v>0.171684</v>
      </c>
      <c r="BD93" s="329">
        <v>0.21984799999999999</v>
      </c>
      <c r="BE93" s="329">
        <v>0.219802</v>
      </c>
      <c r="BF93" s="329">
        <v>0.19891800000000001</v>
      </c>
      <c r="BG93" s="329">
        <v>0.227329</v>
      </c>
      <c r="BH93" s="329">
        <v>0.16272</v>
      </c>
      <c r="BI93" s="329">
        <v>0.19619200000000001</v>
      </c>
      <c r="BJ93" s="329">
        <v>0.202233</v>
      </c>
      <c r="BK93" s="329">
        <v>0.18412000000000001</v>
      </c>
      <c r="BL93" s="329">
        <v>0.209922</v>
      </c>
      <c r="BM93" s="329">
        <v>0.13436799999999999</v>
      </c>
    </row>
    <row r="94" spans="3:65">
      <c r="C94" s="408" t="s">
        <v>397</v>
      </c>
      <c r="D94" s="329">
        <v>7.1589E-2</v>
      </c>
      <c r="E94" s="329">
        <v>4.5600000000000002E-2</v>
      </c>
      <c r="F94" s="329">
        <v>7.6401999999999998E-2</v>
      </c>
      <c r="G94" s="329">
        <v>5.7869999999999998E-2</v>
      </c>
      <c r="H94" s="329">
        <v>6.5999000000000002E-2</v>
      </c>
      <c r="I94" s="329">
        <v>7.4570999999999998E-2</v>
      </c>
      <c r="J94" s="329">
        <v>0.124277</v>
      </c>
      <c r="K94" s="329">
        <v>4.7081999999999999E-2</v>
      </c>
      <c r="L94" s="329">
        <v>0.13255500000000001</v>
      </c>
      <c r="M94" s="329">
        <v>7.4373999999999996E-2</v>
      </c>
      <c r="N94" s="329">
        <v>8.8315000000000005E-2</v>
      </c>
      <c r="O94" s="329">
        <v>5.7355999999999997E-2</v>
      </c>
      <c r="P94" s="329">
        <v>5.0601E-2</v>
      </c>
      <c r="Q94" s="329">
        <v>9.1899999999999996E-2</v>
      </c>
      <c r="R94" s="329">
        <v>6.8576999999999999E-2</v>
      </c>
      <c r="S94" s="329">
        <v>9.8779000000000006E-2</v>
      </c>
      <c r="T94" s="329">
        <v>7.6617000000000005E-2</v>
      </c>
      <c r="U94" s="329">
        <v>8.1401000000000001E-2</v>
      </c>
      <c r="V94" s="329">
        <v>5.4128999999999997E-2</v>
      </c>
      <c r="W94" s="329">
        <v>7.3238999999999999E-2</v>
      </c>
      <c r="X94" s="329">
        <v>6.2017999999999997E-2</v>
      </c>
      <c r="Y94" s="329">
        <v>9.9285999999999999E-2</v>
      </c>
      <c r="Z94" s="329">
        <v>6.6614999999999994E-2</v>
      </c>
      <c r="AA94" s="329">
        <v>0.104086</v>
      </c>
      <c r="AB94" s="329">
        <v>4.9568000000000001E-2</v>
      </c>
      <c r="AC94" s="329">
        <v>8.5530999999999996E-2</v>
      </c>
      <c r="AD94" s="329">
        <v>5.0930999999999997E-2</v>
      </c>
      <c r="AE94" s="52">
        <f>'User Add-in Location'!B100</f>
        <v>0</v>
      </c>
      <c r="AF94" s="52">
        <f>'User Add-in Location'!C100</f>
        <v>0</v>
      </c>
      <c r="AG94" s="329">
        <v>8.1138000000000002E-2</v>
      </c>
      <c r="AH94" s="329">
        <v>6.0518000000000002E-2</v>
      </c>
      <c r="AI94" s="329">
        <v>6.8645999999999999E-2</v>
      </c>
      <c r="AJ94" s="329">
        <v>8.3058999999999994E-2</v>
      </c>
      <c r="AK94" s="329">
        <v>5.2911E-2</v>
      </c>
      <c r="AL94" s="329">
        <v>9.5098000000000002E-2</v>
      </c>
      <c r="AM94" s="329">
        <v>7.4898000000000006E-2</v>
      </c>
      <c r="AN94" s="329">
        <v>6.9746000000000002E-2</v>
      </c>
      <c r="AO94" s="329">
        <v>8.3844000000000002E-2</v>
      </c>
      <c r="AP94" s="329">
        <v>5.6346E-2</v>
      </c>
      <c r="AQ94" s="329">
        <v>6.2792000000000001E-2</v>
      </c>
      <c r="AR94" s="329">
        <v>9.0312000000000003E-2</v>
      </c>
      <c r="AS94" s="324">
        <v>0</v>
      </c>
      <c r="AT94" s="324">
        <v>0</v>
      </c>
      <c r="AU94" s="324">
        <v>0</v>
      </c>
      <c r="AV94" s="324">
        <v>0</v>
      </c>
      <c r="AW94" s="324">
        <v>0</v>
      </c>
      <c r="AX94" s="324">
        <v>0</v>
      </c>
      <c r="AY94" s="324">
        <v>0</v>
      </c>
      <c r="AZ94" s="324">
        <v>0</v>
      </c>
      <c r="BA94" s="329">
        <v>7.1496000000000004E-2</v>
      </c>
      <c r="BB94" s="329">
        <v>6.5998000000000001E-2</v>
      </c>
      <c r="BC94" s="329">
        <v>6.2253999999999997E-2</v>
      </c>
      <c r="BD94" s="329">
        <v>8.0607999999999999E-2</v>
      </c>
      <c r="BE94" s="329">
        <v>8.7040000000000006E-2</v>
      </c>
      <c r="BF94" s="329">
        <v>7.8454999999999997E-2</v>
      </c>
      <c r="BG94" s="329">
        <v>6.1896E-2</v>
      </c>
      <c r="BH94" s="329">
        <v>6.2851000000000004E-2</v>
      </c>
      <c r="BI94" s="329">
        <v>6.5933000000000005E-2</v>
      </c>
      <c r="BJ94" s="329">
        <v>6.4297000000000007E-2</v>
      </c>
      <c r="BK94" s="329">
        <v>5.4536000000000001E-2</v>
      </c>
      <c r="BL94" s="329">
        <v>8.4018999999999996E-2</v>
      </c>
      <c r="BM94" s="329">
        <v>3.7441000000000002E-2</v>
      </c>
    </row>
    <row r="95" spans="3:65">
      <c r="C95" s="408" t="s">
        <v>398</v>
      </c>
      <c r="D95" s="329">
        <v>0.25432399999999999</v>
      </c>
      <c r="E95" s="329">
        <v>0.22742599999999999</v>
      </c>
      <c r="F95" s="329">
        <v>0.33723399999999998</v>
      </c>
      <c r="G95" s="329">
        <v>0.24382999999999999</v>
      </c>
      <c r="H95" s="329">
        <v>0.33374100000000001</v>
      </c>
      <c r="I95" s="329">
        <v>0.31964799999999999</v>
      </c>
      <c r="J95" s="329">
        <v>0.35935099999999998</v>
      </c>
      <c r="K95" s="329">
        <v>0.24632599999999999</v>
      </c>
      <c r="L95" s="329">
        <v>0.42271799999999998</v>
      </c>
      <c r="M95" s="329">
        <v>0.32588</v>
      </c>
      <c r="N95" s="329">
        <v>0.219615</v>
      </c>
      <c r="O95" s="329">
        <v>0.25142300000000001</v>
      </c>
      <c r="P95" s="329">
        <v>0.24085999999999999</v>
      </c>
      <c r="Q95" s="329">
        <v>0.36832700000000002</v>
      </c>
      <c r="R95" s="329">
        <v>0.295402</v>
      </c>
      <c r="S95" s="329">
        <v>0.27014199999999999</v>
      </c>
      <c r="T95" s="329">
        <v>0.27301999999999998</v>
      </c>
      <c r="U95" s="329">
        <v>0.28968699999999997</v>
      </c>
      <c r="V95" s="329">
        <v>0.22375300000000001</v>
      </c>
      <c r="W95" s="329">
        <v>0.28769899999999998</v>
      </c>
      <c r="X95" s="329">
        <v>0.35874899999999998</v>
      </c>
      <c r="Y95" s="329">
        <v>0.40314800000000001</v>
      </c>
      <c r="Z95" s="329">
        <v>0.31561099999999997</v>
      </c>
      <c r="AA95" s="329">
        <v>0.31797500000000001</v>
      </c>
      <c r="AB95" s="329">
        <v>0.206927</v>
      </c>
      <c r="AC95" s="329">
        <v>0.27975899999999998</v>
      </c>
      <c r="AD95" s="329">
        <v>0.24478800000000001</v>
      </c>
      <c r="AE95" s="52">
        <f>'User Add-in Location'!B101</f>
        <v>0</v>
      </c>
      <c r="AF95" s="52">
        <f>'User Add-in Location'!C101</f>
        <v>0</v>
      </c>
      <c r="AG95" s="329">
        <v>0.30696699999999999</v>
      </c>
      <c r="AH95" s="329">
        <v>0.213421</v>
      </c>
      <c r="AI95" s="329">
        <v>0.39654</v>
      </c>
      <c r="AJ95" s="329">
        <v>0.40601599999999999</v>
      </c>
      <c r="AK95" s="329">
        <v>0.252805</v>
      </c>
      <c r="AL95" s="329">
        <v>0.35830899999999999</v>
      </c>
      <c r="AM95" s="329">
        <v>0.26321699999999998</v>
      </c>
      <c r="AN95" s="329">
        <v>0.27640799999999999</v>
      </c>
      <c r="AO95" s="329">
        <v>0.21620700000000001</v>
      </c>
      <c r="AP95" s="329">
        <v>0.237957</v>
      </c>
      <c r="AQ95" s="329">
        <v>0.27639900000000001</v>
      </c>
      <c r="AR95" s="329">
        <v>0.34302300000000002</v>
      </c>
      <c r="AS95" s="324">
        <v>0</v>
      </c>
      <c r="AT95" s="324">
        <v>0</v>
      </c>
      <c r="AU95" s="324">
        <v>0</v>
      </c>
      <c r="AV95" s="324">
        <v>0</v>
      </c>
      <c r="AW95" s="324">
        <v>0</v>
      </c>
      <c r="AX95" s="324">
        <v>0</v>
      </c>
      <c r="AY95" s="324">
        <v>0</v>
      </c>
      <c r="AZ95" s="324">
        <v>0</v>
      </c>
      <c r="BA95" s="329">
        <v>0.37545400000000001</v>
      </c>
      <c r="BB95" s="329">
        <v>0.28233999999999998</v>
      </c>
      <c r="BC95" s="329">
        <v>0.13559499999999999</v>
      </c>
      <c r="BD95" s="329">
        <v>0.30268899999999999</v>
      </c>
      <c r="BE95" s="329">
        <v>0.31165999999999999</v>
      </c>
      <c r="BF95" s="329">
        <v>0.31842399999999998</v>
      </c>
      <c r="BG95" s="329">
        <v>0.21679499999999999</v>
      </c>
      <c r="BH95" s="329">
        <v>0.27917900000000001</v>
      </c>
      <c r="BI95" s="329">
        <v>0.32319599999999998</v>
      </c>
      <c r="BJ95" s="329">
        <v>0.28278799999999998</v>
      </c>
      <c r="BK95" s="329">
        <v>0.24348800000000001</v>
      </c>
      <c r="BL95" s="329">
        <v>0.279362</v>
      </c>
      <c r="BM95" s="329">
        <v>0.200961</v>
      </c>
    </row>
    <row r="96" spans="3:65">
      <c r="C96" s="408" t="s">
        <v>399</v>
      </c>
      <c r="D96" s="329">
        <v>0.39877000000000001</v>
      </c>
      <c r="E96" s="329">
        <v>0.42332900000000001</v>
      </c>
      <c r="F96" s="329">
        <v>0.42134100000000002</v>
      </c>
      <c r="G96" s="329">
        <v>0.48639900000000003</v>
      </c>
      <c r="H96" s="329">
        <v>0.46265400000000001</v>
      </c>
      <c r="I96" s="329">
        <v>0.483016</v>
      </c>
      <c r="J96" s="329">
        <v>0.46607399999999999</v>
      </c>
      <c r="K96" s="329">
        <v>0.45510099999999998</v>
      </c>
      <c r="L96" s="329">
        <v>0.498085</v>
      </c>
      <c r="M96" s="329">
        <v>0.44038100000000002</v>
      </c>
      <c r="N96" s="329">
        <v>0.47900399999999999</v>
      </c>
      <c r="O96" s="329">
        <v>0.42468699999999998</v>
      </c>
      <c r="P96" s="329">
        <v>0.38175399999999998</v>
      </c>
      <c r="Q96" s="329">
        <v>0.45862000000000003</v>
      </c>
      <c r="R96" s="329">
        <v>0.36519699999999999</v>
      </c>
      <c r="S96" s="329">
        <v>0.397561</v>
      </c>
      <c r="T96" s="329">
        <v>0.43086400000000002</v>
      </c>
      <c r="U96" s="329">
        <v>0.41012399999999999</v>
      </c>
      <c r="V96" s="329">
        <v>0.374249</v>
      </c>
      <c r="W96" s="329">
        <v>0.39912900000000001</v>
      </c>
      <c r="X96" s="329">
        <v>0.44481900000000002</v>
      </c>
      <c r="Y96" s="329">
        <v>0.49091899999999999</v>
      </c>
      <c r="Z96" s="329">
        <v>0.46660600000000002</v>
      </c>
      <c r="AA96" s="329">
        <v>0.49948199999999998</v>
      </c>
      <c r="AB96" s="329">
        <v>0.359842</v>
      </c>
      <c r="AC96" s="329">
        <v>0.44246200000000002</v>
      </c>
      <c r="AD96" s="329">
        <v>0.36363099999999998</v>
      </c>
      <c r="AE96" s="52">
        <f>'User Add-in Location'!B102</f>
        <v>0</v>
      </c>
      <c r="AF96" s="52">
        <f>'User Add-in Location'!C102</f>
        <v>0</v>
      </c>
      <c r="AG96" s="329">
        <v>0.419539</v>
      </c>
      <c r="AH96" s="329">
        <v>0.46060800000000002</v>
      </c>
      <c r="AI96" s="329">
        <v>0.42821999999999999</v>
      </c>
      <c r="AJ96" s="329">
        <v>0.49705500000000002</v>
      </c>
      <c r="AK96" s="329">
        <v>0.39635900000000002</v>
      </c>
      <c r="AL96" s="329">
        <v>0.453096</v>
      </c>
      <c r="AM96" s="329">
        <v>0.41976400000000003</v>
      </c>
      <c r="AN96" s="329">
        <v>0.44029499999999999</v>
      </c>
      <c r="AO96" s="329">
        <v>0.45591399999999999</v>
      </c>
      <c r="AP96" s="329">
        <v>0.40726600000000002</v>
      </c>
      <c r="AQ96" s="329">
        <v>0.455515</v>
      </c>
      <c r="AR96" s="329">
        <v>0.46909000000000001</v>
      </c>
      <c r="AS96" s="324">
        <v>0</v>
      </c>
      <c r="AT96" s="324">
        <v>0</v>
      </c>
      <c r="AU96" s="324">
        <v>0</v>
      </c>
      <c r="AV96" s="324">
        <v>0</v>
      </c>
      <c r="AW96" s="324">
        <v>0</v>
      </c>
      <c r="AX96" s="324">
        <v>0</v>
      </c>
      <c r="AY96" s="324">
        <v>0</v>
      </c>
      <c r="AZ96" s="324">
        <v>0</v>
      </c>
      <c r="BA96" s="329">
        <v>0.43266500000000002</v>
      </c>
      <c r="BB96" s="329">
        <v>0.39662799999999998</v>
      </c>
      <c r="BC96" s="329">
        <v>0.39702199999999999</v>
      </c>
      <c r="BD96" s="329">
        <v>0.43525700000000001</v>
      </c>
      <c r="BE96" s="329">
        <v>0.44467699999999999</v>
      </c>
      <c r="BF96" s="329">
        <v>0.45366800000000002</v>
      </c>
      <c r="BG96" s="329">
        <v>0.40055099999999999</v>
      </c>
      <c r="BH96" s="329">
        <v>0.39492300000000002</v>
      </c>
      <c r="BI96" s="329">
        <v>0.50352300000000005</v>
      </c>
      <c r="BJ96" s="329">
        <v>0.41697800000000002</v>
      </c>
      <c r="BK96" s="329">
        <v>0.33727600000000002</v>
      </c>
      <c r="BL96" s="329">
        <v>0.44345800000000002</v>
      </c>
      <c r="BM96" s="329">
        <v>0.35326000000000002</v>
      </c>
    </row>
    <row r="97" spans="3:65">
      <c r="C97" s="408" t="s">
        <v>400</v>
      </c>
      <c r="D97" s="329">
        <v>0.40817700000000001</v>
      </c>
      <c r="E97" s="329">
        <v>0.34151399999999998</v>
      </c>
      <c r="F97" s="329">
        <v>0.38664799999999999</v>
      </c>
      <c r="G97" s="329">
        <v>0.37457600000000002</v>
      </c>
      <c r="H97" s="329">
        <v>0.40610099999999999</v>
      </c>
      <c r="I97" s="329">
        <v>0.41925899999999999</v>
      </c>
      <c r="J97" s="329">
        <v>0.39448</v>
      </c>
      <c r="K97" s="329">
        <v>0.42788300000000001</v>
      </c>
      <c r="L97" s="329">
        <v>0.586974</v>
      </c>
      <c r="M97" s="329">
        <v>0.41254299999999999</v>
      </c>
      <c r="N97" s="329">
        <v>0.43370900000000001</v>
      </c>
      <c r="O97" s="329">
        <v>0.36246800000000001</v>
      </c>
      <c r="P97" s="329">
        <v>0.34700599999999998</v>
      </c>
      <c r="Q97" s="329">
        <v>0.48756500000000003</v>
      </c>
      <c r="R97" s="329">
        <v>0.35741099999999998</v>
      </c>
      <c r="S97" s="329">
        <v>0.39494400000000002</v>
      </c>
      <c r="T97" s="329">
        <v>0.37428800000000001</v>
      </c>
      <c r="U97" s="329">
        <v>0.419431</v>
      </c>
      <c r="V97" s="329">
        <v>0.39472299999999999</v>
      </c>
      <c r="W97" s="329">
        <v>0.34470400000000001</v>
      </c>
      <c r="X97" s="329">
        <v>0.38847199999999998</v>
      </c>
      <c r="Y97" s="329">
        <v>0.39387100000000003</v>
      </c>
      <c r="Z97" s="329">
        <v>0.46708300000000003</v>
      </c>
      <c r="AA97" s="329">
        <v>0.430811</v>
      </c>
      <c r="AB97" s="329">
        <v>0.32925399999999999</v>
      </c>
      <c r="AC97" s="329">
        <v>0.42880400000000002</v>
      </c>
      <c r="AD97" s="329">
        <v>0.35180899999999998</v>
      </c>
      <c r="AE97" s="52">
        <f>'User Add-in Location'!B103</f>
        <v>0</v>
      </c>
      <c r="AF97" s="52">
        <f>'User Add-in Location'!C103</f>
        <v>0</v>
      </c>
      <c r="AG97" s="329">
        <v>0.42700399999999999</v>
      </c>
      <c r="AH97" s="329">
        <v>0.37851600000000002</v>
      </c>
      <c r="AI97" s="329">
        <v>0.36552400000000002</v>
      </c>
      <c r="AJ97" s="329">
        <v>0.44677499999999998</v>
      </c>
      <c r="AK97" s="329">
        <v>0.34077000000000002</v>
      </c>
      <c r="AL97" s="329">
        <v>0.47586200000000001</v>
      </c>
      <c r="AM97" s="329">
        <v>0.37773800000000002</v>
      </c>
      <c r="AN97" s="329">
        <v>0.44224799999999997</v>
      </c>
      <c r="AO97" s="329">
        <v>0.41488199999999997</v>
      </c>
      <c r="AP97" s="329">
        <v>0.41166000000000003</v>
      </c>
      <c r="AQ97" s="329">
        <v>0.37138399999999999</v>
      </c>
      <c r="AR97" s="329">
        <v>0.46018700000000001</v>
      </c>
      <c r="AS97" s="324">
        <v>0</v>
      </c>
      <c r="AT97" s="324">
        <v>0</v>
      </c>
      <c r="AU97" s="324">
        <v>0</v>
      </c>
      <c r="AV97" s="324">
        <v>0</v>
      </c>
      <c r="AW97" s="324">
        <v>0</v>
      </c>
      <c r="AX97" s="324">
        <v>0</v>
      </c>
      <c r="AY97" s="324">
        <v>0</v>
      </c>
      <c r="AZ97" s="324">
        <v>0</v>
      </c>
      <c r="BA97" s="329">
        <v>0.367724</v>
      </c>
      <c r="BB97" s="329">
        <v>0.362896</v>
      </c>
      <c r="BC97" s="329">
        <v>0.35991299999999998</v>
      </c>
      <c r="BD97" s="329">
        <v>0.42841800000000002</v>
      </c>
      <c r="BE97" s="329">
        <v>0.426093</v>
      </c>
      <c r="BF97" s="329">
        <v>0.42261900000000002</v>
      </c>
      <c r="BG97" s="329">
        <v>0.42611100000000002</v>
      </c>
      <c r="BH97" s="329">
        <v>0.332785</v>
      </c>
      <c r="BI97" s="329">
        <v>0.43790000000000001</v>
      </c>
      <c r="BJ97" s="329">
        <v>0.35724299999999998</v>
      </c>
      <c r="BK97" s="329">
        <v>0.40731899999999999</v>
      </c>
      <c r="BL97" s="329">
        <v>0.38822400000000001</v>
      </c>
      <c r="BM97" s="329">
        <v>0.32613300000000001</v>
      </c>
    </row>
    <row r="98" spans="3:65">
      <c r="C98" s="408" t="s">
        <v>401</v>
      </c>
      <c r="D98" s="329">
        <v>0.44431999999999999</v>
      </c>
      <c r="E98" s="329">
        <v>0.37522100000000003</v>
      </c>
      <c r="F98" s="329">
        <v>0.41256799999999999</v>
      </c>
      <c r="G98" s="329">
        <v>0.37796600000000002</v>
      </c>
      <c r="H98" s="329">
        <v>0.43976100000000001</v>
      </c>
      <c r="I98" s="329">
        <v>0.452519</v>
      </c>
      <c r="J98" s="329">
        <v>0.39017400000000002</v>
      </c>
      <c r="K98" s="329">
        <v>0.44351499999999999</v>
      </c>
      <c r="L98" s="329">
        <v>0.52359</v>
      </c>
      <c r="M98" s="329">
        <v>0.41159600000000002</v>
      </c>
      <c r="N98" s="329">
        <v>0.43025200000000002</v>
      </c>
      <c r="O98" s="329">
        <v>0.37285299999999999</v>
      </c>
      <c r="P98" s="329">
        <v>0.379328</v>
      </c>
      <c r="Q98" s="329">
        <v>0.45215300000000003</v>
      </c>
      <c r="R98" s="329">
        <v>0.35697000000000001</v>
      </c>
      <c r="S98" s="329">
        <v>0.40068700000000002</v>
      </c>
      <c r="T98" s="329">
        <v>0.412188</v>
      </c>
      <c r="U98" s="329">
        <v>0.40619499999999997</v>
      </c>
      <c r="V98" s="329">
        <v>0.39170199999999999</v>
      </c>
      <c r="W98" s="329">
        <v>0.370587</v>
      </c>
      <c r="X98" s="329">
        <v>0.44135200000000002</v>
      </c>
      <c r="Y98" s="329">
        <v>0.45228800000000002</v>
      </c>
      <c r="Z98" s="329">
        <v>0.48332199999999997</v>
      </c>
      <c r="AA98" s="329">
        <v>0.43937100000000001</v>
      </c>
      <c r="AB98" s="329">
        <v>0.32395000000000002</v>
      </c>
      <c r="AC98" s="329">
        <v>0.437164</v>
      </c>
      <c r="AD98" s="329">
        <v>0.369394</v>
      </c>
      <c r="AE98" s="52">
        <f>'User Add-in Location'!B104</f>
        <v>0</v>
      </c>
      <c r="AF98" s="52">
        <f>'User Add-in Location'!C104</f>
        <v>0</v>
      </c>
      <c r="AG98" s="329">
        <v>0.42368699999999998</v>
      </c>
      <c r="AH98" s="329">
        <v>0.386882</v>
      </c>
      <c r="AI98" s="329">
        <v>0.39695999999999998</v>
      </c>
      <c r="AJ98" s="329">
        <v>0.44047599999999998</v>
      </c>
      <c r="AK98" s="329">
        <v>0.415246</v>
      </c>
      <c r="AL98" s="329">
        <v>0.444857</v>
      </c>
      <c r="AM98" s="329">
        <v>0.399671</v>
      </c>
      <c r="AN98" s="329">
        <v>0.47672999999999999</v>
      </c>
      <c r="AO98" s="329">
        <v>0.40325499999999997</v>
      </c>
      <c r="AP98" s="329">
        <v>0.39118700000000001</v>
      </c>
      <c r="AQ98" s="329">
        <v>0.381075</v>
      </c>
      <c r="AR98" s="329">
        <v>0.444465</v>
      </c>
      <c r="AS98" s="324">
        <v>0</v>
      </c>
      <c r="AT98" s="324">
        <v>0</v>
      </c>
      <c r="AU98" s="324">
        <v>0</v>
      </c>
      <c r="AV98" s="324">
        <v>0</v>
      </c>
      <c r="AW98" s="324">
        <v>0</v>
      </c>
      <c r="AX98" s="324">
        <v>0</v>
      </c>
      <c r="AY98" s="324">
        <v>0</v>
      </c>
      <c r="AZ98" s="324">
        <v>0</v>
      </c>
      <c r="BA98" s="329">
        <v>0.37204599999999999</v>
      </c>
      <c r="BB98" s="329">
        <v>0.39092900000000003</v>
      </c>
      <c r="BC98" s="329">
        <v>0.36074899999999999</v>
      </c>
      <c r="BD98" s="329">
        <v>0.39704899999999999</v>
      </c>
      <c r="BE98" s="329">
        <v>0.44990999999999998</v>
      </c>
      <c r="BF98" s="329">
        <v>0.43282999999999999</v>
      </c>
      <c r="BG98" s="329">
        <v>0.43485099999999999</v>
      </c>
      <c r="BH98" s="329">
        <v>0.34572199999999997</v>
      </c>
      <c r="BI98" s="329">
        <v>0.48589500000000002</v>
      </c>
      <c r="BJ98" s="329">
        <v>0.40718199999999999</v>
      </c>
      <c r="BK98" s="329">
        <v>0.35899500000000001</v>
      </c>
      <c r="BL98" s="329">
        <v>0.39854800000000001</v>
      </c>
      <c r="BM98" s="329">
        <v>0.32834600000000003</v>
      </c>
    </row>
    <row r="99" spans="3:65">
      <c r="C99" s="408" t="s">
        <v>402</v>
      </c>
      <c r="D99" s="329">
        <v>0.36987300000000001</v>
      </c>
      <c r="E99" s="329">
        <v>0.38150699999999999</v>
      </c>
      <c r="F99" s="329">
        <v>0.38406800000000002</v>
      </c>
      <c r="G99" s="329">
        <v>0.36515999999999998</v>
      </c>
      <c r="H99" s="329">
        <v>0.38965699999999998</v>
      </c>
      <c r="I99" s="329">
        <v>0.38514199999999998</v>
      </c>
      <c r="J99" s="329">
        <v>0.38345299999999999</v>
      </c>
      <c r="K99" s="329">
        <v>0.37933499999999998</v>
      </c>
      <c r="L99" s="329">
        <v>0.48568499999999998</v>
      </c>
      <c r="M99" s="329">
        <v>0.37216700000000003</v>
      </c>
      <c r="N99" s="329">
        <v>0.34906700000000002</v>
      </c>
      <c r="O99" s="329">
        <v>0.36980099999999999</v>
      </c>
      <c r="P99" s="329">
        <v>0.34974300000000003</v>
      </c>
      <c r="Q99" s="329">
        <v>0.39343</v>
      </c>
      <c r="R99" s="329">
        <v>0.37811600000000001</v>
      </c>
      <c r="S99" s="329">
        <v>0.37696400000000002</v>
      </c>
      <c r="T99" s="329">
        <v>0.32495099999999999</v>
      </c>
      <c r="U99" s="329">
        <v>0.38925500000000002</v>
      </c>
      <c r="V99" s="329">
        <v>0.35673199999999999</v>
      </c>
      <c r="W99" s="329">
        <v>0.39503700000000003</v>
      </c>
      <c r="X99" s="329">
        <v>0.38697700000000002</v>
      </c>
      <c r="Y99" s="329">
        <v>0.43784499999999998</v>
      </c>
      <c r="Z99" s="329">
        <v>0.39216099999999998</v>
      </c>
      <c r="AA99" s="329">
        <v>0.41869499999999998</v>
      </c>
      <c r="AB99" s="329">
        <v>0.33004899999999998</v>
      </c>
      <c r="AC99" s="329">
        <v>0.38212400000000002</v>
      </c>
      <c r="AD99" s="329">
        <v>0.36698700000000001</v>
      </c>
      <c r="AE99" s="52">
        <f>'User Add-in Location'!B105</f>
        <v>0</v>
      </c>
      <c r="AF99" s="52">
        <f>'User Add-in Location'!C105</f>
        <v>0</v>
      </c>
      <c r="AG99" s="329">
        <v>0.37418800000000002</v>
      </c>
      <c r="AH99" s="329">
        <v>0.35621199999999997</v>
      </c>
      <c r="AI99" s="329">
        <v>0.41068399999999999</v>
      </c>
      <c r="AJ99" s="329">
        <v>0.40622799999999998</v>
      </c>
      <c r="AK99" s="329">
        <v>0.34402199999999999</v>
      </c>
      <c r="AL99" s="329">
        <v>0.39169799999999999</v>
      </c>
      <c r="AM99" s="329">
        <v>0.37374400000000002</v>
      </c>
      <c r="AN99" s="329">
        <v>0.38287100000000002</v>
      </c>
      <c r="AO99" s="329">
        <v>0.38468599999999997</v>
      </c>
      <c r="AP99" s="329">
        <v>0.35102299999999997</v>
      </c>
      <c r="AQ99" s="329">
        <v>0.38458900000000001</v>
      </c>
      <c r="AR99" s="329">
        <v>0.4007</v>
      </c>
      <c r="AS99" s="324">
        <v>0</v>
      </c>
      <c r="AT99" s="324">
        <v>0</v>
      </c>
      <c r="AU99" s="324">
        <v>0</v>
      </c>
      <c r="AV99" s="324">
        <v>0</v>
      </c>
      <c r="AW99" s="324">
        <v>0</v>
      </c>
      <c r="AX99" s="324">
        <v>0</v>
      </c>
      <c r="AY99" s="324">
        <v>0</v>
      </c>
      <c r="AZ99" s="324">
        <v>0</v>
      </c>
      <c r="BA99" s="329">
        <v>0.40432000000000001</v>
      </c>
      <c r="BB99" s="329">
        <v>0.35499900000000001</v>
      </c>
      <c r="BC99" s="329">
        <v>0.36155500000000002</v>
      </c>
      <c r="BD99" s="329">
        <v>0.35690699999999997</v>
      </c>
      <c r="BE99" s="329">
        <v>0.37974400000000003</v>
      </c>
      <c r="BF99" s="329">
        <v>0.385185</v>
      </c>
      <c r="BG99" s="329">
        <v>0.37137599999999998</v>
      </c>
      <c r="BH99" s="329">
        <v>0.389069</v>
      </c>
      <c r="BI99" s="329">
        <v>0.40905000000000002</v>
      </c>
      <c r="BJ99" s="329">
        <v>0.37709700000000002</v>
      </c>
      <c r="BK99" s="329">
        <v>0.386521</v>
      </c>
      <c r="BL99" s="329">
        <v>0.395646</v>
      </c>
      <c r="BM99" s="329">
        <v>0.340833</v>
      </c>
    </row>
    <row r="100" spans="3:65">
      <c r="C100" s="408" t="s">
        <v>403</v>
      </c>
      <c r="D100" s="329">
        <v>0.59403300000000003</v>
      </c>
      <c r="E100" s="329">
        <v>0.79500899999999997</v>
      </c>
      <c r="F100" s="329">
        <v>0.65755200000000003</v>
      </c>
      <c r="G100" s="329">
        <v>0.73215399999999997</v>
      </c>
      <c r="H100" s="329">
        <v>0.76247799999999999</v>
      </c>
      <c r="I100" s="329">
        <v>0.76784699999999995</v>
      </c>
      <c r="J100" s="329">
        <v>0.60215700000000005</v>
      </c>
      <c r="K100" s="329">
        <v>0.74375500000000005</v>
      </c>
      <c r="L100" s="329">
        <v>0.749749</v>
      </c>
      <c r="M100" s="329">
        <v>0.72930200000000001</v>
      </c>
      <c r="N100" s="329">
        <v>0.79769400000000001</v>
      </c>
      <c r="O100" s="329">
        <v>0.74566600000000005</v>
      </c>
      <c r="P100" s="329">
        <v>0.69650199999999995</v>
      </c>
      <c r="Q100" s="329">
        <v>0.838785</v>
      </c>
      <c r="R100" s="329">
        <v>0.69327499999999997</v>
      </c>
      <c r="S100" s="329">
        <v>0.72286300000000003</v>
      </c>
      <c r="T100" s="329">
        <v>0.73091200000000001</v>
      </c>
      <c r="U100" s="329">
        <v>0.71948400000000001</v>
      </c>
      <c r="V100" s="329">
        <v>0.77490300000000001</v>
      </c>
      <c r="W100" s="329">
        <v>0.79225999999999996</v>
      </c>
      <c r="X100" s="329">
        <v>0.62714899999999996</v>
      </c>
      <c r="Y100" s="329">
        <v>0.60076200000000002</v>
      </c>
      <c r="Z100" s="329">
        <v>0.77584600000000004</v>
      </c>
      <c r="AA100" s="329">
        <v>0.74471699999999996</v>
      </c>
      <c r="AB100" s="329">
        <v>0.76888400000000001</v>
      </c>
      <c r="AC100" s="329">
        <v>0.76484600000000003</v>
      </c>
      <c r="AD100" s="329">
        <v>0.76328799999999997</v>
      </c>
      <c r="AE100" s="52">
        <f>'User Add-in Location'!B106</f>
        <v>0</v>
      </c>
      <c r="AF100" s="52">
        <f>'User Add-in Location'!C106</f>
        <v>0</v>
      </c>
      <c r="AG100" s="329">
        <v>0.78076400000000001</v>
      </c>
      <c r="AH100" s="329">
        <v>0.81495700000000004</v>
      </c>
      <c r="AI100" s="329">
        <v>0.59322699999999995</v>
      </c>
      <c r="AJ100" s="329">
        <v>0.79894900000000002</v>
      </c>
      <c r="AK100" s="329">
        <v>0.46834700000000001</v>
      </c>
      <c r="AL100" s="329">
        <v>0.803589</v>
      </c>
      <c r="AM100" s="329">
        <v>0.73939600000000005</v>
      </c>
      <c r="AN100" s="329">
        <v>0.715669</v>
      </c>
      <c r="AO100" s="329">
        <v>0.74285699999999999</v>
      </c>
      <c r="AP100" s="329">
        <v>0.61138899999999996</v>
      </c>
      <c r="AQ100" s="329">
        <v>0.74783299999999997</v>
      </c>
      <c r="AR100" s="329">
        <v>0.73117900000000002</v>
      </c>
      <c r="AS100" s="324">
        <v>0</v>
      </c>
      <c r="AT100" s="324">
        <v>0</v>
      </c>
      <c r="AU100" s="324">
        <v>0</v>
      </c>
      <c r="AV100" s="324">
        <v>0</v>
      </c>
      <c r="AW100" s="324">
        <v>0</v>
      </c>
      <c r="AX100" s="324">
        <v>0</v>
      </c>
      <c r="AY100" s="324">
        <v>0</v>
      </c>
      <c r="AZ100" s="324">
        <v>0</v>
      </c>
      <c r="BA100" s="329">
        <v>0.66903299999999999</v>
      </c>
      <c r="BB100" s="329">
        <v>0.75782799999999995</v>
      </c>
      <c r="BC100" s="329">
        <v>0.685531</v>
      </c>
      <c r="BD100" s="329">
        <v>0.72823199999999999</v>
      </c>
      <c r="BE100" s="329">
        <v>0.75622599999999995</v>
      </c>
      <c r="BF100" s="329">
        <v>0.73698900000000001</v>
      </c>
      <c r="BG100" s="329">
        <v>0.70170900000000003</v>
      </c>
      <c r="BH100" s="329">
        <v>0.85326199999999996</v>
      </c>
      <c r="BI100" s="329">
        <v>0.746027</v>
      </c>
      <c r="BJ100" s="329">
        <v>0.71802999999999995</v>
      </c>
      <c r="BK100" s="329">
        <v>0.70807600000000004</v>
      </c>
      <c r="BL100" s="329">
        <v>0.78366599999999997</v>
      </c>
      <c r="BM100" s="329">
        <v>0.75946599999999997</v>
      </c>
    </row>
    <row r="101" spans="3:65">
      <c r="C101" s="408" t="s">
        <v>404</v>
      </c>
      <c r="D101" s="329">
        <v>0.225795</v>
      </c>
      <c r="E101" s="329">
        <v>0.29539399999999999</v>
      </c>
      <c r="F101" s="329">
        <v>0.27060299999999998</v>
      </c>
      <c r="G101" s="329">
        <v>0.17916699999999999</v>
      </c>
      <c r="H101" s="329">
        <v>0.35853600000000002</v>
      </c>
      <c r="I101" s="329">
        <v>0.19912299999999999</v>
      </c>
      <c r="J101" s="329">
        <v>0.218584</v>
      </c>
      <c r="K101" s="329">
        <v>0.115824</v>
      </c>
      <c r="L101" s="329">
        <v>0.21293500000000001</v>
      </c>
      <c r="M101" s="329">
        <v>0.22481400000000001</v>
      </c>
      <c r="N101" s="329">
        <v>0.26788699999999999</v>
      </c>
      <c r="O101" s="329">
        <v>6.3451999999999995E-2</v>
      </c>
      <c r="P101" s="329">
        <v>0.25191599999999997</v>
      </c>
      <c r="Q101" s="329">
        <v>0.20732100000000001</v>
      </c>
      <c r="R101" s="329">
        <v>0.23063700000000001</v>
      </c>
      <c r="S101" s="329">
        <v>0.26032</v>
      </c>
      <c r="T101" s="329">
        <v>0.143923</v>
      </c>
      <c r="U101" s="329">
        <v>0.172011</v>
      </c>
      <c r="V101" s="329">
        <v>9.5311000000000007E-2</v>
      </c>
      <c r="W101" s="329">
        <v>0.180338</v>
      </c>
      <c r="X101" s="329">
        <v>0.21145700000000001</v>
      </c>
      <c r="Y101" s="329">
        <v>0.25428099999999998</v>
      </c>
      <c r="Z101" s="329">
        <v>0.23705100000000001</v>
      </c>
      <c r="AA101" s="329">
        <v>0.229737</v>
      </c>
      <c r="AB101" s="329">
        <v>8.1632999999999997E-2</v>
      </c>
      <c r="AC101" s="329">
        <v>0.16147700000000001</v>
      </c>
      <c r="AD101" s="329">
        <v>0.29105799999999998</v>
      </c>
      <c r="AE101" s="52">
        <f>'User Add-in Location'!B107</f>
        <v>0</v>
      </c>
      <c r="AF101" s="52">
        <f>'User Add-in Location'!C107</f>
        <v>0</v>
      </c>
      <c r="AG101" s="329">
        <v>0.2482</v>
      </c>
      <c r="AH101" s="329">
        <v>0.15889300000000001</v>
      </c>
      <c r="AI101" s="329">
        <v>0.28277200000000002</v>
      </c>
      <c r="AJ101" s="329">
        <v>0.202711</v>
      </c>
      <c r="AK101" s="329">
        <v>0.23126099999999999</v>
      </c>
      <c r="AL101" s="329">
        <v>0.24240200000000001</v>
      </c>
      <c r="AM101" s="329">
        <v>0.208312</v>
      </c>
      <c r="AN101" s="329">
        <v>0.26233200000000001</v>
      </c>
      <c r="AO101" s="329">
        <v>0.206453</v>
      </c>
      <c r="AP101" s="329">
        <v>0.25331599999999999</v>
      </c>
      <c r="AQ101" s="329">
        <v>0.23776</v>
      </c>
      <c r="AR101" s="329">
        <v>0.26342199999999999</v>
      </c>
      <c r="AS101" s="324">
        <v>0</v>
      </c>
      <c r="AT101" s="324">
        <v>0</v>
      </c>
      <c r="AU101" s="324">
        <v>0</v>
      </c>
      <c r="AV101" s="324">
        <v>0</v>
      </c>
      <c r="AW101" s="324">
        <v>0</v>
      </c>
      <c r="AX101" s="324">
        <v>0</v>
      </c>
      <c r="AY101" s="324">
        <v>0</v>
      </c>
      <c r="AZ101" s="324">
        <v>0</v>
      </c>
      <c r="BA101" s="329">
        <v>0.28171200000000002</v>
      </c>
      <c r="BB101" s="329">
        <v>0.168131</v>
      </c>
      <c r="BC101" s="329">
        <v>0.12037399999999999</v>
      </c>
      <c r="BD101" s="329">
        <v>0.18538499999999999</v>
      </c>
      <c r="BE101" s="329">
        <v>0.25359500000000001</v>
      </c>
      <c r="BF101" s="329">
        <v>0.27335300000000001</v>
      </c>
      <c r="BG101" s="329">
        <v>0.20926600000000001</v>
      </c>
      <c r="BH101" s="329">
        <v>0.23379900000000001</v>
      </c>
      <c r="BI101" s="329">
        <v>0.22650799999999999</v>
      </c>
      <c r="BJ101" s="329">
        <v>0.201017</v>
      </c>
      <c r="BK101" s="329">
        <v>0.149393</v>
      </c>
      <c r="BL101" s="329">
        <v>0.26498899999999997</v>
      </c>
      <c r="BM101" s="329">
        <v>0</v>
      </c>
    </row>
    <row r="102" spans="3:65">
      <c r="C102" s="351"/>
      <c r="D102" s="329"/>
      <c r="E102" s="329"/>
      <c r="F102" s="329"/>
      <c r="G102" s="329"/>
      <c r="H102" s="329"/>
      <c r="I102" s="329"/>
      <c r="J102" s="329"/>
      <c r="K102" s="329"/>
      <c r="L102" s="329"/>
      <c r="M102" s="329"/>
      <c r="N102" s="329"/>
      <c r="O102" s="329"/>
      <c r="P102" s="329"/>
      <c r="Q102" s="329"/>
      <c r="R102" s="329"/>
      <c r="S102" s="329"/>
      <c r="T102" s="329"/>
      <c r="U102" s="329"/>
      <c r="V102" s="329"/>
      <c r="W102" s="329"/>
      <c r="X102" s="329"/>
      <c r="Y102" s="329"/>
      <c r="Z102" s="329"/>
      <c r="AA102" s="329"/>
      <c r="AB102" s="329"/>
      <c r="AC102" s="329"/>
      <c r="AD102" s="329"/>
      <c r="AG102" s="329"/>
      <c r="AH102" s="329"/>
      <c r="AI102" s="329"/>
      <c r="AJ102" s="329"/>
      <c r="AK102" s="329"/>
      <c r="AL102" s="329"/>
      <c r="AM102" s="329"/>
      <c r="AN102" s="329"/>
      <c r="AO102" s="329"/>
      <c r="AP102" s="329"/>
      <c r="AQ102" s="329"/>
      <c r="AR102" s="329"/>
      <c r="AS102" s="324"/>
      <c r="AT102" s="324"/>
      <c r="AU102" s="324"/>
      <c r="AV102" s="324"/>
      <c r="AW102" s="324"/>
      <c r="AX102" s="324"/>
      <c r="AY102" s="324"/>
      <c r="AZ102" s="324"/>
      <c r="BA102" s="329"/>
      <c r="BB102" s="329"/>
      <c r="BC102" s="329"/>
      <c r="BD102" s="329"/>
      <c r="BE102" s="329"/>
      <c r="BF102" s="329"/>
      <c r="BG102" s="329"/>
      <c r="BH102" s="329"/>
      <c r="BI102" s="329"/>
      <c r="BJ102" s="329"/>
      <c r="BK102" s="329"/>
      <c r="BL102" s="329"/>
      <c r="BM102" s="329"/>
    </row>
    <row r="103" spans="3:65" ht="13.5" customHeight="1">
      <c r="C103" s="319" t="s">
        <v>407</v>
      </c>
      <c r="AS103" s="324"/>
      <c r="AT103" s="324"/>
      <c r="AU103" s="324"/>
      <c r="AV103" s="324"/>
      <c r="AW103" s="324"/>
      <c r="AX103" s="324"/>
      <c r="AY103" s="324"/>
      <c r="AZ103" s="324"/>
    </row>
    <row r="104" spans="3:65" ht="12.75" customHeight="1">
      <c r="C104" s="352" t="s">
        <v>409</v>
      </c>
      <c r="D104" s="52" t="s">
        <v>219</v>
      </c>
      <c r="E104" s="52" t="s">
        <v>222</v>
      </c>
      <c r="F104" s="52" t="s">
        <v>231</v>
      </c>
      <c r="G104" s="52" t="s">
        <v>221</v>
      </c>
      <c r="H104" s="52" t="s">
        <v>223</v>
      </c>
      <c r="I104" s="52" t="s">
        <v>240</v>
      </c>
      <c r="J104" s="52" t="s">
        <v>216</v>
      </c>
      <c r="K104" s="52" t="s">
        <v>217</v>
      </c>
      <c r="L104" s="52" t="s">
        <v>218</v>
      </c>
      <c r="M104" s="52" t="s">
        <v>228</v>
      </c>
      <c r="N104" s="52" t="s">
        <v>237</v>
      </c>
      <c r="O104" s="52" t="s">
        <v>232</v>
      </c>
      <c r="P104" s="52" t="s">
        <v>248</v>
      </c>
      <c r="Q104" s="52" t="s">
        <v>220</v>
      </c>
      <c r="R104" s="52" t="s">
        <v>229</v>
      </c>
      <c r="S104" s="52" t="s">
        <v>238</v>
      </c>
      <c r="T104" s="52" t="s">
        <v>254</v>
      </c>
      <c r="U104" s="52" t="s">
        <v>245</v>
      </c>
      <c r="V104" s="52" t="s">
        <v>230</v>
      </c>
      <c r="W104" s="52" t="s">
        <v>225</v>
      </c>
      <c r="X104" s="52" t="s">
        <v>227</v>
      </c>
      <c r="Y104" s="52" t="s">
        <v>234</v>
      </c>
      <c r="Z104" s="52" t="s">
        <v>246</v>
      </c>
      <c r="AA104" s="52" t="s">
        <v>252</v>
      </c>
      <c r="AB104" s="52" t="s">
        <v>251</v>
      </c>
      <c r="AC104" s="52" t="s">
        <v>239</v>
      </c>
      <c r="AD104" s="52" t="s">
        <v>260</v>
      </c>
      <c r="AE104" s="52" t="s">
        <v>381</v>
      </c>
      <c r="AF104" s="52" t="s">
        <v>382</v>
      </c>
      <c r="AG104" s="52" t="s">
        <v>264</v>
      </c>
      <c r="AH104" s="52" t="s">
        <v>266</v>
      </c>
      <c r="AI104" s="52" t="s">
        <v>242</v>
      </c>
      <c r="AJ104" s="52" t="s">
        <v>489</v>
      </c>
      <c r="AK104" s="52" t="s">
        <v>247</v>
      </c>
      <c r="AL104" s="52" t="s">
        <v>250</v>
      </c>
      <c r="AM104" s="52" t="s">
        <v>236</v>
      </c>
      <c r="AN104" s="52" t="s">
        <v>268</v>
      </c>
      <c r="AO104" s="52" t="s">
        <v>258</v>
      </c>
      <c r="AP104" s="52" t="s">
        <v>253</v>
      </c>
      <c r="AQ104" s="52" t="s">
        <v>270</v>
      </c>
      <c r="AR104" s="52" t="s">
        <v>235</v>
      </c>
      <c r="AS104" s="407" t="s">
        <v>207</v>
      </c>
      <c r="AT104" s="407" t="s">
        <v>208</v>
      </c>
      <c r="AU104" s="407" t="s">
        <v>209</v>
      </c>
      <c r="AV104" s="407" t="s">
        <v>210</v>
      </c>
      <c r="AW104" s="407" t="s">
        <v>211</v>
      </c>
      <c r="AX104" s="407" t="s">
        <v>212</v>
      </c>
      <c r="AY104" s="407" t="s">
        <v>213</v>
      </c>
      <c r="AZ104" s="407" t="s">
        <v>214</v>
      </c>
      <c r="BA104" s="52" t="s">
        <v>256</v>
      </c>
      <c r="BB104" s="52" t="s">
        <v>490</v>
      </c>
      <c r="BC104" s="52" t="s">
        <v>272</v>
      </c>
      <c r="BD104" s="52" t="s">
        <v>491</v>
      </c>
      <c r="BE104" s="52" t="s">
        <v>492</v>
      </c>
      <c r="BF104" s="321" t="s">
        <v>604</v>
      </c>
      <c r="BG104" s="52" t="s">
        <v>274</v>
      </c>
      <c r="BH104" s="52" t="s">
        <v>262</v>
      </c>
      <c r="BI104" s="52" t="s">
        <v>244</v>
      </c>
      <c r="BJ104" s="52" t="s">
        <v>275</v>
      </c>
      <c r="BK104" s="52" t="s">
        <v>243</v>
      </c>
      <c r="BL104" s="52" t="s">
        <v>263</v>
      </c>
      <c r="BM104" s="52" t="s">
        <v>493</v>
      </c>
    </row>
    <row r="105" spans="3:65">
      <c r="C105" s="408" t="s">
        <v>383</v>
      </c>
      <c r="D105" s="329">
        <v>0.112205</v>
      </c>
      <c r="E105" s="329">
        <v>5.0220000000000001E-2</v>
      </c>
      <c r="F105" s="329">
        <v>7.2609000000000007E-2</v>
      </c>
      <c r="G105" s="329">
        <v>0.14424300000000001</v>
      </c>
      <c r="H105" s="329">
        <v>8.5732000000000003E-2</v>
      </c>
      <c r="I105" s="329">
        <v>0.14632100000000001</v>
      </c>
      <c r="J105" s="329">
        <v>7.5586E-2</v>
      </c>
      <c r="K105" s="329">
        <v>9.3966999999999995E-2</v>
      </c>
      <c r="L105" s="329">
        <v>2.2769000000000001E-2</v>
      </c>
      <c r="M105" s="329">
        <v>7.1182999999999996E-2</v>
      </c>
      <c r="N105" s="329">
        <v>0.13241800000000001</v>
      </c>
      <c r="O105" s="329">
        <v>5.7093999999999999E-2</v>
      </c>
      <c r="P105" s="329">
        <v>0.109749</v>
      </c>
      <c r="Q105" s="329">
        <v>0.13938500000000001</v>
      </c>
      <c r="R105" s="329">
        <v>0.120798</v>
      </c>
      <c r="S105" s="329">
        <v>0.133523</v>
      </c>
      <c r="T105" s="329">
        <v>0.155887</v>
      </c>
      <c r="U105" s="329">
        <v>8.6715E-2</v>
      </c>
      <c r="V105" s="329">
        <v>0.101421</v>
      </c>
      <c r="W105" s="329">
        <v>5.0823E-2</v>
      </c>
      <c r="X105" s="329">
        <v>8.7001999999999996E-2</v>
      </c>
      <c r="Y105" s="329">
        <v>4.2681999999999998E-2</v>
      </c>
      <c r="Z105" s="329">
        <v>0.10656</v>
      </c>
      <c r="AA105" s="329">
        <v>0.174507</v>
      </c>
      <c r="AB105" s="329">
        <v>0.117517</v>
      </c>
      <c r="AC105" s="329">
        <v>0.15055199999999999</v>
      </c>
      <c r="AD105" s="329">
        <v>8.3834000000000006E-2</v>
      </c>
      <c r="AE105" s="52">
        <f>'User Add-in Location'!B111</f>
        <v>0</v>
      </c>
      <c r="AF105" s="52">
        <f>'User Add-in Location'!C111</f>
        <v>0</v>
      </c>
      <c r="AG105" s="329">
        <v>0.14851300000000001</v>
      </c>
      <c r="AH105" s="329">
        <v>7.3666999999999996E-2</v>
      </c>
      <c r="AI105" s="329">
        <v>8.5553000000000004E-2</v>
      </c>
      <c r="AJ105" s="329">
        <v>6.7545999999999995E-2</v>
      </c>
      <c r="AK105" s="329">
        <v>9.1875999999999999E-2</v>
      </c>
      <c r="AL105" s="329">
        <v>9.0000999999999998E-2</v>
      </c>
      <c r="AM105" s="329">
        <v>0.13747799999999999</v>
      </c>
      <c r="AN105" s="329">
        <v>9.1189999999999993E-2</v>
      </c>
      <c r="AO105" s="329">
        <v>8.0731999999999998E-2</v>
      </c>
      <c r="AP105" s="329">
        <v>0.12332799999999999</v>
      </c>
      <c r="AQ105" s="329">
        <v>0.105571</v>
      </c>
      <c r="AR105" s="329">
        <v>0.12765499999999999</v>
      </c>
      <c r="AS105" s="324">
        <v>0</v>
      </c>
      <c r="AT105" s="324">
        <v>0</v>
      </c>
      <c r="AU105" s="324">
        <v>0</v>
      </c>
      <c r="AV105" s="324">
        <v>0</v>
      </c>
      <c r="AW105" s="324">
        <v>0</v>
      </c>
      <c r="AX105" s="324">
        <v>0</v>
      </c>
      <c r="AY105" s="324">
        <v>0</v>
      </c>
      <c r="AZ105" s="324">
        <v>0</v>
      </c>
      <c r="BA105" s="329">
        <v>2.2626E-2</v>
      </c>
      <c r="BB105" s="329">
        <v>8.6862999999999996E-2</v>
      </c>
      <c r="BC105" s="329">
        <v>0.120062</v>
      </c>
      <c r="BD105" s="329">
        <v>0.106419</v>
      </c>
      <c r="BE105" s="329">
        <v>0.14957400000000001</v>
      </c>
      <c r="BF105" s="329">
        <v>0.190417</v>
      </c>
      <c r="BG105" s="329">
        <v>0.107612</v>
      </c>
      <c r="BH105" s="329">
        <v>9.5826999999999996E-2</v>
      </c>
      <c r="BI105" s="329">
        <v>0.101282</v>
      </c>
      <c r="BJ105" s="329">
        <v>6.2227999999999999E-2</v>
      </c>
      <c r="BK105" s="329">
        <v>4.8154000000000002E-2</v>
      </c>
      <c r="BL105" s="329">
        <v>0.107793</v>
      </c>
      <c r="BM105" s="329">
        <v>4.3150000000000001E-2</v>
      </c>
    </row>
    <row r="106" spans="3:65">
      <c r="C106" s="408" t="s">
        <v>384</v>
      </c>
      <c r="D106" s="329">
        <v>0.10552400000000001</v>
      </c>
      <c r="E106" s="329">
        <v>6.6890000000000005E-2</v>
      </c>
      <c r="F106" s="329">
        <v>0.13514000000000001</v>
      </c>
      <c r="G106" s="329">
        <v>0.174959</v>
      </c>
      <c r="H106" s="329">
        <v>0.16621</v>
      </c>
      <c r="I106" s="329">
        <v>0.16369500000000001</v>
      </c>
      <c r="J106" s="329">
        <v>0.17169999999999999</v>
      </c>
      <c r="K106" s="329">
        <v>0.186972</v>
      </c>
      <c r="L106" s="329">
        <v>0.14542099999999999</v>
      </c>
      <c r="M106" s="329">
        <v>0.21877199999999999</v>
      </c>
      <c r="N106" s="329">
        <v>0.146589</v>
      </c>
      <c r="O106" s="329">
        <v>0.12917300000000001</v>
      </c>
      <c r="P106" s="329">
        <v>0.18692300000000001</v>
      </c>
      <c r="Q106" s="329">
        <v>0.24229300000000001</v>
      </c>
      <c r="R106" s="329">
        <v>0.167245</v>
      </c>
      <c r="S106" s="329">
        <v>0.16020100000000001</v>
      </c>
      <c r="T106" s="329">
        <v>0.24621399999999999</v>
      </c>
      <c r="U106" s="329">
        <v>0.16148599999999999</v>
      </c>
      <c r="V106" s="329">
        <v>0.145117</v>
      </c>
      <c r="W106" s="329">
        <v>0.18435599999999999</v>
      </c>
      <c r="X106" s="329">
        <v>0.18617900000000001</v>
      </c>
      <c r="Y106" s="329">
        <v>0.22294700000000001</v>
      </c>
      <c r="Z106" s="329">
        <v>0.190499</v>
      </c>
      <c r="AA106" s="329">
        <v>0.16807900000000001</v>
      </c>
      <c r="AB106" s="329">
        <v>0.16913300000000001</v>
      </c>
      <c r="AC106" s="329">
        <v>0.20358699999999999</v>
      </c>
      <c r="AD106" s="329">
        <v>0.13080800000000001</v>
      </c>
      <c r="AE106" s="52">
        <f>'User Add-in Location'!B112</f>
        <v>0</v>
      </c>
      <c r="AF106" s="52">
        <f>'User Add-in Location'!C112</f>
        <v>0</v>
      </c>
      <c r="AG106" s="329">
        <v>0.214445</v>
      </c>
      <c r="AH106" s="329">
        <v>0.135765</v>
      </c>
      <c r="AI106" s="329">
        <v>0.19609799999999999</v>
      </c>
      <c r="AJ106" s="329">
        <v>0.204761</v>
      </c>
      <c r="AK106" s="329">
        <v>9.5584000000000002E-2</v>
      </c>
      <c r="AL106" s="329">
        <v>0.20374600000000001</v>
      </c>
      <c r="AM106" s="329">
        <v>0.17280000000000001</v>
      </c>
      <c r="AN106" s="329">
        <v>0.11477</v>
      </c>
      <c r="AO106" s="329">
        <v>9.6744999999999998E-2</v>
      </c>
      <c r="AP106" s="329">
        <v>0.14773500000000001</v>
      </c>
      <c r="AQ106" s="329">
        <v>0.216305</v>
      </c>
      <c r="AR106" s="329">
        <v>0.12642700000000001</v>
      </c>
      <c r="AS106" s="324">
        <v>0</v>
      </c>
      <c r="AT106" s="324">
        <v>0</v>
      </c>
      <c r="AU106" s="324">
        <v>0</v>
      </c>
      <c r="AV106" s="324">
        <v>0</v>
      </c>
      <c r="AW106" s="324">
        <v>0</v>
      </c>
      <c r="AX106" s="324">
        <v>0</v>
      </c>
      <c r="AY106" s="324">
        <v>0</v>
      </c>
      <c r="AZ106" s="324">
        <v>0</v>
      </c>
      <c r="BA106" s="329">
        <v>0.12589700000000001</v>
      </c>
      <c r="BB106" s="329">
        <v>0.126637</v>
      </c>
      <c r="BC106" s="329">
        <v>0.19273100000000001</v>
      </c>
      <c r="BD106" s="329">
        <v>0.170186</v>
      </c>
      <c r="BE106" s="329">
        <v>0.14072699999999999</v>
      </c>
      <c r="BF106" s="329">
        <v>0.219333</v>
      </c>
      <c r="BG106" s="329">
        <v>0.151142</v>
      </c>
      <c r="BH106" s="329">
        <v>0.13225200000000001</v>
      </c>
      <c r="BI106" s="329">
        <v>0.17219599999999999</v>
      </c>
      <c r="BJ106" s="329">
        <v>0.20185600000000001</v>
      </c>
      <c r="BK106" s="329">
        <v>8.7181999999999996E-2</v>
      </c>
      <c r="BL106" s="329">
        <v>0.10737099999999999</v>
      </c>
      <c r="BM106" s="329">
        <v>6.4472000000000002E-2</v>
      </c>
    </row>
    <row r="107" spans="3:65">
      <c r="C107" s="408" t="s">
        <v>385</v>
      </c>
      <c r="D107" s="329">
        <v>9.8979999999999999E-2</v>
      </c>
      <c r="E107" s="329">
        <v>6.8238999999999994E-2</v>
      </c>
      <c r="F107" s="329">
        <v>8.1099000000000004E-2</v>
      </c>
      <c r="G107" s="329">
        <v>0.109596</v>
      </c>
      <c r="H107" s="329">
        <v>0.110177</v>
      </c>
      <c r="I107" s="329">
        <v>0.113632</v>
      </c>
      <c r="J107" s="329">
        <v>0.119867</v>
      </c>
      <c r="K107" s="329">
        <v>8.4703000000000001E-2</v>
      </c>
      <c r="L107" s="329">
        <v>6.2407999999999998E-2</v>
      </c>
      <c r="M107" s="329">
        <v>0.103209</v>
      </c>
      <c r="N107" s="329">
        <v>0.108593</v>
      </c>
      <c r="O107" s="329">
        <v>5.7338E-2</v>
      </c>
      <c r="P107" s="329">
        <v>0.10471</v>
      </c>
      <c r="Q107" s="329">
        <v>0.12515699999999999</v>
      </c>
      <c r="R107" s="329">
        <v>0.11376500000000001</v>
      </c>
      <c r="S107" s="329">
        <v>0.116509</v>
      </c>
      <c r="T107" s="329">
        <v>0.121618</v>
      </c>
      <c r="U107" s="329">
        <v>0.100631</v>
      </c>
      <c r="V107" s="329">
        <v>0.114762</v>
      </c>
      <c r="W107" s="329">
        <v>0.108032</v>
      </c>
      <c r="X107" s="329">
        <v>9.4986000000000001E-2</v>
      </c>
      <c r="Y107" s="329">
        <v>0.119197</v>
      </c>
      <c r="Z107" s="329">
        <v>0.10715</v>
      </c>
      <c r="AA107" s="329">
        <v>0.135375</v>
      </c>
      <c r="AB107" s="329">
        <v>0.115136</v>
      </c>
      <c r="AC107" s="329">
        <v>0.13750699999999999</v>
      </c>
      <c r="AD107" s="329">
        <v>9.4406000000000004E-2</v>
      </c>
      <c r="AE107" s="52">
        <f>'User Add-in Location'!B113</f>
        <v>0</v>
      </c>
      <c r="AF107" s="52">
        <f>'User Add-in Location'!C113</f>
        <v>0</v>
      </c>
      <c r="AG107" s="329">
        <v>0.145012</v>
      </c>
      <c r="AH107" s="329">
        <v>8.1142000000000006E-2</v>
      </c>
      <c r="AI107" s="329">
        <v>0.14564199999999999</v>
      </c>
      <c r="AJ107" s="329">
        <v>0.107434</v>
      </c>
      <c r="AK107" s="329">
        <v>9.2160000000000006E-2</v>
      </c>
      <c r="AL107" s="329">
        <v>9.6221000000000001E-2</v>
      </c>
      <c r="AM107" s="329">
        <v>0.11737499999999999</v>
      </c>
      <c r="AN107" s="329">
        <v>8.7979000000000002E-2</v>
      </c>
      <c r="AO107" s="329">
        <v>9.0994000000000005E-2</v>
      </c>
      <c r="AP107" s="329">
        <v>0.124018</v>
      </c>
      <c r="AQ107" s="329">
        <v>0.110496</v>
      </c>
      <c r="AR107" s="329">
        <v>0.12270300000000001</v>
      </c>
      <c r="AS107" s="324">
        <v>0</v>
      </c>
      <c r="AT107" s="324">
        <v>0</v>
      </c>
      <c r="AU107" s="324">
        <v>0</v>
      </c>
      <c r="AV107" s="324">
        <v>0</v>
      </c>
      <c r="AW107" s="324">
        <v>0</v>
      </c>
      <c r="AX107" s="324">
        <v>0</v>
      </c>
      <c r="AY107" s="324">
        <v>0</v>
      </c>
      <c r="AZ107" s="324">
        <v>0</v>
      </c>
      <c r="BA107" s="329">
        <v>7.1345000000000006E-2</v>
      </c>
      <c r="BB107" s="329">
        <v>7.8436000000000006E-2</v>
      </c>
      <c r="BC107" s="329">
        <v>0.119338</v>
      </c>
      <c r="BD107" s="329">
        <v>9.9479999999999999E-2</v>
      </c>
      <c r="BE107" s="329">
        <v>0.13312399999999999</v>
      </c>
      <c r="BF107" s="329">
        <v>0.167765</v>
      </c>
      <c r="BG107" s="329">
        <v>0.111788</v>
      </c>
      <c r="BH107" s="329">
        <v>0.121364</v>
      </c>
      <c r="BI107" s="329">
        <v>0.107545</v>
      </c>
      <c r="BJ107" s="329">
        <v>7.7050999999999994E-2</v>
      </c>
      <c r="BK107" s="329">
        <v>5.2992999999999998E-2</v>
      </c>
      <c r="BL107" s="329">
        <v>8.5922999999999999E-2</v>
      </c>
      <c r="BM107" s="329">
        <v>4.7185999999999999E-2</v>
      </c>
    </row>
    <row r="108" spans="3:65">
      <c r="C108" s="408" t="s">
        <v>386</v>
      </c>
      <c r="D108" s="329">
        <v>0.12737999999999999</v>
      </c>
      <c r="E108" s="329">
        <v>9.665E-2</v>
      </c>
      <c r="F108" s="329">
        <v>9.8908999999999997E-2</v>
      </c>
      <c r="G108" s="329">
        <v>0.139681</v>
      </c>
      <c r="H108" s="329">
        <v>0.14216599999999999</v>
      </c>
      <c r="I108" s="329">
        <v>0.143375</v>
      </c>
      <c r="J108" s="329">
        <v>0.16996700000000001</v>
      </c>
      <c r="K108" s="329">
        <v>0.10950600000000001</v>
      </c>
      <c r="L108" s="329">
        <v>7.7403E-2</v>
      </c>
      <c r="M108" s="329">
        <v>0.12382</v>
      </c>
      <c r="N108" s="329">
        <v>0.133049</v>
      </c>
      <c r="O108" s="329">
        <v>7.3727000000000001E-2</v>
      </c>
      <c r="P108" s="329">
        <v>0.127828</v>
      </c>
      <c r="Q108" s="329">
        <v>0.15983900000000001</v>
      </c>
      <c r="R108" s="329">
        <v>0.14876800000000001</v>
      </c>
      <c r="S108" s="329">
        <v>0.154362</v>
      </c>
      <c r="T108" s="329">
        <v>0.15548600000000001</v>
      </c>
      <c r="U108" s="329">
        <v>0.12829599999999999</v>
      </c>
      <c r="V108" s="329">
        <v>0.149255</v>
      </c>
      <c r="W108" s="329">
        <v>0.14537600000000001</v>
      </c>
      <c r="X108" s="329">
        <v>0.120555</v>
      </c>
      <c r="Y108" s="329">
        <v>0.16251499999999999</v>
      </c>
      <c r="Z108" s="329">
        <v>0.13423299999999999</v>
      </c>
      <c r="AA108" s="329">
        <v>0.17696300000000001</v>
      </c>
      <c r="AB108" s="329">
        <v>0.14704700000000001</v>
      </c>
      <c r="AC108" s="329">
        <v>0.177619</v>
      </c>
      <c r="AD108" s="329">
        <v>0.12302399999999999</v>
      </c>
      <c r="AE108" s="52">
        <f>'User Add-in Location'!B114</f>
        <v>0</v>
      </c>
      <c r="AF108" s="52">
        <f>'User Add-in Location'!C114</f>
        <v>0</v>
      </c>
      <c r="AG108" s="329">
        <v>0.19461500000000001</v>
      </c>
      <c r="AH108" s="329">
        <v>0.10365000000000001</v>
      </c>
      <c r="AI108" s="329">
        <v>0.22361700000000001</v>
      </c>
      <c r="AJ108" s="329">
        <v>0.139991</v>
      </c>
      <c r="AK108" s="329">
        <v>0.118576</v>
      </c>
      <c r="AL108" s="329">
        <v>0.124538</v>
      </c>
      <c r="AM108" s="329">
        <v>0.152252</v>
      </c>
      <c r="AN108" s="329">
        <v>0.117012</v>
      </c>
      <c r="AO108" s="329">
        <v>0.117316</v>
      </c>
      <c r="AP108" s="329">
        <v>0.16462399999999999</v>
      </c>
      <c r="AQ108" s="329">
        <v>0.14407900000000001</v>
      </c>
      <c r="AR108" s="329">
        <v>0.158443</v>
      </c>
      <c r="AS108" s="324">
        <v>0</v>
      </c>
      <c r="AT108" s="324">
        <v>0</v>
      </c>
      <c r="AU108" s="324">
        <v>0</v>
      </c>
      <c r="AV108" s="324">
        <v>0</v>
      </c>
      <c r="AW108" s="324">
        <v>0</v>
      </c>
      <c r="AX108" s="324">
        <v>0</v>
      </c>
      <c r="AY108" s="324">
        <v>0</v>
      </c>
      <c r="AZ108" s="324">
        <v>0</v>
      </c>
      <c r="BA108" s="329">
        <v>9.2660999999999993E-2</v>
      </c>
      <c r="BB108" s="329">
        <v>9.6891000000000005E-2</v>
      </c>
      <c r="BC108" s="329">
        <v>0.15702199999999999</v>
      </c>
      <c r="BD108" s="329">
        <v>0.133099</v>
      </c>
      <c r="BE108" s="329">
        <v>0.17289399999999999</v>
      </c>
      <c r="BF108" s="329">
        <v>0.21313599999999999</v>
      </c>
      <c r="BG108" s="329">
        <v>0.13957800000000001</v>
      </c>
      <c r="BH108" s="329">
        <v>0.170513</v>
      </c>
      <c r="BI108" s="329">
        <v>0.134848</v>
      </c>
      <c r="BJ108" s="329">
        <v>9.6578999999999998E-2</v>
      </c>
      <c r="BK108" s="329">
        <v>6.9337999999999997E-2</v>
      </c>
      <c r="BL108" s="329">
        <v>0.108267</v>
      </c>
      <c r="BM108" s="329">
        <v>6.5757999999999997E-2</v>
      </c>
    </row>
    <row r="109" spans="3:65">
      <c r="C109" s="408" t="s">
        <v>387</v>
      </c>
      <c r="D109" s="329">
        <v>0.137319</v>
      </c>
      <c r="E109" s="329">
        <v>0.107183</v>
      </c>
      <c r="F109" s="329">
        <v>0.10956200000000001</v>
      </c>
      <c r="G109" s="329">
        <v>0.14976999999999999</v>
      </c>
      <c r="H109" s="329">
        <v>0.151842</v>
      </c>
      <c r="I109" s="329">
        <v>0.154199</v>
      </c>
      <c r="J109" s="329">
        <v>0.174982</v>
      </c>
      <c r="K109" s="329">
        <v>0.12389</v>
      </c>
      <c r="L109" s="329">
        <v>8.9129E-2</v>
      </c>
      <c r="M109" s="329">
        <v>0.1381</v>
      </c>
      <c r="N109" s="329">
        <v>0.14756</v>
      </c>
      <c r="O109" s="329">
        <v>8.5411000000000001E-2</v>
      </c>
      <c r="P109" s="329">
        <v>0.139844</v>
      </c>
      <c r="Q109" s="329">
        <v>0.17088800000000001</v>
      </c>
      <c r="R109" s="329">
        <v>0.15937100000000001</v>
      </c>
      <c r="S109" s="329">
        <v>0.166546</v>
      </c>
      <c r="T109" s="329">
        <v>0.163685</v>
      </c>
      <c r="U109" s="329">
        <v>0.14206099999999999</v>
      </c>
      <c r="V109" s="329">
        <v>0.155663</v>
      </c>
      <c r="W109" s="329">
        <v>0.15379599999999999</v>
      </c>
      <c r="X109" s="329">
        <v>0.13269</v>
      </c>
      <c r="Y109" s="329">
        <v>0.171963</v>
      </c>
      <c r="Z109" s="329">
        <v>0.149337</v>
      </c>
      <c r="AA109" s="329">
        <v>0.18806100000000001</v>
      </c>
      <c r="AB109" s="329">
        <v>0.154806</v>
      </c>
      <c r="AC109" s="329">
        <v>0.18840799999999999</v>
      </c>
      <c r="AD109" s="329">
        <v>0.132963</v>
      </c>
      <c r="AE109" s="52">
        <f>'User Add-in Location'!B115</f>
        <v>0</v>
      </c>
      <c r="AF109" s="52">
        <f>'User Add-in Location'!C115</f>
        <v>0</v>
      </c>
      <c r="AG109" s="329">
        <v>0.20197200000000001</v>
      </c>
      <c r="AH109" s="329">
        <v>0.112746</v>
      </c>
      <c r="AI109" s="329">
        <v>0.22206400000000001</v>
      </c>
      <c r="AJ109" s="329">
        <v>0.150589</v>
      </c>
      <c r="AK109" s="329">
        <v>0.13047700000000001</v>
      </c>
      <c r="AL109" s="329">
        <v>0.13737199999999999</v>
      </c>
      <c r="AM109" s="329">
        <v>0.163961</v>
      </c>
      <c r="AN109" s="329">
        <v>0.12787299999999999</v>
      </c>
      <c r="AO109" s="329">
        <v>0.12969</v>
      </c>
      <c r="AP109" s="329">
        <v>0.17410400000000001</v>
      </c>
      <c r="AQ109" s="329">
        <v>0.158475</v>
      </c>
      <c r="AR109" s="329">
        <v>0.170101</v>
      </c>
      <c r="AS109" s="324">
        <v>0</v>
      </c>
      <c r="AT109" s="324">
        <v>0</v>
      </c>
      <c r="AU109" s="324">
        <v>0</v>
      </c>
      <c r="AV109" s="324">
        <v>0</v>
      </c>
      <c r="AW109" s="324">
        <v>0</v>
      </c>
      <c r="AX109" s="324">
        <v>0</v>
      </c>
      <c r="AY109" s="324">
        <v>0</v>
      </c>
      <c r="AZ109" s="324">
        <v>0</v>
      </c>
      <c r="BA109" s="329">
        <v>0.101162</v>
      </c>
      <c r="BB109" s="329">
        <v>0.112579</v>
      </c>
      <c r="BC109" s="329">
        <v>0.163773</v>
      </c>
      <c r="BD109" s="329">
        <v>0.14197299999999999</v>
      </c>
      <c r="BE109" s="329">
        <v>0.18185999999999999</v>
      </c>
      <c r="BF109" s="329">
        <v>0.218588</v>
      </c>
      <c r="BG109" s="329">
        <v>0.15151999999999999</v>
      </c>
      <c r="BH109" s="329">
        <v>0.17499400000000001</v>
      </c>
      <c r="BI109" s="329">
        <v>0.14796999999999999</v>
      </c>
      <c r="BJ109" s="329">
        <v>0.10456</v>
      </c>
      <c r="BK109" s="329">
        <v>7.9617999999999994E-2</v>
      </c>
      <c r="BL109" s="329">
        <v>0.120892</v>
      </c>
      <c r="BM109" s="329">
        <v>7.6496999999999996E-2</v>
      </c>
    </row>
    <row r="110" spans="3:65">
      <c r="C110" s="408" t="s">
        <v>388</v>
      </c>
      <c r="D110" s="329">
        <v>0.119589</v>
      </c>
      <c r="E110" s="329">
        <v>9.6808000000000005E-2</v>
      </c>
      <c r="F110" s="329">
        <v>0.102571</v>
      </c>
      <c r="G110" s="329">
        <v>0.14232700000000001</v>
      </c>
      <c r="H110" s="329">
        <v>0.16409099999999999</v>
      </c>
      <c r="I110" s="329">
        <v>0.16389300000000001</v>
      </c>
      <c r="J110" s="329">
        <v>0.14593200000000001</v>
      </c>
      <c r="K110" s="329">
        <v>0.124371</v>
      </c>
      <c r="L110" s="329">
        <v>6.0426000000000001E-2</v>
      </c>
      <c r="M110" s="329">
        <v>0.12559200000000001</v>
      </c>
      <c r="N110" s="329">
        <v>0.14084199999999999</v>
      </c>
      <c r="O110" s="329">
        <v>8.6196999999999996E-2</v>
      </c>
      <c r="P110" s="329">
        <v>0.154784</v>
      </c>
      <c r="Q110" s="329">
        <v>0.180505</v>
      </c>
      <c r="R110" s="329">
        <v>0.15009900000000001</v>
      </c>
      <c r="S110" s="329">
        <v>0.15770899999999999</v>
      </c>
      <c r="T110" s="329">
        <v>0.18318499999999999</v>
      </c>
      <c r="U110" s="329">
        <v>0.137766</v>
      </c>
      <c r="V110" s="329">
        <v>0.154584</v>
      </c>
      <c r="W110" s="329">
        <v>0.10963100000000001</v>
      </c>
      <c r="X110" s="329">
        <v>0.101122</v>
      </c>
      <c r="Y110" s="329">
        <v>0.139405</v>
      </c>
      <c r="Z110" s="329">
        <v>0.14290900000000001</v>
      </c>
      <c r="AA110" s="329">
        <v>0.19389700000000001</v>
      </c>
      <c r="AB110" s="329">
        <v>0.154082</v>
      </c>
      <c r="AC110" s="329">
        <v>0.18245400000000001</v>
      </c>
      <c r="AD110" s="329">
        <v>0.134717</v>
      </c>
      <c r="AE110" s="52">
        <f>'User Add-in Location'!B116</f>
        <v>0</v>
      </c>
      <c r="AF110" s="52">
        <f>'User Add-in Location'!C116</f>
        <v>0</v>
      </c>
      <c r="AG110" s="329">
        <v>0.174737</v>
      </c>
      <c r="AH110" s="329">
        <v>0.111813</v>
      </c>
      <c r="AI110" s="329">
        <v>0.159441</v>
      </c>
      <c r="AJ110" s="329">
        <v>0.146922</v>
      </c>
      <c r="AK110" s="329">
        <v>0.135412</v>
      </c>
      <c r="AL110" s="329">
        <v>0.133656</v>
      </c>
      <c r="AM110" s="329">
        <v>0.13688400000000001</v>
      </c>
      <c r="AN110" s="329">
        <v>0.15226600000000001</v>
      </c>
      <c r="AO110" s="329">
        <v>0.118063</v>
      </c>
      <c r="AP110" s="329">
        <v>0.16795099999999999</v>
      </c>
      <c r="AQ110" s="329">
        <v>0.16663800000000001</v>
      </c>
      <c r="AR110" s="329">
        <v>0.18257100000000001</v>
      </c>
      <c r="AS110" s="324">
        <v>0</v>
      </c>
      <c r="AT110" s="324">
        <v>0</v>
      </c>
      <c r="AU110" s="324">
        <v>0</v>
      </c>
      <c r="AV110" s="324">
        <v>0</v>
      </c>
      <c r="AW110" s="324">
        <v>0</v>
      </c>
      <c r="AX110" s="324">
        <v>0</v>
      </c>
      <c r="AY110" s="324">
        <v>0</v>
      </c>
      <c r="AZ110" s="324">
        <v>0</v>
      </c>
      <c r="BA110" s="329">
        <v>8.6671999999999999E-2</v>
      </c>
      <c r="BB110" s="329">
        <v>9.8952999999999999E-2</v>
      </c>
      <c r="BC110" s="329">
        <v>0.16423299999999999</v>
      </c>
      <c r="BD110" s="329">
        <v>0.121175</v>
      </c>
      <c r="BE110" s="329">
        <v>0.200519</v>
      </c>
      <c r="BF110" s="329">
        <v>0.249005</v>
      </c>
      <c r="BG110" s="329">
        <v>0.17736099999999999</v>
      </c>
      <c r="BH110" s="329">
        <v>0.14079700000000001</v>
      </c>
      <c r="BI110" s="329">
        <v>0.128278</v>
      </c>
      <c r="BJ110" s="329">
        <v>0.101072</v>
      </c>
      <c r="BK110" s="329">
        <v>7.0693000000000006E-2</v>
      </c>
      <c r="BL110" s="329">
        <v>0.107723</v>
      </c>
      <c r="BM110" s="329">
        <v>7.1286000000000002E-2</v>
      </c>
    </row>
    <row r="111" spans="3:65">
      <c r="C111" s="408" t="s">
        <v>389</v>
      </c>
      <c r="D111" s="329">
        <v>0.110633</v>
      </c>
      <c r="E111" s="329">
        <v>9.9671999999999997E-2</v>
      </c>
      <c r="F111" s="329">
        <v>0.100295</v>
      </c>
      <c r="G111" s="329">
        <v>0.11502999999999999</v>
      </c>
      <c r="H111" s="329">
        <v>0.16973199999999999</v>
      </c>
      <c r="I111" s="329">
        <v>0.15262200000000001</v>
      </c>
      <c r="J111" s="329">
        <v>0.15603600000000001</v>
      </c>
      <c r="K111" s="329">
        <v>0.136157</v>
      </c>
      <c r="L111" s="329">
        <v>0</v>
      </c>
      <c r="M111" s="329">
        <v>0.12969700000000001</v>
      </c>
      <c r="N111" s="329">
        <v>0.13711999999999999</v>
      </c>
      <c r="O111" s="329">
        <v>8.8722999999999996E-2</v>
      </c>
      <c r="P111" s="329">
        <v>0.14130100000000001</v>
      </c>
      <c r="Q111" s="329">
        <v>0.18134</v>
      </c>
      <c r="R111" s="329">
        <v>0.14697499999999999</v>
      </c>
      <c r="S111" s="329">
        <v>0.15996199999999999</v>
      </c>
      <c r="T111" s="329">
        <v>0.16431799999999999</v>
      </c>
      <c r="U111" s="329">
        <v>0.12890799999999999</v>
      </c>
      <c r="V111" s="329">
        <v>0.15021699999999999</v>
      </c>
      <c r="W111" s="329">
        <v>0.105771</v>
      </c>
      <c r="X111" s="329">
        <v>0.125553</v>
      </c>
      <c r="Y111" s="329">
        <v>0.145897</v>
      </c>
      <c r="Z111" s="329">
        <v>0.14388699999999999</v>
      </c>
      <c r="AA111" s="329">
        <v>0.203434</v>
      </c>
      <c r="AB111" s="329">
        <v>0.143374</v>
      </c>
      <c r="AC111" s="329">
        <v>0.17316200000000001</v>
      </c>
      <c r="AD111" s="329">
        <v>0.12155000000000001</v>
      </c>
      <c r="AE111" s="52">
        <f>'User Add-in Location'!B117</f>
        <v>0</v>
      </c>
      <c r="AF111" s="52">
        <f>'User Add-in Location'!C117</f>
        <v>0</v>
      </c>
      <c r="AG111" s="329">
        <v>0.160908</v>
      </c>
      <c r="AH111" s="329">
        <v>9.7431000000000004E-2</v>
      </c>
      <c r="AI111" s="329">
        <v>0.168294</v>
      </c>
      <c r="AJ111" s="329">
        <v>0.16129399999999999</v>
      </c>
      <c r="AK111" s="329">
        <v>0.116867</v>
      </c>
      <c r="AL111" s="329">
        <v>0.13126699999999999</v>
      </c>
      <c r="AM111" s="329">
        <v>0.150227</v>
      </c>
      <c r="AN111" s="329">
        <v>0.132493</v>
      </c>
      <c r="AO111" s="329">
        <v>0.123846</v>
      </c>
      <c r="AP111" s="329">
        <v>0.14527599999999999</v>
      </c>
      <c r="AQ111" s="329">
        <v>0.14687800000000001</v>
      </c>
      <c r="AR111" s="329">
        <v>0.17943200000000001</v>
      </c>
      <c r="AS111" s="324">
        <v>0</v>
      </c>
      <c r="AT111" s="324">
        <v>0</v>
      </c>
      <c r="AU111" s="324">
        <v>0</v>
      </c>
      <c r="AV111" s="324">
        <v>0</v>
      </c>
      <c r="AW111" s="324">
        <v>0</v>
      </c>
      <c r="AX111" s="324">
        <v>0</v>
      </c>
      <c r="AY111" s="324">
        <v>0</v>
      </c>
      <c r="AZ111" s="324">
        <v>0</v>
      </c>
      <c r="BA111" s="329">
        <v>0.112569</v>
      </c>
      <c r="BB111" s="329">
        <v>9.4279000000000002E-2</v>
      </c>
      <c r="BC111" s="329">
        <v>0.14844099999999999</v>
      </c>
      <c r="BD111" s="329">
        <v>0.11548700000000001</v>
      </c>
      <c r="BE111" s="329">
        <v>0.18334800000000001</v>
      </c>
      <c r="BF111" s="329">
        <v>0.25558999999999998</v>
      </c>
      <c r="BG111" s="329">
        <v>0.16165099999999999</v>
      </c>
      <c r="BH111" s="329">
        <v>0.12773999999999999</v>
      </c>
      <c r="BI111" s="329">
        <v>0.120729</v>
      </c>
      <c r="BJ111" s="329">
        <v>0.110582</v>
      </c>
      <c r="BK111" s="329">
        <v>6.9016999999999995E-2</v>
      </c>
      <c r="BL111" s="329">
        <v>0.10972700000000001</v>
      </c>
      <c r="BM111" s="329">
        <v>5.1714999999999997E-2</v>
      </c>
    </row>
    <row r="112" spans="3:65">
      <c r="C112" s="408" t="s">
        <v>390</v>
      </c>
      <c r="D112" s="329">
        <v>0.128549</v>
      </c>
      <c r="E112" s="329">
        <v>9.2857999999999996E-2</v>
      </c>
      <c r="F112" s="329">
        <v>0.121221</v>
      </c>
      <c r="G112" s="329">
        <v>0.13688500000000001</v>
      </c>
      <c r="H112" s="329">
        <v>0.17598800000000001</v>
      </c>
      <c r="I112" s="329">
        <v>0.20032900000000001</v>
      </c>
      <c r="J112" s="329">
        <v>0.173875</v>
      </c>
      <c r="K112" s="329">
        <v>0.113202</v>
      </c>
      <c r="L112" s="329">
        <v>0</v>
      </c>
      <c r="M112" s="329">
        <v>0.16838500000000001</v>
      </c>
      <c r="N112" s="329">
        <v>0.14446200000000001</v>
      </c>
      <c r="O112" s="329">
        <v>0</v>
      </c>
      <c r="P112" s="329">
        <v>0.160075</v>
      </c>
      <c r="Q112" s="329">
        <v>0.182981</v>
      </c>
      <c r="R112" s="329">
        <v>0.15962899999999999</v>
      </c>
      <c r="S112" s="329">
        <v>0.16802500000000001</v>
      </c>
      <c r="T112" s="329">
        <v>0.16903099999999999</v>
      </c>
      <c r="U112" s="329">
        <v>0.135543</v>
      </c>
      <c r="V112" s="329">
        <v>0.14557100000000001</v>
      </c>
      <c r="W112" s="329">
        <v>0.13814299999999999</v>
      </c>
      <c r="X112" s="329">
        <v>0.13023599999999999</v>
      </c>
      <c r="Y112" s="329">
        <v>0.17841699999999999</v>
      </c>
      <c r="Z112" s="329">
        <v>0.14652599999999999</v>
      </c>
      <c r="AA112" s="329">
        <v>0.19714999999999999</v>
      </c>
      <c r="AB112" s="329">
        <v>0.139766</v>
      </c>
      <c r="AC112" s="329">
        <v>0.191078</v>
      </c>
      <c r="AD112" s="329">
        <v>0.12959200000000001</v>
      </c>
      <c r="AE112" s="52">
        <f>'User Add-in Location'!B118</f>
        <v>0</v>
      </c>
      <c r="AF112" s="52">
        <f>'User Add-in Location'!C118</f>
        <v>0</v>
      </c>
      <c r="AG112" s="329">
        <v>0.170955</v>
      </c>
      <c r="AH112" s="329">
        <v>0.111221</v>
      </c>
      <c r="AI112" s="329">
        <v>0.161575</v>
      </c>
      <c r="AJ112" s="329">
        <v>0.16664799999999999</v>
      </c>
      <c r="AK112" s="329">
        <v>0.131467</v>
      </c>
      <c r="AL112" s="329">
        <v>0.14969299999999999</v>
      </c>
      <c r="AM112" s="329">
        <v>0.15653400000000001</v>
      </c>
      <c r="AN112" s="329">
        <v>0.14590800000000001</v>
      </c>
      <c r="AO112" s="329">
        <v>0.122331</v>
      </c>
      <c r="AP112" s="329">
        <v>0.14358399999999999</v>
      </c>
      <c r="AQ112" s="329">
        <v>0.162688</v>
      </c>
      <c r="AR112" s="329">
        <v>0.18689600000000001</v>
      </c>
      <c r="AS112" s="324">
        <v>0</v>
      </c>
      <c r="AT112" s="324">
        <v>0</v>
      </c>
      <c r="AU112" s="324">
        <v>0</v>
      </c>
      <c r="AV112" s="324">
        <v>0</v>
      </c>
      <c r="AW112" s="324">
        <v>0</v>
      </c>
      <c r="AX112" s="324">
        <v>0</v>
      </c>
      <c r="AY112" s="324">
        <v>0</v>
      </c>
      <c r="AZ112" s="324">
        <v>0</v>
      </c>
      <c r="BA112" s="329">
        <v>9.6102000000000007E-2</v>
      </c>
      <c r="BB112" s="329">
        <v>0.101771</v>
      </c>
      <c r="BC112" s="329">
        <v>0.185447</v>
      </c>
      <c r="BD112" s="329">
        <v>0.13139500000000001</v>
      </c>
      <c r="BE112" s="329">
        <v>0.187419</v>
      </c>
      <c r="BF112" s="329">
        <v>0.247637</v>
      </c>
      <c r="BG112" s="329">
        <v>0.158888</v>
      </c>
      <c r="BH112" s="329">
        <v>0.125088</v>
      </c>
      <c r="BI112" s="329">
        <v>0.152642</v>
      </c>
      <c r="BJ112" s="329">
        <v>0.12159300000000001</v>
      </c>
      <c r="BK112" s="329">
        <v>7.9224000000000003E-2</v>
      </c>
      <c r="BL112" s="329">
        <v>0.11326899999999999</v>
      </c>
      <c r="BM112" s="329">
        <v>6.1311999999999998E-2</v>
      </c>
    </row>
    <row r="113" spans="3:65">
      <c r="C113" s="408" t="s">
        <v>391</v>
      </c>
      <c r="D113" s="329">
        <v>0.105632</v>
      </c>
      <c r="E113" s="329">
        <v>0.105239</v>
      </c>
      <c r="F113" s="329">
        <v>9.2155000000000001E-2</v>
      </c>
      <c r="G113" s="329">
        <v>0.12525500000000001</v>
      </c>
      <c r="H113" s="329">
        <v>0.164324</v>
      </c>
      <c r="I113" s="329">
        <v>0.143598</v>
      </c>
      <c r="J113" s="329">
        <v>0.1545</v>
      </c>
      <c r="K113" s="329">
        <v>9.7592999999999999E-2</v>
      </c>
      <c r="L113" s="329">
        <v>7.5638999999999998E-2</v>
      </c>
      <c r="M113" s="329">
        <v>0.137604</v>
      </c>
      <c r="N113" s="329">
        <v>0.117842</v>
      </c>
      <c r="O113" s="329">
        <v>0</v>
      </c>
      <c r="P113" s="329">
        <v>0.14116799999999999</v>
      </c>
      <c r="Q113" s="329">
        <v>0.16030800000000001</v>
      </c>
      <c r="R113" s="329">
        <v>0.157196</v>
      </c>
      <c r="S113" s="329">
        <v>0.15060799999999999</v>
      </c>
      <c r="T113" s="329">
        <v>0.15674099999999999</v>
      </c>
      <c r="U113" s="329">
        <v>0.120112</v>
      </c>
      <c r="V113" s="329">
        <v>0.13630600000000001</v>
      </c>
      <c r="W113" s="329">
        <v>0.114702</v>
      </c>
      <c r="X113" s="329">
        <v>0.12715299999999999</v>
      </c>
      <c r="Y113" s="329">
        <v>0.145841</v>
      </c>
      <c r="Z113" s="329">
        <v>0.13555</v>
      </c>
      <c r="AA113" s="329">
        <v>0.18109</v>
      </c>
      <c r="AB113" s="329">
        <v>0.136793</v>
      </c>
      <c r="AC113" s="329">
        <v>0.14702200000000001</v>
      </c>
      <c r="AD113" s="329">
        <v>0.106728</v>
      </c>
      <c r="AE113" s="52">
        <f>'User Add-in Location'!B119</f>
        <v>0</v>
      </c>
      <c r="AF113" s="52">
        <f>'User Add-in Location'!C119</f>
        <v>0</v>
      </c>
      <c r="AG113" s="329">
        <v>0.12556</v>
      </c>
      <c r="AH113" s="329">
        <v>9.5144999999999993E-2</v>
      </c>
      <c r="AI113" s="329">
        <v>0.12726199999999999</v>
      </c>
      <c r="AJ113" s="329">
        <v>0.143734</v>
      </c>
      <c r="AK113" s="329">
        <v>0.103113</v>
      </c>
      <c r="AL113" s="329">
        <v>0.14163899999999999</v>
      </c>
      <c r="AM113" s="329">
        <v>0.124935</v>
      </c>
      <c r="AN113" s="329">
        <v>0.12825700000000001</v>
      </c>
      <c r="AO113" s="329">
        <v>9.1869000000000006E-2</v>
      </c>
      <c r="AP113" s="329">
        <v>0.135156</v>
      </c>
      <c r="AQ113" s="329">
        <v>0.14216500000000001</v>
      </c>
      <c r="AR113" s="329">
        <v>0.15449299999999999</v>
      </c>
      <c r="AS113" s="324">
        <v>0</v>
      </c>
      <c r="AT113" s="324">
        <v>0</v>
      </c>
      <c r="AU113" s="324">
        <v>0</v>
      </c>
      <c r="AV113" s="324">
        <v>0</v>
      </c>
      <c r="AW113" s="324">
        <v>0</v>
      </c>
      <c r="AX113" s="324">
        <v>0</v>
      </c>
      <c r="AY113" s="324">
        <v>0</v>
      </c>
      <c r="AZ113" s="324">
        <v>0</v>
      </c>
      <c r="BA113" s="329">
        <v>7.4723999999999999E-2</v>
      </c>
      <c r="BB113" s="329">
        <v>8.0335000000000004E-2</v>
      </c>
      <c r="BC113" s="329">
        <v>0.15013099999999999</v>
      </c>
      <c r="BD113" s="329">
        <v>0.104892</v>
      </c>
      <c r="BE113" s="329">
        <v>0.18198600000000001</v>
      </c>
      <c r="BF113" s="329">
        <v>0.22447700000000001</v>
      </c>
      <c r="BG113" s="329">
        <v>0.15751699999999999</v>
      </c>
      <c r="BH113" s="329">
        <v>0.12078800000000001</v>
      </c>
      <c r="BI113" s="329">
        <v>0.13425000000000001</v>
      </c>
      <c r="BJ113" s="329">
        <v>9.8558999999999994E-2</v>
      </c>
      <c r="BK113" s="329">
        <v>6.0268000000000002E-2</v>
      </c>
      <c r="BL113" s="329">
        <v>8.8368000000000002E-2</v>
      </c>
      <c r="BM113" s="329">
        <v>5.0164E-2</v>
      </c>
    </row>
    <row r="114" spans="3:65">
      <c r="C114" s="408" t="s">
        <v>392</v>
      </c>
      <c r="D114" s="329">
        <v>0.119009</v>
      </c>
      <c r="E114" s="329">
        <v>0</v>
      </c>
      <c r="F114" s="329">
        <v>8.0041000000000001E-2</v>
      </c>
      <c r="G114" s="329">
        <v>0.13122900000000001</v>
      </c>
      <c r="H114" s="329">
        <v>0.17020299999999999</v>
      </c>
      <c r="I114" s="329">
        <v>0.12535399999999999</v>
      </c>
      <c r="J114" s="329">
        <v>0.165937</v>
      </c>
      <c r="K114" s="329">
        <v>0.120126</v>
      </c>
      <c r="L114" s="329">
        <v>0</v>
      </c>
      <c r="M114" s="329">
        <v>0.11676499999999999</v>
      </c>
      <c r="N114" s="329">
        <v>0.122984</v>
      </c>
      <c r="O114" s="329">
        <v>0</v>
      </c>
      <c r="P114" s="329">
        <v>0</v>
      </c>
      <c r="Q114" s="329">
        <v>0.167657</v>
      </c>
      <c r="R114" s="329">
        <v>0.156003</v>
      </c>
      <c r="S114" s="329">
        <v>0.156667</v>
      </c>
      <c r="T114" s="329">
        <v>0.15906899999999999</v>
      </c>
      <c r="U114" s="329">
        <v>0.13164100000000001</v>
      </c>
      <c r="V114" s="329">
        <v>0.13747500000000001</v>
      </c>
      <c r="W114" s="329">
        <v>0</v>
      </c>
      <c r="X114" s="329">
        <v>0.112201</v>
      </c>
      <c r="Y114" s="329">
        <v>0.15886700000000001</v>
      </c>
      <c r="Z114" s="329">
        <v>0.126827</v>
      </c>
      <c r="AA114" s="329">
        <v>0.225138</v>
      </c>
      <c r="AB114" s="329">
        <v>0.14615900000000001</v>
      </c>
      <c r="AC114" s="329">
        <v>0.16128200000000001</v>
      </c>
      <c r="AD114" s="329">
        <v>0</v>
      </c>
      <c r="AE114" s="52">
        <f>'User Add-in Location'!B120</f>
        <v>0</v>
      </c>
      <c r="AF114" s="52">
        <f>'User Add-in Location'!C120</f>
        <v>0</v>
      </c>
      <c r="AG114" s="329">
        <v>0</v>
      </c>
      <c r="AH114" s="329">
        <v>9.9862999999999993E-2</v>
      </c>
      <c r="AI114" s="329">
        <v>0</v>
      </c>
      <c r="AJ114" s="329">
        <v>0.149094</v>
      </c>
      <c r="AK114" s="329">
        <v>0</v>
      </c>
      <c r="AL114" s="329">
        <v>0.13362499999999999</v>
      </c>
      <c r="AM114" s="329">
        <v>0.12923799999999999</v>
      </c>
      <c r="AN114" s="329">
        <v>0</v>
      </c>
      <c r="AO114" s="329">
        <v>0.107457</v>
      </c>
      <c r="AP114" s="329">
        <v>0.155888</v>
      </c>
      <c r="AQ114" s="329">
        <v>0.13333800000000001</v>
      </c>
      <c r="AR114" s="329">
        <v>0.171045</v>
      </c>
      <c r="AS114" s="324">
        <v>0</v>
      </c>
      <c r="AT114" s="324">
        <v>0</v>
      </c>
      <c r="AU114" s="324">
        <v>0</v>
      </c>
      <c r="AV114" s="324">
        <v>0</v>
      </c>
      <c r="AW114" s="324">
        <v>0</v>
      </c>
      <c r="AX114" s="324">
        <v>0</v>
      </c>
      <c r="AY114" s="324">
        <v>0</v>
      </c>
      <c r="AZ114" s="324">
        <v>0</v>
      </c>
      <c r="BA114" s="329">
        <v>8.2045999999999994E-2</v>
      </c>
      <c r="BB114" s="329">
        <v>7.8951999999999994E-2</v>
      </c>
      <c r="BC114" s="329">
        <v>0</v>
      </c>
      <c r="BD114" s="329">
        <v>9.1647000000000006E-2</v>
      </c>
      <c r="BE114" s="329">
        <v>0.18975800000000001</v>
      </c>
      <c r="BF114" s="329">
        <v>0.22450100000000001</v>
      </c>
      <c r="BG114" s="329">
        <v>0.16172800000000001</v>
      </c>
      <c r="BH114" s="329">
        <v>0</v>
      </c>
      <c r="BI114" s="329">
        <v>0.13360900000000001</v>
      </c>
      <c r="BJ114" s="329">
        <v>0.111356</v>
      </c>
      <c r="BK114" s="329">
        <v>5.4479E-2</v>
      </c>
      <c r="BL114" s="329">
        <v>8.4617999999999999E-2</v>
      </c>
      <c r="BM114" s="329">
        <v>0</v>
      </c>
    </row>
    <row r="115" spans="3:65">
      <c r="C115" s="408" t="s">
        <v>393</v>
      </c>
      <c r="D115" s="329">
        <v>0.113888</v>
      </c>
      <c r="E115" s="329">
        <v>0</v>
      </c>
      <c r="F115" s="329">
        <v>7.0162000000000002E-2</v>
      </c>
      <c r="G115" s="329">
        <v>0.13141900000000001</v>
      </c>
      <c r="H115" s="329">
        <v>0.185443</v>
      </c>
      <c r="I115" s="329">
        <v>0.13244300000000001</v>
      </c>
      <c r="J115" s="329">
        <v>0.17596100000000001</v>
      </c>
      <c r="K115" s="329">
        <v>0</v>
      </c>
      <c r="L115" s="329">
        <v>6.5518000000000007E-2</v>
      </c>
      <c r="M115" s="329">
        <v>0.121172</v>
      </c>
      <c r="N115" s="329">
        <v>0.13655</v>
      </c>
      <c r="O115" s="329">
        <v>0</v>
      </c>
      <c r="P115" s="329">
        <v>0.13566300000000001</v>
      </c>
      <c r="Q115" s="329">
        <v>0.17874300000000001</v>
      </c>
      <c r="R115" s="329">
        <v>0.16555800000000001</v>
      </c>
      <c r="S115" s="329">
        <v>0</v>
      </c>
      <c r="T115" s="329">
        <v>0.18141499999999999</v>
      </c>
      <c r="U115" s="329">
        <v>0.12800700000000001</v>
      </c>
      <c r="V115" s="329">
        <v>0.139654</v>
      </c>
      <c r="W115" s="329">
        <v>0.106989</v>
      </c>
      <c r="X115" s="329">
        <v>0.105919</v>
      </c>
      <c r="Y115" s="329">
        <v>0.16275600000000001</v>
      </c>
      <c r="Z115" s="329">
        <v>0.14324899999999999</v>
      </c>
      <c r="AA115" s="329">
        <v>0.20893</v>
      </c>
      <c r="AB115" s="329">
        <v>0.14366499999999999</v>
      </c>
      <c r="AC115" s="329">
        <v>0</v>
      </c>
      <c r="AD115" s="329">
        <v>0.108154</v>
      </c>
      <c r="AE115" s="52">
        <f>'User Add-in Location'!B121</f>
        <v>0</v>
      </c>
      <c r="AF115" s="52">
        <f>'User Add-in Location'!C121</f>
        <v>0</v>
      </c>
      <c r="AG115" s="329">
        <v>0.13866300000000001</v>
      </c>
      <c r="AH115" s="329">
        <v>9.6983E-2</v>
      </c>
      <c r="AI115" s="329">
        <v>0.165689</v>
      </c>
      <c r="AJ115" s="329">
        <v>0.15360799999999999</v>
      </c>
      <c r="AK115" s="329">
        <v>8.4276000000000004E-2</v>
      </c>
      <c r="AL115" s="329">
        <v>0.13497200000000001</v>
      </c>
      <c r="AM115" s="329">
        <v>0.143092</v>
      </c>
      <c r="AN115" s="329">
        <v>0.13883200000000001</v>
      </c>
      <c r="AO115" s="329">
        <v>0.106991</v>
      </c>
      <c r="AP115" s="329">
        <v>0</v>
      </c>
      <c r="AQ115" s="329">
        <v>0</v>
      </c>
      <c r="AR115" s="329">
        <v>0.18982499999999999</v>
      </c>
      <c r="AS115" s="324">
        <v>0</v>
      </c>
      <c r="AT115" s="324">
        <v>0</v>
      </c>
      <c r="AU115" s="324">
        <v>0</v>
      </c>
      <c r="AV115" s="324">
        <v>0</v>
      </c>
      <c r="AW115" s="324">
        <v>0</v>
      </c>
      <c r="AX115" s="324">
        <v>0</v>
      </c>
      <c r="AY115" s="324">
        <v>0</v>
      </c>
      <c r="AZ115" s="324">
        <v>0</v>
      </c>
      <c r="BA115" s="329">
        <v>8.3637000000000003E-2</v>
      </c>
      <c r="BB115" s="329">
        <v>8.5119E-2</v>
      </c>
      <c r="BC115" s="329">
        <v>0</v>
      </c>
      <c r="BD115" s="329">
        <v>0.111552</v>
      </c>
      <c r="BE115" s="329">
        <v>0.19239400000000001</v>
      </c>
      <c r="BF115" s="329">
        <v>0.234238</v>
      </c>
      <c r="BG115" s="329">
        <v>0.17469999999999999</v>
      </c>
      <c r="BH115" s="329">
        <v>0.116637</v>
      </c>
      <c r="BI115" s="329">
        <v>0.13359199999999999</v>
      </c>
      <c r="BJ115" s="329">
        <v>8.6583999999999994E-2</v>
      </c>
      <c r="BK115" s="329">
        <v>4.2088E-2</v>
      </c>
      <c r="BL115" s="329">
        <v>8.2804000000000003E-2</v>
      </c>
      <c r="BM115" s="329">
        <v>3.9682000000000002E-2</v>
      </c>
    </row>
    <row r="116" spans="3:65">
      <c r="C116" s="408" t="s">
        <v>394</v>
      </c>
      <c r="D116" s="329">
        <v>0.104142</v>
      </c>
      <c r="E116" s="329">
        <v>8.7806999999999996E-2</v>
      </c>
      <c r="F116" s="329">
        <v>0.136738</v>
      </c>
      <c r="G116" s="329">
        <v>0.108739</v>
      </c>
      <c r="H116" s="329">
        <v>0.12892700000000001</v>
      </c>
      <c r="I116" s="329">
        <v>0.15263299999999999</v>
      </c>
      <c r="J116" s="329">
        <v>0.124541</v>
      </c>
      <c r="K116" s="329">
        <v>0.110969</v>
      </c>
      <c r="L116" s="329">
        <v>0.100739</v>
      </c>
      <c r="M116" s="329">
        <v>0.144485</v>
      </c>
      <c r="N116" s="329">
        <v>0.11985899999999999</v>
      </c>
      <c r="O116" s="329">
        <v>0.127497</v>
      </c>
      <c r="P116" s="329">
        <v>0.128357</v>
      </c>
      <c r="Q116" s="329">
        <v>0.139463</v>
      </c>
      <c r="R116" s="329">
        <v>0.13009200000000001</v>
      </c>
      <c r="S116" s="329">
        <v>0.12975400000000001</v>
      </c>
      <c r="T116" s="329">
        <v>0.121723</v>
      </c>
      <c r="U116" s="329">
        <v>0.11698</v>
      </c>
      <c r="V116" s="329">
        <v>0.11627800000000001</v>
      </c>
      <c r="W116" s="329">
        <v>0.124531</v>
      </c>
      <c r="X116" s="329">
        <v>0.128138</v>
      </c>
      <c r="Y116" s="329">
        <v>0.14476800000000001</v>
      </c>
      <c r="Z116" s="329">
        <v>0.141764</v>
      </c>
      <c r="AA116" s="329">
        <v>0.16003000000000001</v>
      </c>
      <c r="AB116" s="329">
        <v>0.106756</v>
      </c>
      <c r="AC116" s="329">
        <v>0.159639</v>
      </c>
      <c r="AD116" s="329">
        <v>0.12496699999999999</v>
      </c>
      <c r="AE116" s="52">
        <f>'User Add-in Location'!B122</f>
        <v>0</v>
      </c>
      <c r="AF116" s="52">
        <f>'User Add-in Location'!C122</f>
        <v>0</v>
      </c>
      <c r="AG116" s="329">
        <v>0.132382</v>
      </c>
      <c r="AH116" s="329">
        <v>0.121458</v>
      </c>
      <c r="AI116" s="329">
        <v>0.115754</v>
      </c>
      <c r="AJ116" s="329">
        <v>0.13852400000000001</v>
      </c>
      <c r="AK116" s="329">
        <v>0.13825799999999999</v>
      </c>
      <c r="AL116" s="329">
        <v>0.132771</v>
      </c>
      <c r="AM116" s="329">
        <v>0.115233</v>
      </c>
      <c r="AN116" s="329">
        <v>0.118119</v>
      </c>
      <c r="AO116" s="329">
        <v>0.130242</v>
      </c>
      <c r="AP116" s="329">
        <v>0.127829</v>
      </c>
      <c r="AQ116" s="329">
        <v>0.14868999999999999</v>
      </c>
      <c r="AR116" s="329">
        <v>0.14198</v>
      </c>
      <c r="AS116" s="324">
        <v>0</v>
      </c>
      <c r="AT116" s="324">
        <v>0</v>
      </c>
      <c r="AU116" s="324">
        <v>0</v>
      </c>
      <c r="AV116" s="324">
        <v>0</v>
      </c>
      <c r="AW116" s="324">
        <v>0</v>
      </c>
      <c r="AX116" s="324">
        <v>0</v>
      </c>
      <c r="AY116" s="324">
        <v>0</v>
      </c>
      <c r="AZ116" s="324">
        <v>0</v>
      </c>
      <c r="BA116" s="329">
        <v>9.5198000000000005E-2</v>
      </c>
      <c r="BB116" s="329">
        <v>8.6050000000000001E-2</v>
      </c>
      <c r="BC116" s="329">
        <v>0.129075</v>
      </c>
      <c r="BD116" s="329">
        <v>0.12970100000000001</v>
      </c>
      <c r="BE116" s="329">
        <v>0.14020299999999999</v>
      </c>
      <c r="BF116" s="329">
        <v>0.19437399999999999</v>
      </c>
      <c r="BG116" s="329">
        <v>0.140593</v>
      </c>
      <c r="BH116" s="329">
        <v>0.13844100000000001</v>
      </c>
      <c r="BI116" s="329">
        <v>0.127196</v>
      </c>
      <c r="BJ116" s="329">
        <v>0.11634899999999999</v>
      </c>
      <c r="BK116" s="329">
        <v>9.4275999999999999E-2</v>
      </c>
      <c r="BL116" s="329">
        <v>0.15307799999999999</v>
      </c>
      <c r="BM116" s="329">
        <v>7.6565999999999995E-2</v>
      </c>
    </row>
    <row r="117" spans="3:65">
      <c r="C117" s="408" t="s">
        <v>395</v>
      </c>
      <c r="D117" s="329">
        <v>0.101579</v>
      </c>
      <c r="E117" s="329">
        <v>9.0681999999999999E-2</v>
      </c>
      <c r="F117" s="329">
        <v>0.10935300000000001</v>
      </c>
      <c r="G117" s="329">
        <v>0.109029</v>
      </c>
      <c r="H117" s="329">
        <v>0.101248</v>
      </c>
      <c r="I117" s="329">
        <v>0.12534899999999999</v>
      </c>
      <c r="J117" s="329">
        <v>0.109358</v>
      </c>
      <c r="K117" s="329">
        <v>0.107651</v>
      </c>
      <c r="L117" s="329">
        <v>9.7637000000000002E-2</v>
      </c>
      <c r="M117" s="329">
        <v>0.12442599999999999</v>
      </c>
      <c r="N117" s="329">
        <v>0.11970500000000001</v>
      </c>
      <c r="O117" s="329">
        <v>8.8708999999999996E-2</v>
      </c>
      <c r="P117" s="329">
        <v>0.112056</v>
      </c>
      <c r="Q117" s="329">
        <v>0.12728</v>
      </c>
      <c r="R117" s="329">
        <v>0.117586</v>
      </c>
      <c r="S117" s="329">
        <v>0.126995</v>
      </c>
      <c r="T117" s="329">
        <v>0.109278</v>
      </c>
      <c r="U117" s="329">
        <v>0.117796</v>
      </c>
      <c r="V117" s="329">
        <v>0.104202</v>
      </c>
      <c r="W117" s="329">
        <v>0.110277</v>
      </c>
      <c r="X117" s="329">
        <v>0.116675</v>
      </c>
      <c r="Y117" s="329">
        <v>0.132692</v>
      </c>
      <c r="Z117" s="329">
        <v>0.12645899999999999</v>
      </c>
      <c r="AA117" s="329">
        <v>0.149204</v>
      </c>
      <c r="AB117" s="329">
        <v>9.3549999999999994E-2</v>
      </c>
      <c r="AC117" s="329">
        <v>0.146398</v>
      </c>
      <c r="AD117" s="329">
        <v>0.121487</v>
      </c>
      <c r="AE117" s="52">
        <f>'User Add-in Location'!B123</f>
        <v>0</v>
      </c>
      <c r="AF117" s="52">
        <f>'User Add-in Location'!C123</f>
        <v>0</v>
      </c>
      <c r="AG117" s="329">
        <v>0.13251199999999999</v>
      </c>
      <c r="AH117" s="329">
        <v>9.6331E-2</v>
      </c>
      <c r="AI117" s="329">
        <v>0.123421</v>
      </c>
      <c r="AJ117" s="329">
        <v>0.11430700000000001</v>
      </c>
      <c r="AK117" s="329">
        <v>0.110335</v>
      </c>
      <c r="AL117" s="329">
        <v>0.10519299999999999</v>
      </c>
      <c r="AM117" s="329">
        <v>0.110194</v>
      </c>
      <c r="AN117" s="329">
        <v>0.120834</v>
      </c>
      <c r="AO117" s="329">
        <v>0.11466899999999999</v>
      </c>
      <c r="AP117" s="329">
        <v>0.12106699999999999</v>
      </c>
      <c r="AQ117" s="329">
        <v>0.13442999999999999</v>
      </c>
      <c r="AR117" s="329">
        <v>0.141711</v>
      </c>
      <c r="AS117" s="324">
        <v>0</v>
      </c>
      <c r="AT117" s="324">
        <v>0</v>
      </c>
      <c r="AU117" s="324">
        <v>0</v>
      </c>
      <c r="AV117" s="324">
        <v>0</v>
      </c>
      <c r="AW117" s="324">
        <v>0</v>
      </c>
      <c r="AX117" s="324">
        <v>0</v>
      </c>
      <c r="AY117" s="324">
        <v>0</v>
      </c>
      <c r="AZ117" s="324">
        <v>0</v>
      </c>
      <c r="BA117" s="329">
        <v>9.1580999999999996E-2</v>
      </c>
      <c r="BB117" s="329">
        <v>8.8915999999999995E-2</v>
      </c>
      <c r="BC117" s="329">
        <v>0.11618299999999999</v>
      </c>
      <c r="BD117" s="329">
        <v>0.110527</v>
      </c>
      <c r="BE117" s="329">
        <v>0.131523</v>
      </c>
      <c r="BF117" s="329">
        <v>0.17454700000000001</v>
      </c>
      <c r="BG117" s="329">
        <v>0.11771</v>
      </c>
      <c r="BH117" s="329">
        <v>0.117256</v>
      </c>
      <c r="BI117" s="329">
        <v>0.12800700000000001</v>
      </c>
      <c r="BJ117" s="329">
        <v>8.3062999999999998E-2</v>
      </c>
      <c r="BK117" s="329">
        <v>9.2434000000000002E-2</v>
      </c>
      <c r="BL117" s="329">
        <v>0.13717699999999999</v>
      </c>
      <c r="BM117" s="329">
        <v>7.0707999999999993E-2</v>
      </c>
    </row>
    <row r="118" spans="3:65">
      <c r="C118" s="408" t="s">
        <v>396</v>
      </c>
      <c r="D118" s="329">
        <v>0.12548500000000001</v>
      </c>
      <c r="E118" s="329">
        <v>7.0444999999999994E-2</v>
      </c>
      <c r="F118" s="329">
        <v>0.11351700000000001</v>
      </c>
      <c r="G118" s="329">
        <v>0.14452899999999999</v>
      </c>
      <c r="H118" s="329">
        <v>0.11790399999999999</v>
      </c>
      <c r="I118" s="329">
        <v>0.12786400000000001</v>
      </c>
      <c r="J118" s="329">
        <v>0.10620300000000001</v>
      </c>
      <c r="K118" s="329">
        <v>0.14837800000000001</v>
      </c>
      <c r="L118" s="329">
        <v>0.123433</v>
      </c>
      <c r="M118" s="329">
        <v>0.124817</v>
      </c>
      <c r="N118" s="329">
        <v>0.13009200000000001</v>
      </c>
      <c r="O118" s="329">
        <v>8.5879999999999998E-2</v>
      </c>
      <c r="P118" s="329">
        <v>0.12851799999999999</v>
      </c>
      <c r="Q118" s="329">
        <v>0.148144</v>
      </c>
      <c r="R118" s="329">
        <v>0.142734</v>
      </c>
      <c r="S118" s="329">
        <v>0.12664900000000001</v>
      </c>
      <c r="T118" s="329">
        <v>0.12805</v>
      </c>
      <c r="U118" s="329">
        <v>0.135627</v>
      </c>
      <c r="V118" s="329">
        <v>0.15174399999999999</v>
      </c>
      <c r="W118" s="329">
        <v>0.12903600000000001</v>
      </c>
      <c r="X118" s="329">
        <v>0.12064900000000001</v>
      </c>
      <c r="Y118" s="329">
        <v>0.13391500000000001</v>
      </c>
      <c r="Z118" s="329">
        <v>0.139739</v>
      </c>
      <c r="AA118" s="329">
        <v>0.156469</v>
      </c>
      <c r="AB118" s="329">
        <v>0.133629</v>
      </c>
      <c r="AC118" s="329">
        <v>0.158029</v>
      </c>
      <c r="AD118" s="329">
        <v>0.139649</v>
      </c>
      <c r="AE118" s="52">
        <f>'User Add-in Location'!B124</f>
        <v>0</v>
      </c>
      <c r="AF118" s="52">
        <f>'User Add-in Location'!C124</f>
        <v>0</v>
      </c>
      <c r="AG118" s="329">
        <v>8.5680000000000006E-2</v>
      </c>
      <c r="AH118" s="329">
        <v>0.107269</v>
      </c>
      <c r="AI118" s="329">
        <v>0.12328799999999999</v>
      </c>
      <c r="AJ118" s="329">
        <v>0.119711</v>
      </c>
      <c r="AK118" s="329">
        <v>0.12908800000000001</v>
      </c>
      <c r="AL118" s="329">
        <v>0.13300100000000001</v>
      </c>
      <c r="AM118" s="329">
        <v>0.1268</v>
      </c>
      <c r="AN118" s="329">
        <v>0.14108000000000001</v>
      </c>
      <c r="AO118" s="329">
        <v>0.124643</v>
      </c>
      <c r="AP118" s="329">
        <v>9.9358000000000002E-2</v>
      </c>
      <c r="AQ118" s="329">
        <v>0.13129399999999999</v>
      </c>
      <c r="AR118" s="329">
        <v>0.135491</v>
      </c>
      <c r="AS118" s="324">
        <v>0</v>
      </c>
      <c r="AT118" s="324">
        <v>0</v>
      </c>
      <c r="AU118" s="324">
        <v>0</v>
      </c>
      <c r="AV118" s="324">
        <v>0</v>
      </c>
      <c r="AW118" s="324">
        <v>0</v>
      </c>
      <c r="AX118" s="324">
        <v>0</v>
      </c>
      <c r="AY118" s="324">
        <v>0</v>
      </c>
      <c r="AZ118" s="324">
        <v>0</v>
      </c>
      <c r="BA118" s="329">
        <v>9.7172999999999995E-2</v>
      </c>
      <c r="BB118" s="329">
        <v>0.101118</v>
      </c>
      <c r="BC118" s="329">
        <v>0.14534</v>
      </c>
      <c r="BD118" s="329">
        <v>0.132938</v>
      </c>
      <c r="BE118" s="329">
        <v>0.15059900000000001</v>
      </c>
      <c r="BF118" s="329">
        <v>0.20973700000000001</v>
      </c>
      <c r="BG118" s="329">
        <v>0.13079399999999999</v>
      </c>
      <c r="BH118" s="329">
        <v>0.153363</v>
      </c>
      <c r="BI118" s="329">
        <v>0.12693099999999999</v>
      </c>
      <c r="BJ118" s="329">
        <v>0.120154</v>
      </c>
      <c r="BK118" s="329">
        <v>0.119371</v>
      </c>
      <c r="BL118" s="329">
        <v>0.13069500000000001</v>
      </c>
      <c r="BM118" s="329">
        <v>6.54E-2</v>
      </c>
    </row>
    <row r="119" spans="3:65">
      <c r="C119" s="408" t="s">
        <v>397</v>
      </c>
      <c r="D119" s="329">
        <v>9.1051999999999994E-2</v>
      </c>
      <c r="E119" s="329">
        <v>6.1353999999999999E-2</v>
      </c>
      <c r="F119" s="329">
        <v>0.108163</v>
      </c>
      <c r="G119" s="329">
        <v>8.8987999999999998E-2</v>
      </c>
      <c r="H119" s="329">
        <v>8.6966000000000002E-2</v>
      </c>
      <c r="I119" s="329">
        <v>0.117427</v>
      </c>
      <c r="J119" s="329">
        <v>7.8756000000000007E-2</v>
      </c>
      <c r="K119" s="329">
        <v>5.4671999999999998E-2</v>
      </c>
      <c r="L119" s="329">
        <v>0.10229000000000001</v>
      </c>
      <c r="M119" s="329">
        <v>0.122337</v>
      </c>
      <c r="N119" s="329">
        <v>0.101546</v>
      </c>
      <c r="O119" s="329">
        <v>6.7096000000000003E-2</v>
      </c>
      <c r="P119" s="329">
        <v>9.8919000000000007E-2</v>
      </c>
      <c r="Q119" s="329">
        <v>0.106073</v>
      </c>
      <c r="R119" s="329">
        <v>8.3993999999999999E-2</v>
      </c>
      <c r="S119" s="329">
        <v>8.2833000000000004E-2</v>
      </c>
      <c r="T119" s="329">
        <v>0.10327699999999999</v>
      </c>
      <c r="U119" s="329">
        <v>9.7299999999999998E-2</v>
      </c>
      <c r="V119" s="329">
        <v>9.3081999999999998E-2</v>
      </c>
      <c r="W119" s="329">
        <v>8.0787999999999999E-2</v>
      </c>
      <c r="X119" s="329">
        <v>8.3433999999999994E-2</v>
      </c>
      <c r="Y119" s="329">
        <v>9.9197999999999995E-2</v>
      </c>
      <c r="Z119" s="329">
        <v>0.101676</v>
      </c>
      <c r="AA119" s="329">
        <v>0.118232</v>
      </c>
      <c r="AB119" s="329">
        <v>7.7007000000000006E-2</v>
      </c>
      <c r="AC119" s="329">
        <v>0.122631</v>
      </c>
      <c r="AD119" s="329">
        <v>9.9606E-2</v>
      </c>
      <c r="AE119" s="52">
        <f>'User Add-in Location'!B125</f>
        <v>0</v>
      </c>
      <c r="AF119" s="52">
        <f>'User Add-in Location'!C125</f>
        <v>0</v>
      </c>
      <c r="AG119" s="329">
        <v>9.8941000000000001E-2</v>
      </c>
      <c r="AH119" s="329">
        <v>8.6459999999999995E-2</v>
      </c>
      <c r="AI119" s="329">
        <v>8.4583000000000005E-2</v>
      </c>
      <c r="AJ119" s="329">
        <v>9.9182000000000006E-2</v>
      </c>
      <c r="AK119" s="329">
        <v>8.0321000000000004E-2</v>
      </c>
      <c r="AL119" s="329">
        <v>8.8358999999999993E-2</v>
      </c>
      <c r="AM119" s="329">
        <v>9.0622999999999995E-2</v>
      </c>
      <c r="AN119" s="329">
        <v>0.105504</v>
      </c>
      <c r="AO119" s="329">
        <v>9.1797000000000004E-2</v>
      </c>
      <c r="AP119" s="329">
        <v>0.100629</v>
      </c>
      <c r="AQ119" s="329">
        <v>9.1322E-2</v>
      </c>
      <c r="AR119" s="329">
        <v>0.113941</v>
      </c>
      <c r="AS119" s="324">
        <v>0</v>
      </c>
      <c r="AT119" s="324">
        <v>0</v>
      </c>
      <c r="AU119" s="324">
        <v>0</v>
      </c>
      <c r="AV119" s="324">
        <v>0</v>
      </c>
      <c r="AW119" s="324">
        <v>0</v>
      </c>
      <c r="AX119" s="324">
        <v>0</v>
      </c>
      <c r="AY119" s="324">
        <v>0</v>
      </c>
      <c r="AZ119" s="324">
        <v>0</v>
      </c>
      <c r="BA119" s="329">
        <v>8.7640999999999997E-2</v>
      </c>
      <c r="BB119" s="329">
        <v>8.1396999999999997E-2</v>
      </c>
      <c r="BC119" s="329">
        <v>8.5299E-2</v>
      </c>
      <c r="BD119" s="329">
        <v>9.8927000000000001E-2</v>
      </c>
      <c r="BE119" s="329">
        <v>0.12220200000000001</v>
      </c>
      <c r="BF119" s="329">
        <v>0.15556200000000001</v>
      </c>
      <c r="BG119" s="329">
        <v>0.104979</v>
      </c>
      <c r="BH119" s="329">
        <v>8.1312999999999996E-2</v>
      </c>
      <c r="BI119" s="329">
        <v>9.6420000000000006E-2</v>
      </c>
      <c r="BJ119" s="329">
        <v>8.7837999999999999E-2</v>
      </c>
      <c r="BK119" s="329">
        <v>7.0168999999999995E-2</v>
      </c>
      <c r="BL119" s="329">
        <v>0.105271</v>
      </c>
      <c r="BM119" s="329">
        <v>6.9171999999999997E-2</v>
      </c>
    </row>
    <row r="120" spans="3:65">
      <c r="C120" s="408" t="s">
        <v>398</v>
      </c>
      <c r="D120" s="329">
        <v>0.13004199999999999</v>
      </c>
      <c r="E120" s="329">
        <v>0.1129</v>
      </c>
      <c r="F120" s="329">
        <v>0.16559699999999999</v>
      </c>
      <c r="G120" s="329">
        <v>0.143403</v>
      </c>
      <c r="H120" s="329">
        <v>0.13896500000000001</v>
      </c>
      <c r="I120" s="329">
        <v>0.18995100000000001</v>
      </c>
      <c r="J120" s="329">
        <v>0.12672600000000001</v>
      </c>
      <c r="K120" s="329">
        <v>5.6300999999999997E-2</v>
      </c>
      <c r="L120" s="329">
        <v>0.13544200000000001</v>
      </c>
      <c r="M120" s="329">
        <v>0.21202599999999999</v>
      </c>
      <c r="N120" s="329">
        <v>0.105625</v>
      </c>
      <c r="O120" s="329">
        <v>0.143874</v>
      </c>
      <c r="P120" s="329">
        <v>0.166599</v>
      </c>
      <c r="Q120" s="329">
        <v>0.16275400000000001</v>
      </c>
      <c r="R120" s="329">
        <v>0.16497000000000001</v>
      </c>
      <c r="S120" s="329">
        <v>0.14679800000000001</v>
      </c>
      <c r="T120" s="329">
        <v>0.17996999999999999</v>
      </c>
      <c r="U120" s="329">
        <v>0.15449399999999999</v>
      </c>
      <c r="V120" s="329">
        <v>0.15287999999999999</v>
      </c>
      <c r="W120" s="329">
        <v>0.142597</v>
      </c>
      <c r="X120" s="329">
        <v>0.16772100000000001</v>
      </c>
      <c r="Y120" s="329">
        <v>0.13746900000000001</v>
      </c>
      <c r="Z120" s="329">
        <v>0.19176099999999999</v>
      </c>
      <c r="AA120" s="329">
        <v>0.17577599999999999</v>
      </c>
      <c r="AB120" s="329">
        <v>0.129329</v>
      </c>
      <c r="AC120" s="329">
        <v>0.163776</v>
      </c>
      <c r="AD120" s="329">
        <v>0.14186299999999999</v>
      </c>
      <c r="AE120" s="52">
        <f>'User Add-in Location'!B126</f>
        <v>0</v>
      </c>
      <c r="AF120" s="52">
        <f>'User Add-in Location'!C126</f>
        <v>0</v>
      </c>
      <c r="AG120" s="329">
        <v>0.177013</v>
      </c>
      <c r="AH120" s="329">
        <v>0.138877</v>
      </c>
      <c r="AI120" s="329">
        <v>0.13736899999999999</v>
      </c>
      <c r="AJ120" s="329">
        <v>0.17310400000000001</v>
      </c>
      <c r="AK120" s="329">
        <v>0.15970200000000001</v>
      </c>
      <c r="AL120" s="329">
        <v>6.9093000000000002E-2</v>
      </c>
      <c r="AM120" s="329">
        <v>9.2002E-2</v>
      </c>
      <c r="AN120" s="329">
        <v>0.16055700000000001</v>
      </c>
      <c r="AO120" s="329">
        <v>0.114511</v>
      </c>
      <c r="AP120" s="329">
        <v>0.18260599999999999</v>
      </c>
      <c r="AQ120" s="329">
        <v>0.17494799999999999</v>
      </c>
      <c r="AR120" s="329">
        <v>0.20239099999999999</v>
      </c>
      <c r="AS120" s="324">
        <v>0</v>
      </c>
      <c r="AT120" s="324">
        <v>0</v>
      </c>
      <c r="AU120" s="324">
        <v>0</v>
      </c>
      <c r="AV120" s="324">
        <v>0</v>
      </c>
      <c r="AW120" s="324">
        <v>0</v>
      </c>
      <c r="AX120" s="324">
        <v>0</v>
      </c>
      <c r="AY120" s="324">
        <v>0</v>
      </c>
      <c r="AZ120" s="324">
        <v>0</v>
      </c>
      <c r="BA120" s="329">
        <v>0.13498599999999999</v>
      </c>
      <c r="BB120" s="329">
        <v>0.12848499999999999</v>
      </c>
      <c r="BC120" s="329">
        <v>6.4662999999999998E-2</v>
      </c>
      <c r="BD120" s="329">
        <v>0.159493</v>
      </c>
      <c r="BE120" s="329">
        <v>0.19633100000000001</v>
      </c>
      <c r="BF120" s="329">
        <v>0.211423</v>
      </c>
      <c r="BG120" s="329">
        <v>0.134134</v>
      </c>
      <c r="BH120" s="329">
        <v>0.16425200000000001</v>
      </c>
      <c r="BI120" s="329">
        <v>0.14863299999999999</v>
      </c>
      <c r="BJ120" s="329">
        <v>0.158002</v>
      </c>
      <c r="BK120" s="329">
        <v>0.13327700000000001</v>
      </c>
      <c r="BL120" s="329">
        <v>0.18897</v>
      </c>
      <c r="BM120" s="329">
        <v>0.119264</v>
      </c>
    </row>
    <row r="121" spans="3:65">
      <c r="C121" s="408" t="s">
        <v>399</v>
      </c>
      <c r="D121" s="329">
        <v>0.10754900000000001</v>
      </c>
      <c r="E121" s="329">
        <v>9.5134999999999997E-2</v>
      </c>
      <c r="F121" s="329">
        <v>0.13172</v>
      </c>
      <c r="G121" s="329">
        <v>0.104478</v>
      </c>
      <c r="H121" s="329">
        <v>0.11182499999999999</v>
      </c>
      <c r="I121" s="329">
        <v>0.13228300000000001</v>
      </c>
      <c r="J121" s="329">
        <v>0.115254</v>
      </c>
      <c r="K121" s="329">
        <v>7.5703999999999994E-2</v>
      </c>
      <c r="L121" s="329">
        <v>7.3346999999999996E-2</v>
      </c>
      <c r="M121" s="329">
        <v>0.144923</v>
      </c>
      <c r="N121" s="329">
        <v>0.12013699999999999</v>
      </c>
      <c r="O121" s="329">
        <v>0.10677399999999999</v>
      </c>
      <c r="P121" s="329">
        <v>0.13574700000000001</v>
      </c>
      <c r="Q121" s="329">
        <v>0.119981</v>
      </c>
      <c r="R121" s="329">
        <v>0.104601</v>
      </c>
      <c r="S121" s="329">
        <v>0.124876</v>
      </c>
      <c r="T121" s="329">
        <v>0.11693199999999999</v>
      </c>
      <c r="U121" s="329">
        <v>0.122057</v>
      </c>
      <c r="V121" s="329">
        <v>0.117452</v>
      </c>
      <c r="W121" s="329">
        <v>0.117007</v>
      </c>
      <c r="X121" s="329">
        <v>0.12803500000000001</v>
      </c>
      <c r="Y121" s="329">
        <v>0.12607099999999999</v>
      </c>
      <c r="Z121" s="329">
        <v>0.135076</v>
      </c>
      <c r="AA121" s="329">
        <v>0.14174500000000001</v>
      </c>
      <c r="AB121" s="329">
        <v>0.106157</v>
      </c>
      <c r="AC121" s="329">
        <v>0.14202100000000001</v>
      </c>
      <c r="AD121" s="329">
        <v>0.12476</v>
      </c>
      <c r="AE121" s="52">
        <f>'User Add-in Location'!B127</f>
        <v>0</v>
      </c>
      <c r="AF121" s="52">
        <f>'User Add-in Location'!C127</f>
        <v>0</v>
      </c>
      <c r="AG121" s="329">
        <v>0.13276299999999999</v>
      </c>
      <c r="AH121" s="329">
        <v>0.11368499999999999</v>
      </c>
      <c r="AI121" s="329">
        <v>0.12016</v>
      </c>
      <c r="AJ121" s="329">
        <v>0.11905399999999999</v>
      </c>
      <c r="AK121" s="329">
        <v>0.142624</v>
      </c>
      <c r="AL121" s="329">
        <v>0.10324800000000001</v>
      </c>
      <c r="AM121" s="329">
        <v>9.6602999999999994E-2</v>
      </c>
      <c r="AN121" s="329">
        <v>0.11812400000000001</v>
      </c>
      <c r="AO121" s="329">
        <v>0.123514</v>
      </c>
      <c r="AP121" s="329">
        <v>0.12556999999999999</v>
      </c>
      <c r="AQ121" s="329">
        <v>0.12260600000000001</v>
      </c>
      <c r="AR121" s="329">
        <v>0.13251499999999999</v>
      </c>
      <c r="AS121" s="324">
        <v>0</v>
      </c>
      <c r="AT121" s="324">
        <v>0</v>
      </c>
      <c r="AU121" s="324">
        <v>0</v>
      </c>
      <c r="AV121" s="324">
        <v>0</v>
      </c>
      <c r="AW121" s="324">
        <v>0</v>
      </c>
      <c r="AX121" s="324">
        <v>0</v>
      </c>
      <c r="AY121" s="324">
        <v>0</v>
      </c>
      <c r="AZ121" s="324">
        <v>0</v>
      </c>
      <c r="BA121" s="329">
        <v>9.6466999999999997E-2</v>
      </c>
      <c r="BB121" s="329">
        <v>9.1095999999999996E-2</v>
      </c>
      <c r="BC121" s="329">
        <v>0.115009</v>
      </c>
      <c r="BD121" s="329">
        <v>0.12335400000000001</v>
      </c>
      <c r="BE121" s="329">
        <v>0.13141900000000001</v>
      </c>
      <c r="BF121" s="329">
        <v>0.178041</v>
      </c>
      <c r="BG121" s="329">
        <v>0.144786</v>
      </c>
      <c r="BH121" s="329">
        <v>0.130603</v>
      </c>
      <c r="BI121" s="329">
        <v>0.122348</v>
      </c>
      <c r="BJ121" s="329">
        <v>0.11149000000000001</v>
      </c>
      <c r="BK121" s="329">
        <v>8.7940000000000004E-2</v>
      </c>
      <c r="BL121" s="329">
        <v>0.14014099999999999</v>
      </c>
      <c r="BM121" s="329">
        <v>7.6398999999999995E-2</v>
      </c>
    </row>
    <row r="122" spans="3:65">
      <c r="C122" s="408" t="s">
        <v>400</v>
      </c>
      <c r="D122" s="329">
        <v>8.541E-2</v>
      </c>
      <c r="E122" s="329">
        <v>8.2711000000000007E-2</v>
      </c>
      <c r="F122" s="329">
        <v>0.104298</v>
      </c>
      <c r="G122" s="329">
        <v>0.10571899999999999</v>
      </c>
      <c r="H122" s="329">
        <v>7.5627E-2</v>
      </c>
      <c r="I122" s="329">
        <v>9.6607999999999999E-2</v>
      </c>
      <c r="J122" s="329">
        <v>7.7641000000000002E-2</v>
      </c>
      <c r="K122" s="329">
        <v>7.2101999999999999E-2</v>
      </c>
      <c r="L122" s="329">
        <v>6.3309000000000004E-2</v>
      </c>
      <c r="M122" s="329">
        <v>0.106957</v>
      </c>
      <c r="N122" s="329">
        <v>9.0921000000000002E-2</v>
      </c>
      <c r="O122" s="329">
        <v>9.3162999999999996E-2</v>
      </c>
      <c r="P122" s="329">
        <v>0.108864</v>
      </c>
      <c r="Q122" s="329">
        <v>0.101469</v>
      </c>
      <c r="R122" s="329">
        <v>8.6468000000000003E-2</v>
      </c>
      <c r="S122" s="329">
        <v>9.5923999999999995E-2</v>
      </c>
      <c r="T122" s="329">
        <v>8.9764999999999998E-2</v>
      </c>
      <c r="U122" s="329">
        <v>0.10015400000000001</v>
      </c>
      <c r="V122" s="329">
        <v>0.10832</v>
      </c>
      <c r="W122" s="329">
        <v>9.1384999999999994E-2</v>
      </c>
      <c r="X122" s="329">
        <v>7.9465999999999995E-2</v>
      </c>
      <c r="Y122" s="329">
        <v>6.9430000000000006E-2</v>
      </c>
      <c r="Z122" s="329">
        <v>0.10897</v>
      </c>
      <c r="AA122" s="329">
        <v>0.10945000000000001</v>
      </c>
      <c r="AB122" s="329">
        <v>9.5155000000000003E-2</v>
      </c>
      <c r="AC122" s="329">
        <v>0.107433</v>
      </c>
      <c r="AD122" s="329">
        <v>0.109003</v>
      </c>
      <c r="AE122" s="52">
        <f>'User Add-in Location'!B128</f>
        <v>0</v>
      </c>
      <c r="AF122" s="52">
        <f>'User Add-in Location'!C128</f>
        <v>0</v>
      </c>
      <c r="AG122" s="329">
        <v>0.110334</v>
      </c>
      <c r="AH122" s="329">
        <v>9.3979999999999994E-2</v>
      </c>
      <c r="AI122" s="329">
        <v>7.7678999999999998E-2</v>
      </c>
      <c r="AJ122" s="329">
        <v>8.0981999999999998E-2</v>
      </c>
      <c r="AK122" s="329">
        <v>8.7941000000000005E-2</v>
      </c>
      <c r="AL122" s="329">
        <v>8.0484E-2</v>
      </c>
      <c r="AM122" s="329">
        <v>7.3825000000000002E-2</v>
      </c>
      <c r="AN122" s="329">
        <v>9.9981E-2</v>
      </c>
      <c r="AO122" s="329">
        <v>9.7185999999999995E-2</v>
      </c>
      <c r="AP122" s="329">
        <v>0.100734</v>
      </c>
      <c r="AQ122" s="329">
        <v>0.107847</v>
      </c>
      <c r="AR122" s="329">
        <v>0.10569099999999999</v>
      </c>
      <c r="AS122" s="324">
        <v>0</v>
      </c>
      <c r="AT122" s="324">
        <v>0</v>
      </c>
      <c r="AU122" s="324">
        <v>0</v>
      </c>
      <c r="AV122" s="324">
        <v>0</v>
      </c>
      <c r="AW122" s="324">
        <v>0</v>
      </c>
      <c r="AX122" s="324">
        <v>0</v>
      </c>
      <c r="AY122" s="324">
        <v>0</v>
      </c>
      <c r="AZ122" s="324">
        <v>0</v>
      </c>
      <c r="BA122" s="329">
        <v>8.0112000000000003E-2</v>
      </c>
      <c r="BB122" s="329">
        <v>7.6659000000000005E-2</v>
      </c>
      <c r="BC122" s="329">
        <v>9.8705000000000001E-2</v>
      </c>
      <c r="BD122" s="329">
        <v>8.1856999999999999E-2</v>
      </c>
      <c r="BE122" s="329">
        <v>0.100401</v>
      </c>
      <c r="BF122" s="329">
        <v>0.13251199999999999</v>
      </c>
      <c r="BG122" s="329">
        <v>0.112094</v>
      </c>
      <c r="BH122" s="329">
        <v>8.7847999999999996E-2</v>
      </c>
      <c r="BI122" s="329">
        <v>7.7618000000000006E-2</v>
      </c>
      <c r="BJ122" s="329">
        <v>8.6715E-2</v>
      </c>
      <c r="BK122" s="329">
        <v>9.9982000000000001E-2</v>
      </c>
      <c r="BL122" s="329">
        <v>0.109028</v>
      </c>
      <c r="BM122" s="329">
        <v>6.6378999999999994E-2</v>
      </c>
    </row>
    <row r="123" spans="3:65">
      <c r="C123" s="408" t="s">
        <v>401</v>
      </c>
      <c r="D123" s="329">
        <v>0.10018000000000001</v>
      </c>
      <c r="E123" s="329">
        <v>9.6120999999999998E-2</v>
      </c>
      <c r="F123" s="329">
        <v>0.12631300000000001</v>
      </c>
      <c r="G123" s="329">
        <v>0.124192</v>
      </c>
      <c r="H123" s="329">
        <v>0.115066</v>
      </c>
      <c r="I123" s="329">
        <v>0.13228300000000001</v>
      </c>
      <c r="J123" s="329">
        <v>0.122879</v>
      </c>
      <c r="K123" s="329">
        <v>9.4122999999999998E-2</v>
      </c>
      <c r="L123" s="329">
        <v>8.6354E-2</v>
      </c>
      <c r="M123" s="329">
        <v>0.14543200000000001</v>
      </c>
      <c r="N123" s="329">
        <v>0.127939</v>
      </c>
      <c r="O123" s="329">
        <v>0.105437</v>
      </c>
      <c r="P123" s="329">
        <v>0.129633</v>
      </c>
      <c r="Q123" s="329">
        <v>0.140928</v>
      </c>
      <c r="R123" s="329">
        <v>0.113152</v>
      </c>
      <c r="S123" s="329">
        <v>0.118614</v>
      </c>
      <c r="T123" s="329">
        <v>0.114038</v>
      </c>
      <c r="U123" s="329">
        <v>0.11906600000000001</v>
      </c>
      <c r="V123" s="329">
        <v>0.122958</v>
      </c>
      <c r="W123" s="329">
        <v>0.111896</v>
      </c>
      <c r="X123" s="329">
        <v>0.11877699999999999</v>
      </c>
      <c r="Y123" s="329">
        <v>0.11613800000000001</v>
      </c>
      <c r="Z123" s="329">
        <v>0.127917</v>
      </c>
      <c r="AA123" s="329">
        <v>0.15230199999999999</v>
      </c>
      <c r="AB123" s="329">
        <v>0.11163099999999999</v>
      </c>
      <c r="AC123" s="329">
        <v>0.13861299999999999</v>
      </c>
      <c r="AD123" s="329">
        <v>0.121514</v>
      </c>
      <c r="AE123" s="52">
        <f>'User Add-in Location'!B129</f>
        <v>0</v>
      </c>
      <c r="AF123" s="52">
        <f>'User Add-in Location'!C129</f>
        <v>0</v>
      </c>
      <c r="AG123" s="329">
        <v>0.13594100000000001</v>
      </c>
      <c r="AH123" s="329">
        <v>0.11860800000000001</v>
      </c>
      <c r="AI123" s="329">
        <v>0.117294</v>
      </c>
      <c r="AJ123" s="329">
        <v>0.130327</v>
      </c>
      <c r="AK123" s="329">
        <v>0.110601</v>
      </c>
      <c r="AL123" s="329">
        <v>0.112299</v>
      </c>
      <c r="AM123" s="329">
        <v>0.10501099999999999</v>
      </c>
      <c r="AN123" s="329">
        <v>0.10959199999999999</v>
      </c>
      <c r="AO123" s="329">
        <v>0.123097</v>
      </c>
      <c r="AP123" s="329">
        <v>0.12825600000000001</v>
      </c>
      <c r="AQ123" s="329">
        <v>0.138039</v>
      </c>
      <c r="AR123" s="329">
        <v>0.14587600000000001</v>
      </c>
      <c r="AS123" s="324">
        <v>0</v>
      </c>
      <c r="AT123" s="324">
        <v>0</v>
      </c>
      <c r="AU123" s="324">
        <v>0</v>
      </c>
      <c r="AV123" s="324">
        <v>0</v>
      </c>
      <c r="AW123" s="324">
        <v>0</v>
      </c>
      <c r="AX123" s="324">
        <v>0</v>
      </c>
      <c r="AY123" s="324">
        <v>0</v>
      </c>
      <c r="AZ123" s="324">
        <v>0</v>
      </c>
      <c r="BA123" s="329">
        <v>9.7526000000000002E-2</v>
      </c>
      <c r="BB123" s="329">
        <v>9.0209999999999999E-2</v>
      </c>
      <c r="BC123" s="329">
        <v>0.122297</v>
      </c>
      <c r="BD123" s="329">
        <v>0.118354</v>
      </c>
      <c r="BE123" s="329">
        <v>0.133991</v>
      </c>
      <c r="BF123" s="329">
        <v>0.18281900000000001</v>
      </c>
      <c r="BG123" s="329">
        <v>0.13796</v>
      </c>
      <c r="BH123" s="329">
        <v>0.122006</v>
      </c>
      <c r="BI123" s="329">
        <v>0.115768</v>
      </c>
      <c r="BJ123" s="329">
        <v>0.117835</v>
      </c>
      <c r="BK123" s="329">
        <v>9.2842999999999995E-2</v>
      </c>
      <c r="BL123" s="329">
        <v>0.13275700000000001</v>
      </c>
      <c r="BM123" s="329">
        <v>7.0762000000000005E-2</v>
      </c>
    </row>
    <row r="124" spans="3:65">
      <c r="C124" s="408" t="s">
        <v>402</v>
      </c>
      <c r="D124" s="329">
        <v>0.10744099999999999</v>
      </c>
      <c r="E124" s="329">
        <v>8.8270000000000001E-2</v>
      </c>
      <c r="F124" s="329">
        <v>0.1166</v>
      </c>
      <c r="G124" s="329">
        <v>0.116553</v>
      </c>
      <c r="H124" s="329">
        <v>0.110073</v>
      </c>
      <c r="I124" s="329">
        <v>0.12667300000000001</v>
      </c>
      <c r="J124" s="329">
        <v>0.10911899999999999</v>
      </c>
      <c r="K124" s="329">
        <v>8.5276000000000005E-2</v>
      </c>
      <c r="L124" s="329">
        <v>9.5777000000000001E-2</v>
      </c>
      <c r="M124" s="329">
        <v>0.131329</v>
      </c>
      <c r="N124" s="329">
        <v>0.11636299999999999</v>
      </c>
      <c r="O124" s="329">
        <v>8.8133000000000003E-2</v>
      </c>
      <c r="P124" s="329">
        <v>0.121193</v>
      </c>
      <c r="Q124" s="329">
        <v>0.13539000000000001</v>
      </c>
      <c r="R124" s="329">
        <v>0.121104</v>
      </c>
      <c r="S124" s="329">
        <v>0.120882</v>
      </c>
      <c r="T124" s="329">
        <v>0.107864</v>
      </c>
      <c r="U124" s="329">
        <v>0.117742</v>
      </c>
      <c r="V124" s="329">
        <v>0.117094</v>
      </c>
      <c r="W124" s="329">
        <v>0.10765</v>
      </c>
      <c r="X124" s="329">
        <v>0.110127</v>
      </c>
      <c r="Y124" s="329">
        <v>0.12089900000000001</v>
      </c>
      <c r="Z124" s="329">
        <v>0.13178000000000001</v>
      </c>
      <c r="AA124" s="329">
        <v>0.146565</v>
      </c>
      <c r="AB124" s="329">
        <v>0.109526</v>
      </c>
      <c r="AC124" s="329">
        <v>0.145264</v>
      </c>
      <c r="AD124" s="329">
        <v>0.115977</v>
      </c>
      <c r="AE124" s="52">
        <f>'User Add-in Location'!B130</f>
        <v>0</v>
      </c>
      <c r="AF124" s="52">
        <f>'User Add-in Location'!C130</f>
        <v>0</v>
      </c>
      <c r="AG124" s="329">
        <v>0.129443</v>
      </c>
      <c r="AH124" s="329">
        <v>9.5129000000000005E-2</v>
      </c>
      <c r="AI124" s="329">
        <v>0.109884</v>
      </c>
      <c r="AJ124" s="329">
        <v>0.117893</v>
      </c>
      <c r="AK124" s="329">
        <v>0.115636</v>
      </c>
      <c r="AL124" s="329">
        <v>0.10079399999999999</v>
      </c>
      <c r="AM124" s="329">
        <v>0.107735</v>
      </c>
      <c r="AN124" s="329">
        <v>0.11032</v>
      </c>
      <c r="AO124" s="329">
        <v>0.11866699999999999</v>
      </c>
      <c r="AP124" s="329">
        <v>0.122864</v>
      </c>
      <c r="AQ124" s="329">
        <v>0.121073</v>
      </c>
      <c r="AR124" s="329">
        <v>0.12559899999999999</v>
      </c>
      <c r="AS124" s="324">
        <v>0</v>
      </c>
      <c r="AT124" s="324">
        <v>0</v>
      </c>
      <c r="AU124" s="324">
        <v>0</v>
      </c>
      <c r="AV124" s="324">
        <v>0</v>
      </c>
      <c r="AW124" s="324">
        <v>0</v>
      </c>
      <c r="AX124" s="324">
        <v>0</v>
      </c>
      <c r="AY124" s="324">
        <v>0</v>
      </c>
      <c r="AZ124" s="324">
        <v>0</v>
      </c>
      <c r="BA124" s="329">
        <v>9.2452000000000006E-2</v>
      </c>
      <c r="BB124" s="329">
        <v>8.9931999999999998E-2</v>
      </c>
      <c r="BC124" s="329">
        <v>0.115895</v>
      </c>
      <c r="BD124" s="329">
        <v>0.11101</v>
      </c>
      <c r="BE124" s="329">
        <v>0.13639999999999999</v>
      </c>
      <c r="BF124" s="329">
        <v>0.17649699999999999</v>
      </c>
      <c r="BG124" s="329">
        <v>0.12139999999999999</v>
      </c>
      <c r="BH124" s="329">
        <v>0.116233</v>
      </c>
      <c r="BI124" s="329">
        <v>0.12069000000000001</v>
      </c>
      <c r="BJ124" s="329">
        <v>0.105431</v>
      </c>
      <c r="BK124" s="329">
        <v>9.1016E-2</v>
      </c>
      <c r="BL124" s="329">
        <v>0.123722</v>
      </c>
      <c r="BM124" s="329">
        <v>6.7127999999999993E-2</v>
      </c>
    </row>
    <row r="125" spans="3:65">
      <c r="C125" s="408" t="s">
        <v>403</v>
      </c>
      <c r="D125" s="329">
        <v>1.789E-2</v>
      </c>
      <c r="E125" s="329">
        <v>3.8679999999999999E-3</v>
      </c>
      <c r="F125" s="329">
        <v>2.759E-2</v>
      </c>
      <c r="G125" s="329">
        <v>2.3111E-2</v>
      </c>
      <c r="H125" s="329">
        <v>2.6206E-2</v>
      </c>
      <c r="I125" s="329">
        <v>1.6808E-2</v>
      </c>
      <c r="J125" s="329">
        <v>2.6269000000000001E-2</v>
      </c>
      <c r="K125" s="329">
        <v>6.7380000000000001E-3</v>
      </c>
      <c r="L125" s="329">
        <v>6.221E-3</v>
      </c>
      <c r="M125" s="329">
        <v>2.0060999999999999E-2</v>
      </c>
      <c r="N125" s="329">
        <v>6.803E-3</v>
      </c>
      <c r="O125" s="329">
        <v>1.1093E-2</v>
      </c>
      <c r="P125" s="329">
        <v>2.8051E-2</v>
      </c>
      <c r="Q125" s="329">
        <v>1.1738999999999999E-2</v>
      </c>
      <c r="R125" s="329">
        <v>1.7035000000000002E-2</v>
      </c>
      <c r="S125" s="329">
        <v>1.3016E-2</v>
      </c>
      <c r="T125" s="329">
        <v>1.9758999999999999E-2</v>
      </c>
      <c r="U125" s="329">
        <v>2.0858000000000002E-2</v>
      </c>
      <c r="V125" s="329">
        <v>2.2759000000000001E-2</v>
      </c>
      <c r="W125" s="329">
        <v>1.8030000000000001E-2</v>
      </c>
      <c r="X125" s="329">
        <v>5.1749999999999999E-3</v>
      </c>
      <c r="Y125" s="329">
        <v>8.0319999999999992E-3</v>
      </c>
      <c r="Z125" s="329">
        <v>1.6750000000000001E-2</v>
      </c>
      <c r="AA125" s="329">
        <v>3.3355999999999997E-2</v>
      </c>
      <c r="AB125" s="329">
        <v>1.3924000000000001E-2</v>
      </c>
      <c r="AC125" s="329">
        <v>2.1554E-2</v>
      </c>
      <c r="AD125" s="329">
        <v>1.8121999999999999E-2</v>
      </c>
      <c r="AE125" s="52">
        <f>'User Add-in Location'!B131</f>
        <v>0</v>
      </c>
      <c r="AF125" s="52">
        <f>'User Add-in Location'!C131</f>
        <v>0</v>
      </c>
      <c r="AG125" s="329">
        <v>1.3158E-2</v>
      </c>
      <c r="AH125" s="329">
        <v>1.1025E-2</v>
      </c>
      <c r="AI125" s="329">
        <v>1.2600999999999999E-2</v>
      </c>
      <c r="AJ125" s="329">
        <v>1.7187000000000001E-2</v>
      </c>
      <c r="AK125" s="329">
        <v>1.8577E-2</v>
      </c>
      <c r="AL125" s="329">
        <v>1.9831999999999999E-2</v>
      </c>
      <c r="AM125" s="329">
        <v>8.8739999999999999E-3</v>
      </c>
      <c r="AN125" s="329">
        <v>4.0430000000000001E-2</v>
      </c>
      <c r="AO125" s="329">
        <v>1.2655E-2</v>
      </c>
      <c r="AP125" s="329">
        <v>4.2833000000000003E-2</v>
      </c>
      <c r="AQ125" s="329">
        <v>2.7504000000000001E-2</v>
      </c>
      <c r="AR125" s="329">
        <v>2.8101999999999999E-2</v>
      </c>
      <c r="AS125" s="324">
        <v>0</v>
      </c>
      <c r="AT125" s="324">
        <v>0</v>
      </c>
      <c r="AU125" s="324">
        <v>0</v>
      </c>
      <c r="AV125" s="324">
        <v>0</v>
      </c>
      <c r="AW125" s="324">
        <v>0</v>
      </c>
      <c r="AX125" s="324">
        <v>0</v>
      </c>
      <c r="AY125" s="324">
        <v>0</v>
      </c>
      <c r="AZ125" s="324">
        <v>0</v>
      </c>
      <c r="BA125" s="329">
        <v>7.9909999999999998E-3</v>
      </c>
      <c r="BB125" s="329">
        <v>9.5960000000000004E-3</v>
      </c>
      <c r="BC125" s="329">
        <v>4.1182999999999997E-2</v>
      </c>
      <c r="BD125" s="329">
        <v>2.0494999999999999E-2</v>
      </c>
      <c r="BE125" s="329">
        <v>2.2345E-2</v>
      </c>
      <c r="BF125" s="329">
        <v>2.9418E-2</v>
      </c>
      <c r="BG125" s="329">
        <v>1.8051999999999999E-2</v>
      </c>
      <c r="BH125" s="329">
        <v>8.711E-3</v>
      </c>
      <c r="BI125" s="329">
        <v>2.2837E-2</v>
      </c>
      <c r="BJ125" s="329">
        <v>2.886E-2</v>
      </c>
      <c r="BK125" s="329">
        <v>1.4272E-2</v>
      </c>
      <c r="BL125" s="329">
        <v>1.8086000000000001E-2</v>
      </c>
      <c r="BM125" s="329">
        <v>1.2692999999999999E-2</v>
      </c>
    </row>
    <row r="126" spans="3:65">
      <c r="C126" s="408" t="s">
        <v>404</v>
      </c>
      <c r="D126" s="329">
        <v>0.135827</v>
      </c>
      <c r="E126" s="329">
        <v>9.2219999999999996E-2</v>
      </c>
      <c r="F126" s="329">
        <v>0.15232699999999999</v>
      </c>
      <c r="G126" s="329">
        <v>0.133496</v>
      </c>
      <c r="H126" s="329">
        <v>0.15473899999999999</v>
      </c>
      <c r="I126" s="329">
        <v>0.226303</v>
      </c>
      <c r="J126" s="329">
        <v>0.192526</v>
      </c>
      <c r="K126" s="329">
        <v>0.16345299999999999</v>
      </c>
      <c r="L126" s="329">
        <v>9.3738000000000002E-2</v>
      </c>
      <c r="M126" s="329">
        <v>0.201824</v>
      </c>
      <c r="N126" s="329">
        <v>0.14177799999999999</v>
      </c>
      <c r="O126" s="329">
        <v>0.15426599999999999</v>
      </c>
      <c r="P126" s="329">
        <v>0.16000500000000001</v>
      </c>
      <c r="Q126" s="329">
        <v>0.20124</v>
      </c>
      <c r="R126" s="329">
        <v>0.13215499999999999</v>
      </c>
      <c r="S126" s="329">
        <v>0.15221199999999999</v>
      </c>
      <c r="T126" s="329">
        <v>0.17904700000000001</v>
      </c>
      <c r="U126" s="329">
        <v>0.14380399999999999</v>
      </c>
      <c r="V126" s="329">
        <v>0.20100100000000001</v>
      </c>
      <c r="W126" s="329">
        <v>0.127327</v>
      </c>
      <c r="X126" s="329">
        <v>0.17838100000000001</v>
      </c>
      <c r="Y126" s="329">
        <v>0.20768200000000001</v>
      </c>
      <c r="Z126" s="329">
        <v>0.201459</v>
      </c>
      <c r="AA126" s="329">
        <v>0.23899999999999999</v>
      </c>
      <c r="AB126" s="329">
        <v>0.17773600000000001</v>
      </c>
      <c r="AC126" s="329">
        <v>0.18861600000000001</v>
      </c>
      <c r="AD126" s="329">
        <v>0.11926</v>
      </c>
      <c r="AE126" s="52">
        <f>'User Add-in Location'!B132</f>
        <v>0</v>
      </c>
      <c r="AF126" s="52">
        <f>'User Add-in Location'!C132</f>
        <v>0</v>
      </c>
      <c r="AG126" s="329">
        <v>0.17009099999999999</v>
      </c>
      <c r="AH126" s="329">
        <v>0.15859999999999999</v>
      </c>
      <c r="AI126" s="329">
        <v>0.18756600000000001</v>
      </c>
      <c r="AJ126" s="329">
        <v>0.22475899999999999</v>
      </c>
      <c r="AK126" s="329">
        <v>0.17474400000000001</v>
      </c>
      <c r="AL126" s="329">
        <v>0.21317</v>
      </c>
      <c r="AM126" s="329">
        <v>0.130163</v>
      </c>
      <c r="AN126" s="329">
        <v>0.147289</v>
      </c>
      <c r="AO126" s="329">
        <v>0.184062</v>
      </c>
      <c r="AP126" s="329">
        <v>0.139991</v>
      </c>
      <c r="AQ126" s="329">
        <v>0.15008199999999999</v>
      </c>
      <c r="AR126" s="329">
        <v>0.18149499999999999</v>
      </c>
      <c r="AS126" s="324">
        <v>0</v>
      </c>
      <c r="AT126" s="324">
        <v>0</v>
      </c>
      <c r="AU126" s="324">
        <v>0</v>
      </c>
      <c r="AV126" s="324">
        <v>0</v>
      </c>
      <c r="AW126" s="324">
        <v>0</v>
      </c>
      <c r="AX126" s="324">
        <v>0</v>
      </c>
      <c r="AY126" s="324">
        <v>0</v>
      </c>
      <c r="AZ126" s="324">
        <v>0</v>
      </c>
      <c r="BA126" s="329">
        <v>0.10178</v>
      </c>
      <c r="BB126" s="329">
        <v>8.0407999999999993E-2</v>
      </c>
      <c r="BC126" s="329">
        <v>0.202761</v>
      </c>
      <c r="BD126" s="329">
        <v>0.16555400000000001</v>
      </c>
      <c r="BE126" s="329">
        <v>0.17183399999999999</v>
      </c>
      <c r="BF126" s="329">
        <v>0.24277000000000001</v>
      </c>
      <c r="BG126" s="329">
        <v>0.20930799999999999</v>
      </c>
      <c r="BH126" s="329">
        <v>0.196406</v>
      </c>
      <c r="BI126" s="329">
        <v>0.19583600000000001</v>
      </c>
      <c r="BJ126" s="329">
        <v>0.17568500000000001</v>
      </c>
      <c r="BK126" s="329">
        <v>0.126864</v>
      </c>
      <c r="BL126" s="329">
        <v>0.15277199999999999</v>
      </c>
      <c r="BM126" s="329">
        <v>0</v>
      </c>
    </row>
    <row r="127" spans="3:65">
      <c r="C127" s="351"/>
      <c r="D127" s="329"/>
      <c r="E127" s="329"/>
      <c r="F127" s="329"/>
      <c r="G127" s="329"/>
      <c r="H127" s="329"/>
      <c r="I127" s="329"/>
      <c r="J127" s="329"/>
      <c r="K127" s="329"/>
      <c r="L127" s="329"/>
      <c r="M127" s="329"/>
      <c r="N127" s="329"/>
      <c r="O127" s="329"/>
      <c r="P127" s="329"/>
      <c r="Q127" s="329"/>
      <c r="R127" s="329"/>
      <c r="S127" s="329"/>
      <c r="T127" s="329"/>
      <c r="U127" s="329"/>
      <c r="V127" s="329"/>
      <c r="W127" s="329"/>
      <c r="X127" s="329"/>
      <c r="Y127" s="329"/>
      <c r="Z127" s="329"/>
      <c r="AA127" s="329"/>
      <c r="AB127" s="329"/>
      <c r="AC127" s="329"/>
      <c r="AD127" s="329"/>
      <c r="AG127" s="329"/>
      <c r="AH127" s="329"/>
      <c r="AI127" s="329"/>
      <c r="AJ127" s="329"/>
      <c r="AK127" s="329"/>
      <c r="AL127" s="329"/>
      <c r="AM127" s="329"/>
      <c r="AN127" s="329"/>
      <c r="AO127" s="329"/>
      <c r="AP127" s="329"/>
      <c r="AQ127" s="329"/>
      <c r="AR127" s="329"/>
      <c r="AS127" s="324"/>
      <c r="AT127" s="324"/>
      <c r="AU127" s="324"/>
      <c r="AV127" s="324"/>
      <c r="AW127" s="324"/>
      <c r="AX127" s="324"/>
      <c r="AY127" s="324"/>
      <c r="AZ127" s="324"/>
      <c r="BA127" s="329"/>
      <c r="BB127" s="329"/>
      <c r="BC127" s="329"/>
      <c r="BD127" s="329"/>
      <c r="BE127" s="329"/>
      <c r="BF127" s="329"/>
      <c r="BG127" s="329"/>
      <c r="BH127" s="329"/>
      <c r="BI127" s="329"/>
      <c r="BJ127" s="329"/>
      <c r="BK127" s="329"/>
      <c r="BL127" s="329"/>
      <c r="BM127" s="329"/>
    </row>
    <row r="128" spans="3:65" ht="14.25" customHeight="1">
      <c r="C128" s="319" t="s">
        <v>407</v>
      </c>
      <c r="AS128" s="324"/>
      <c r="AT128" s="324"/>
      <c r="AU128" s="324"/>
      <c r="AV128" s="324"/>
      <c r="AW128" s="324"/>
      <c r="AX128" s="324"/>
      <c r="AY128" s="324"/>
      <c r="AZ128" s="324"/>
    </row>
    <row r="129" spans="3:65">
      <c r="C129" s="352" t="s">
        <v>410</v>
      </c>
      <c r="D129" s="52" t="s">
        <v>219</v>
      </c>
      <c r="E129" s="52" t="s">
        <v>222</v>
      </c>
      <c r="F129" s="52" t="s">
        <v>231</v>
      </c>
      <c r="G129" s="52" t="s">
        <v>221</v>
      </c>
      <c r="H129" s="52" t="s">
        <v>223</v>
      </c>
      <c r="I129" s="52" t="s">
        <v>240</v>
      </c>
      <c r="J129" s="52" t="s">
        <v>216</v>
      </c>
      <c r="K129" s="52" t="s">
        <v>217</v>
      </c>
      <c r="L129" s="52" t="s">
        <v>218</v>
      </c>
      <c r="M129" s="52" t="s">
        <v>228</v>
      </c>
      <c r="N129" s="52" t="s">
        <v>237</v>
      </c>
      <c r="O129" s="52" t="s">
        <v>232</v>
      </c>
      <c r="P129" s="52" t="s">
        <v>248</v>
      </c>
      <c r="Q129" s="52" t="s">
        <v>220</v>
      </c>
      <c r="R129" s="52" t="s">
        <v>229</v>
      </c>
      <c r="S129" s="52" t="s">
        <v>238</v>
      </c>
      <c r="T129" s="52" t="s">
        <v>254</v>
      </c>
      <c r="U129" s="52" t="s">
        <v>245</v>
      </c>
      <c r="V129" s="52" t="s">
        <v>230</v>
      </c>
      <c r="W129" s="52" t="s">
        <v>225</v>
      </c>
      <c r="X129" s="52" t="s">
        <v>227</v>
      </c>
      <c r="Y129" s="52" t="s">
        <v>234</v>
      </c>
      <c r="Z129" s="52" t="s">
        <v>246</v>
      </c>
      <c r="AA129" s="52" t="s">
        <v>252</v>
      </c>
      <c r="AB129" s="52" t="s">
        <v>251</v>
      </c>
      <c r="AC129" s="52" t="s">
        <v>239</v>
      </c>
      <c r="AD129" s="52" t="s">
        <v>260</v>
      </c>
      <c r="AE129" s="52" t="s">
        <v>381</v>
      </c>
      <c r="AF129" s="52" t="s">
        <v>382</v>
      </c>
      <c r="AG129" s="52" t="s">
        <v>264</v>
      </c>
      <c r="AH129" s="52" t="s">
        <v>266</v>
      </c>
      <c r="AI129" s="52" t="s">
        <v>242</v>
      </c>
      <c r="AJ129" s="52" t="s">
        <v>489</v>
      </c>
      <c r="AK129" s="52" t="s">
        <v>247</v>
      </c>
      <c r="AL129" s="52" t="s">
        <v>250</v>
      </c>
      <c r="AM129" s="52" t="s">
        <v>236</v>
      </c>
      <c r="AN129" s="52" t="s">
        <v>268</v>
      </c>
      <c r="AO129" s="52" t="s">
        <v>258</v>
      </c>
      <c r="AP129" s="52" t="s">
        <v>253</v>
      </c>
      <c r="AQ129" s="52" t="s">
        <v>270</v>
      </c>
      <c r="AR129" s="52" t="s">
        <v>235</v>
      </c>
      <c r="AS129" s="407" t="s">
        <v>207</v>
      </c>
      <c r="AT129" s="407" t="s">
        <v>208</v>
      </c>
      <c r="AU129" s="407" t="s">
        <v>209</v>
      </c>
      <c r="AV129" s="407" t="s">
        <v>210</v>
      </c>
      <c r="AW129" s="407" t="s">
        <v>211</v>
      </c>
      <c r="AX129" s="407" t="s">
        <v>212</v>
      </c>
      <c r="AY129" s="407" t="s">
        <v>213</v>
      </c>
      <c r="AZ129" s="407" t="s">
        <v>214</v>
      </c>
      <c r="BA129" s="52" t="s">
        <v>256</v>
      </c>
      <c r="BB129" s="52" t="s">
        <v>490</v>
      </c>
      <c r="BC129" s="52" t="s">
        <v>272</v>
      </c>
      <c r="BD129" s="52" t="s">
        <v>491</v>
      </c>
      <c r="BE129" s="52" t="s">
        <v>492</v>
      </c>
      <c r="BF129" s="321" t="s">
        <v>604</v>
      </c>
      <c r="BG129" s="52" t="s">
        <v>274</v>
      </c>
      <c r="BH129" s="52" t="s">
        <v>262</v>
      </c>
      <c r="BI129" s="52" t="s">
        <v>244</v>
      </c>
      <c r="BJ129" s="52" t="s">
        <v>275</v>
      </c>
      <c r="BK129" s="52" t="s">
        <v>243</v>
      </c>
      <c r="BL129" s="52" t="s">
        <v>263</v>
      </c>
      <c r="BM129" s="52" t="s">
        <v>493</v>
      </c>
    </row>
    <row r="130" spans="3:65">
      <c r="C130" s="408" t="s">
        <v>383</v>
      </c>
      <c r="D130" s="329">
        <v>8.5239999999999996E-2</v>
      </c>
      <c r="E130" s="329">
        <v>7.3562000000000002E-2</v>
      </c>
      <c r="F130" s="329">
        <v>9.5988000000000004E-2</v>
      </c>
      <c r="G130" s="329">
        <v>8.8036000000000003E-2</v>
      </c>
      <c r="H130" s="329">
        <v>0.121639</v>
      </c>
      <c r="I130" s="329">
        <v>8.2227999999999996E-2</v>
      </c>
      <c r="J130" s="329">
        <v>0.11674900000000001</v>
      </c>
      <c r="K130" s="329">
        <v>0.120772</v>
      </c>
      <c r="L130" s="329">
        <v>0.13714999999999999</v>
      </c>
      <c r="M130" s="329">
        <v>0.121517</v>
      </c>
      <c r="N130" s="329">
        <v>0.10176200000000001</v>
      </c>
      <c r="O130" s="329">
        <v>0.10896599999999999</v>
      </c>
      <c r="P130" s="329">
        <v>8.3185999999999996E-2</v>
      </c>
      <c r="Q130" s="329">
        <v>0.12358</v>
      </c>
      <c r="R130" s="329">
        <v>0.10634299999999999</v>
      </c>
      <c r="S130" s="329">
        <v>8.3202999999999999E-2</v>
      </c>
      <c r="T130" s="329">
        <v>6.7752000000000007E-2</v>
      </c>
      <c r="U130" s="329">
        <v>0.10372000000000001</v>
      </c>
      <c r="V130" s="329">
        <v>9.6158999999999994E-2</v>
      </c>
      <c r="W130" s="329">
        <v>0.15520999999999999</v>
      </c>
      <c r="X130" s="329">
        <v>8.0390000000000003E-2</v>
      </c>
      <c r="Y130" s="329">
        <v>0.18252699999999999</v>
      </c>
      <c r="Z130" s="329">
        <v>9.5120999999999997E-2</v>
      </c>
      <c r="AA130" s="329">
        <v>0.117697</v>
      </c>
      <c r="AB130" s="329">
        <v>9.6778000000000003E-2</v>
      </c>
      <c r="AC130" s="329">
        <v>7.6773999999999995E-2</v>
      </c>
      <c r="AD130" s="329">
        <v>7.3010000000000005E-2</v>
      </c>
      <c r="AE130" s="52">
        <f>'User Add-in Location'!B136</f>
        <v>0</v>
      </c>
      <c r="AF130" s="52">
        <f>'User Add-in Location'!C136</f>
        <v>0</v>
      </c>
      <c r="AG130" s="329">
        <v>8.0978999999999995E-2</v>
      </c>
      <c r="AH130" s="329">
        <v>4.9780999999999999E-2</v>
      </c>
      <c r="AI130" s="329">
        <v>0.17070399999999999</v>
      </c>
      <c r="AJ130" s="329">
        <v>0.13226599999999999</v>
      </c>
      <c r="AK130" s="329">
        <v>8.9077000000000003E-2</v>
      </c>
      <c r="AL130" s="329">
        <v>8.1951999999999997E-2</v>
      </c>
      <c r="AM130" s="329">
        <v>8.9744000000000004E-2</v>
      </c>
      <c r="AN130" s="329">
        <v>7.3847999999999997E-2</v>
      </c>
      <c r="AO130" s="329">
        <v>8.7882000000000002E-2</v>
      </c>
      <c r="AP130" s="329">
        <v>7.0371000000000003E-2</v>
      </c>
      <c r="AQ130" s="329">
        <v>0.12971099999999999</v>
      </c>
      <c r="AR130" s="329">
        <v>0.122984</v>
      </c>
      <c r="AS130" s="324">
        <v>0</v>
      </c>
      <c r="AT130" s="324">
        <v>0</v>
      </c>
      <c r="AU130" s="324">
        <v>0</v>
      </c>
      <c r="AV130" s="324">
        <v>0</v>
      </c>
      <c r="AW130" s="324">
        <v>0</v>
      </c>
      <c r="AX130" s="324">
        <v>0</v>
      </c>
      <c r="AY130" s="324">
        <v>0</v>
      </c>
      <c r="AZ130" s="324">
        <v>0</v>
      </c>
      <c r="BA130" s="329">
        <v>0.147953</v>
      </c>
      <c r="BB130" s="329">
        <v>4.8164999999999999E-2</v>
      </c>
      <c r="BC130" s="329">
        <v>9.7572000000000006E-2</v>
      </c>
      <c r="BD130" s="329">
        <v>3.5879000000000001E-2</v>
      </c>
      <c r="BE130" s="329">
        <v>8.9607999999999993E-2</v>
      </c>
      <c r="BF130" s="329">
        <v>0.20962600000000001</v>
      </c>
      <c r="BG130" s="329">
        <v>6.9762000000000005E-2</v>
      </c>
      <c r="BH130" s="329">
        <v>0.111787</v>
      </c>
      <c r="BI130" s="329">
        <v>7.2632000000000002E-2</v>
      </c>
      <c r="BJ130" s="329">
        <v>0.12983700000000001</v>
      </c>
      <c r="BK130" s="329">
        <v>4.1637E-2</v>
      </c>
      <c r="BL130" s="329">
        <v>7.2174000000000002E-2</v>
      </c>
      <c r="BM130" s="329">
        <v>2.7258000000000001E-2</v>
      </c>
    </row>
    <row r="131" spans="3:65">
      <c r="C131" s="408" t="s">
        <v>384</v>
      </c>
      <c r="D131" s="329">
        <v>5.7882000000000003E-2</v>
      </c>
      <c r="E131" s="329">
        <v>6.6441E-2</v>
      </c>
      <c r="F131" s="329">
        <v>7.5746999999999995E-2</v>
      </c>
      <c r="G131" s="329">
        <v>6.8472000000000005E-2</v>
      </c>
      <c r="H131" s="329">
        <v>8.0768000000000006E-2</v>
      </c>
      <c r="I131" s="329">
        <v>0.18107500000000001</v>
      </c>
      <c r="J131" s="329">
        <v>9.2763999999999999E-2</v>
      </c>
      <c r="K131" s="329">
        <v>6.5165000000000001E-2</v>
      </c>
      <c r="L131" s="329">
        <v>9.4979999999999995E-2</v>
      </c>
      <c r="M131" s="329">
        <v>8.1892000000000006E-2</v>
      </c>
      <c r="N131" s="329">
        <v>8.8482000000000005E-2</v>
      </c>
      <c r="O131" s="329">
        <v>5.9098999999999999E-2</v>
      </c>
      <c r="P131" s="329">
        <v>9.9640000000000006E-2</v>
      </c>
      <c r="Q131" s="329">
        <v>0.12569900000000001</v>
      </c>
      <c r="R131" s="329">
        <v>9.2580999999999997E-2</v>
      </c>
      <c r="S131" s="329">
        <v>7.7470999999999998E-2</v>
      </c>
      <c r="T131" s="329">
        <v>8.9668999999999999E-2</v>
      </c>
      <c r="U131" s="329">
        <v>7.0213999999999999E-2</v>
      </c>
      <c r="V131" s="329">
        <v>0.104597</v>
      </c>
      <c r="W131" s="329">
        <v>7.7152999999999999E-2</v>
      </c>
      <c r="X131" s="329">
        <v>7.1811E-2</v>
      </c>
      <c r="Y131" s="329">
        <v>0.11243300000000001</v>
      </c>
      <c r="Z131" s="329">
        <v>9.3118000000000006E-2</v>
      </c>
      <c r="AA131" s="329">
        <v>0.12112199999999999</v>
      </c>
      <c r="AB131" s="329">
        <v>6.9280999999999995E-2</v>
      </c>
      <c r="AC131" s="329">
        <v>0.101519</v>
      </c>
      <c r="AD131" s="329">
        <v>9.6258999999999997E-2</v>
      </c>
      <c r="AE131" s="52">
        <f>'User Add-in Location'!B137</f>
        <v>0</v>
      </c>
      <c r="AF131" s="52">
        <f>'User Add-in Location'!C137</f>
        <v>0</v>
      </c>
      <c r="AG131" s="329">
        <v>9.9667000000000006E-2</v>
      </c>
      <c r="AH131" s="329">
        <v>7.4469999999999995E-2</v>
      </c>
      <c r="AI131" s="329">
        <v>0.12354900000000001</v>
      </c>
      <c r="AJ131" s="329">
        <v>0.24086299999999999</v>
      </c>
      <c r="AK131" s="329">
        <v>6.2214999999999999E-2</v>
      </c>
      <c r="AL131" s="329">
        <v>0.24165900000000001</v>
      </c>
      <c r="AM131" s="329">
        <v>6.8729999999999999E-2</v>
      </c>
      <c r="AN131" s="329">
        <v>8.5351999999999997E-2</v>
      </c>
      <c r="AO131" s="329">
        <v>5.7478000000000001E-2</v>
      </c>
      <c r="AP131" s="329">
        <v>8.2567000000000002E-2</v>
      </c>
      <c r="AQ131" s="329">
        <v>9.1774999999999995E-2</v>
      </c>
      <c r="AR131" s="329">
        <v>0.100285</v>
      </c>
      <c r="AS131" s="324">
        <v>0</v>
      </c>
      <c r="AT131" s="324">
        <v>0</v>
      </c>
      <c r="AU131" s="324">
        <v>0</v>
      </c>
      <c r="AV131" s="324">
        <v>0</v>
      </c>
      <c r="AW131" s="324">
        <v>0</v>
      </c>
      <c r="AX131" s="324">
        <v>0</v>
      </c>
      <c r="AY131" s="324">
        <v>0</v>
      </c>
      <c r="AZ131" s="324">
        <v>0</v>
      </c>
      <c r="BA131" s="329">
        <v>6.9027000000000005E-2</v>
      </c>
      <c r="BB131" s="329">
        <v>4.5807E-2</v>
      </c>
      <c r="BC131" s="329">
        <v>0.105146</v>
      </c>
      <c r="BD131" s="329">
        <v>7.1441000000000004E-2</v>
      </c>
      <c r="BE131" s="329">
        <v>0.12990299999999999</v>
      </c>
      <c r="BF131" s="329">
        <v>0.22085399999999999</v>
      </c>
      <c r="BG131" s="329">
        <v>7.5544E-2</v>
      </c>
      <c r="BH131" s="329">
        <v>7.8065999999999997E-2</v>
      </c>
      <c r="BI131" s="329">
        <v>8.4037000000000001E-2</v>
      </c>
      <c r="BJ131" s="329">
        <v>9.9142999999999995E-2</v>
      </c>
      <c r="BK131" s="329">
        <v>5.0471000000000002E-2</v>
      </c>
      <c r="BL131" s="329">
        <v>6.0665999999999998E-2</v>
      </c>
      <c r="BM131" s="329">
        <v>3.2226999999999999E-2</v>
      </c>
    </row>
    <row r="132" spans="3:65">
      <c r="C132" s="408" t="s">
        <v>385</v>
      </c>
      <c r="D132" s="329">
        <v>0.105208</v>
      </c>
      <c r="E132" s="329">
        <v>0.13408600000000001</v>
      </c>
      <c r="F132" s="329">
        <v>0.112591</v>
      </c>
      <c r="G132" s="329">
        <v>0.107872</v>
      </c>
      <c r="H132" s="329">
        <v>0.13216</v>
      </c>
      <c r="I132" s="329">
        <v>0.13831299999999999</v>
      </c>
      <c r="J132" s="329">
        <v>0.16544700000000001</v>
      </c>
      <c r="K132" s="329">
        <v>0.108074</v>
      </c>
      <c r="L132" s="329">
        <v>5.3489000000000002E-2</v>
      </c>
      <c r="M132" s="329">
        <v>0.12993199999999999</v>
      </c>
      <c r="N132" s="329">
        <v>0.118784</v>
      </c>
      <c r="O132" s="329">
        <v>0.119338</v>
      </c>
      <c r="P132" s="329">
        <v>0.11011899999999999</v>
      </c>
      <c r="Q132" s="329">
        <v>0.17654400000000001</v>
      </c>
      <c r="R132" s="329">
        <v>0.147448</v>
      </c>
      <c r="S132" s="329">
        <v>0.1371</v>
      </c>
      <c r="T132" s="329">
        <v>0.118087</v>
      </c>
      <c r="U132" s="329">
        <v>0.120684</v>
      </c>
      <c r="V132" s="329">
        <v>0.13490199999999999</v>
      </c>
      <c r="W132" s="329">
        <v>0.15248999999999999</v>
      </c>
      <c r="X132" s="329">
        <v>0.13274</v>
      </c>
      <c r="Y132" s="329">
        <v>0.180005</v>
      </c>
      <c r="Z132" s="329">
        <v>0.15922700000000001</v>
      </c>
      <c r="AA132" s="329">
        <v>0.20676600000000001</v>
      </c>
      <c r="AB132" s="329">
        <v>0.100892</v>
      </c>
      <c r="AC132" s="329">
        <v>0.18425800000000001</v>
      </c>
      <c r="AD132" s="329">
        <v>0.123281</v>
      </c>
      <c r="AE132" s="52">
        <f>'User Add-in Location'!B138</f>
        <v>0</v>
      </c>
      <c r="AF132" s="52">
        <f>'User Add-in Location'!C138</f>
        <v>0</v>
      </c>
      <c r="AG132" s="329">
        <v>0.153887</v>
      </c>
      <c r="AH132" s="329">
        <v>0.10621999999999999</v>
      </c>
      <c r="AI132" s="329">
        <v>0.22401099999999999</v>
      </c>
      <c r="AJ132" s="329">
        <v>0.171904</v>
      </c>
      <c r="AK132" s="329">
        <v>0.113582</v>
      </c>
      <c r="AL132" s="329">
        <v>0.12959100000000001</v>
      </c>
      <c r="AM132" s="329">
        <v>0.11816</v>
      </c>
      <c r="AN132" s="329">
        <v>0.12589500000000001</v>
      </c>
      <c r="AO132" s="329">
        <v>0.141121</v>
      </c>
      <c r="AP132" s="329">
        <v>0.130465</v>
      </c>
      <c r="AQ132" s="329">
        <v>0.15439700000000001</v>
      </c>
      <c r="AR132" s="329">
        <v>0.187138</v>
      </c>
      <c r="AS132" s="324">
        <v>0</v>
      </c>
      <c r="AT132" s="324">
        <v>0</v>
      </c>
      <c r="AU132" s="324">
        <v>0</v>
      </c>
      <c r="AV132" s="324">
        <v>0</v>
      </c>
      <c r="AW132" s="324">
        <v>0</v>
      </c>
      <c r="AX132" s="324">
        <v>0</v>
      </c>
      <c r="AY132" s="324">
        <v>0</v>
      </c>
      <c r="AZ132" s="324">
        <v>0</v>
      </c>
      <c r="BA132" s="329">
        <v>0.109323</v>
      </c>
      <c r="BB132" s="329">
        <v>8.3134E-2</v>
      </c>
      <c r="BC132" s="329">
        <v>0.14330300000000001</v>
      </c>
      <c r="BD132" s="329">
        <v>0.13864899999999999</v>
      </c>
      <c r="BE132" s="329">
        <v>0.16362699999999999</v>
      </c>
      <c r="BF132" s="329">
        <v>0.27399499999999999</v>
      </c>
      <c r="BG132" s="329">
        <v>0.124446</v>
      </c>
      <c r="BH132" s="329">
        <v>0.18010000000000001</v>
      </c>
      <c r="BI132" s="329">
        <v>0.13204199999999999</v>
      </c>
      <c r="BJ132" s="329">
        <v>0.125972</v>
      </c>
      <c r="BK132" s="329">
        <v>9.0161000000000005E-2</v>
      </c>
      <c r="BL132" s="329">
        <v>0.14916299999999999</v>
      </c>
      <c r="BM132" s="329">
        <v>4.8119000000000002E-2</v>
      </c>
    </row>
    <row r="133" spans="3:65">
      <c r="C133" s="408" t="s">
        <v>386</v>
      </c>
      <c r="D133" s="329">
        <v>8.2652000000000003E-2</v>
      </c>
      <c r="E133" s="329">
        <v>0.109184</v>
      </c>
      <c r="F133" s="329">
        <v>8.3471000000000004E-2</v>
      </c>
      <c r="G133" s="329">
        <v>8.4843000000000002E-2</v>
      </c>
      <c r="H133" s="329">
        <v>0.10489800000000001</v>
      </c>
      <c r="I133" s="329">
        <v>0.11008800000000001</v>
      </c>
      <c r="J133" s="329">
        <v>0.14349899999999999</v>
      </c>
      <c r="K133" s="329">
        <v>8.2125000000000004E-2</v>
      </c>
      <c r="L133" s="329">
        <v>3.9371999999999997E-2</v>
      </c>
      <c r="M133" s="329">
        <v>9.8153000000000004E-2</v>
      </c>
      <c r="N133" s="329">
        <v>9.1371999999999995E-2</v>
      </c>
      <c r="O133" s="329">
        <v>8.8624999999999995E-2</v>
      </c>
      <c r="P133" s="329">
        <v>8.4570000000000006E-2</v>
      </c>
      <c r="Q133" s="329">
        <v>0.14136499999999999</v>
      </c>
      <c r="R133" s="329">
        <v>0.118171</v>
      </c>
      <c r="S133" s="329">
        <v>0.111239</v>
      </c>
      <c r="T133" s="329">
        <v>9.5356999999999997E-2</v>
      </c>
      <c r="U133" s="329">
        <v>9.3301999999999996E-2</v>
      </c>
      <c r="V133" s="329">
        <v>0.108596</v>
      </c>
      <c r="W133" s="329">
        <v>0.124071</v>
      </c>
      <c r="X133" s="329">
        <v>0.103078</v>
      </c>
      <c r="Y133" s="329">
        <v>0.15006700000000001</v>
      </c>
      <c r="Z133" s="329">
        <v>0.123558</v>
      </c>
      <c r="AA133" s="329">
        <v>0.17088800000000001</v>
      </c>
      <c r="AB133" s="329">
        <v>8.0091999999999997E-2</v>
      </c>
      <c r="AC133" s="329">
        <v>0.151833</v>
      </c>
      <c r="AD133" s="329">
        <v>9.7382999999999997E-2</v>
      </c>
      <c r="AE133" s="52">
        <f>'User Add-in Location'!B139</f>
        <v>0</v>
      </c>
      <c r="AF133" s="52">
        <f>'User Add-in Location'!C139</f>
        <v>0</v>
      </c>
      <c r="AG133" s="329">
        <v>0.13164799999999999</v>
      </c>
      <c r="AH133" s="329">
        <v>8.0541000000000001E-2</v>
      </c>
      <c r="AI133" s="329">
        <v>0.20951900000000001</v>
      </c>
      <c r="AJ133" s="329">
        <v>0.138823</v>
      </c>
      <c r="AK133" s="329">
        <v>8.7577000000000002E-2</v>
      </c>
      <c r="AL133" s="329">
        <v>0.101746</v>
      </c>
      <c r="AM133" s="329">
        <v>9.4699000000000005E-2</v>
      </c>
      <c r="AN133" s="329">
        <v>9.7810999999999995E-2</v>
      </c>
      <c r="AO133" s="329">
        <v>0.10924499999999999</v>
      </c>
      <c r="AP133" s="329">
        <v>0.107431</v>
      </c>
      <c r="AQ133" s="329">
        <v>0.12352299999999999</v>
      </c>
      <c r="AR133" s="329">
        <v>0.151919</v>
      </c>
      <c r="AS133" s="324">
        <v>0</v>
      </c>
      <c r="AT133" s="324">
        <v>0</v>
      </c>
      <c r="AU133" s="324">
        <v>0</v>
      </c>
      <c r="AV133" s="324">
        <v>0</v>
      </c>
      <c r="AW133" s="324">
        <v>0</v>
      </c>
      <c r="AX133" s="324">
        <v>0</v>
      </c>
      <c r="AY133" s="324">
        <v>0</v>
      </c>
      <c r="AZ133" s="324">
        <v>0</v>
      </c>
      <c r="BA133" s="329">
        <v>8.2573999999999995E-2</v>
      </c>
      <c r="BB133" s="329">
        <v>6.1115000000000003E-2</v>
      </c>
      <c r="BC133" s="329">
        <v>0.117447</v>
      </c>
      <c r="BD133" s="329">
        <v>0.112993</v>
      </c>
      <c r="BE133" s="329">
        <v>0.13487299999999999</v>
      </c>
      <c r="BF133" s="329">
        <v>0.23039100000000001</v>
      </c>
      <c r="BG133" s="329">
        <v>9.6801999999999999E-2</v>
      </c>
      <c r="BH133" s="329">
        <v>0.154143</v>
      </c>
      <c r="BI133" s="329">
        <v>0.102643</v>
      </c>
      <c r="BJ133" s="329">
        <v>9.4771999999999995E-2</v>
      </c>
      <c r="BK133" s="329">
        <v>6.6267000000000006E-2</v>
      </c>
      <c r="BL133" s="329">
        <v>0.114644</v>
      </c>
      <c r="BM133" s="329">
        <v>3.5614E-2</v>
      </c>
    </row>
    <row r="134" spans="3:65">
      <c r="C134" s="408" t="s">
        <v>387</v>
      </c>
      <c r="D134" s="329">
        <v>8.5309999999999997E-2</v>
      </c>
      <c r="E134" s="329">
        <v>0.110279</v>
      </c>
      <c r="F134" s="329">
        <v>8.8594000000000006E-2</v>
      </c>
      <c r="G134" s="329">
        <v>8.8003999999999999E-2</v>
      </c>
      <c r="H134" s="329">
        <v>0.10989699999999999</v>
      </c>
      <c r="I134" s="329">
        <v>0.11466899999999999</v>
      </c>
      <c r="J134" s="329">
        <v>0.14355200000000001</v>
      </c>
      <c r="K134" s="329">
        <v>8.7748000000000007E-2</v>
      </c>
      <c r="L134" s="329">
        <v>4.2118000000000003E-2</v>
      </c>
      <c r="M134" s="329">
        <v>0.105382</v>
      </c>
      <c r="N134" s="329">
        <v>9.7434999999999994E-2</v>
      </c>
      <c r="O134" s="329">
        <v>9.3634999999999996E-2</v>
      </c>
      <c r="P134" s="329">
        <v>9.0669E-2</v>
      </c>
      <c r="Q134" s="329">
        <v>0.14632500000000001</v>
      </c>
      <c r="R134" s="329">
        <v>0.12236900000000001</v>
      </c>
      <c r="S134" s="329">
        <v>0.114764</v>
      </c>
      <c r="T134" s="329">
        <v>9.7406999999999994E-2</v>
      </c>
      <c r="U134" s="329">
        <v>9.8336999999999994E-2</v>
      </c>
      <c r="V134" s="329">
        <v>0.11147799999999999</v>
      </c>
      <c r="W134" s="329">
        <v>0.124749</v>
      </c>
      <c r="X134" s="329">
        <v>0.10812099999999999</v>
      </c>
      <c r="Y134" s="329">
        <v>0.15417700000000001</v>
      </c>
      <c r="Z134" s="329">
        <v>0.130027</v>
      </c>
      <c r="AA134" s="329">
        <v>0.17574999999999999</v>
      </c>
      <c r="AB134" s="329">
        <v>8.2822999999999994E-2</v>
      </c>
      <c r="AC134" s="329">
        <v>0.15467500000000001</v>
      </c>
      <c r="AD134" s="329">
        <v>0.102187</v>
      </c>
      <c r="AE134" s="52">
        <f>'User Add-in Location'!B140</f>
        <v>0</v>
      </c>
      <c r="AF134" s="52">
        <f>'User Add-in Location'!C140</f>
        <v>0</v>
      </c>
      <c r="AG134" s="329">
        <v>0.131573</v>
      </c>
      <c r="AH134" s="329">
        <v>8.4505999999999998E-2</v>
      </c>
      <c r="AI134" s="329">
        <v>0.19927800000000001</v>
      </c>
      <c r="AJ134" s="329">
        <v>0.14480699999999999</v>
      </c>
      <c r="AK134" s="329">
        <v>9.1768000000000002E-2</v>
      </c>
      <c r="AL134" s="329">
        <v>0.106908</v>
      </c>
      <c r="AM134" s="329">
        <v>9.8546999999999996E-2</v>
      </c>
      <c r="AN134" s="329">
        <v>0.102413</v>
      </c>
      <c r="AO134" s="329">
        <v>0.113313</v>
      </c>
      <c r="AP134" s="329">
        <v>0.109595</v>
      </c>
      <c r="AQ134" s="329">
        <v>0.12975300000000001</v>
      </c>
      <c r="AR134" s="329">
        <v>0.15807099999999999</v>
      </c>
      <c r="AS134" s="324">
        <v>0</v>
      </c>
      <c r="AT134" s="324">
        <v>0</v>
      </c>
      <c r="AU134" s="324">
        <v>0</v>
      </c>
      <c r="AV134" s="324">
        <v>0</v>
      </c>
      <c r="AW134" s="324">
        <v>0</v>
      </c>
      <c r="AX134" s="324">
        <v>0</v>
      </c>
      <c r="AY134" s="324">
        <v>0</v>
      </c>
      <c r="AZ134" s="324">
        <v>0</v>
      </c>
      <c r="BA134" s="329">
        <v>8.6468000000000003E-2</v>
      </c>
      <c r="BB134" s="329">
        <v>6.6019999999999995E-2</v>
      </c>
      <c r="BC134" s="329">
        <v>0.119598</v>
      </c>
      <c r="BD134" s="329">
        <v>0.11534</v>
      </c>
      <c r="BE134" s="329">
        <v>0.139705</v>
      </c>
      <c r="BF134" s="329">
        <v>0.23616599999999999</v>
      </c>
      <c r="BG134" s="329">
        <v>0.102994</v>
      </c>
      <c r="BH134" s="329">
        <v>0.152111</v>
      </c>
      <c r="BI134" s="329">
        <v>0.107818</v>
      </c>
      <c r="BJ134" s="329">
        <v>0.10129299999999999</v>
      </c>
      <c r="BK134" s="329">
        <v>6.9383E-2</v>
      </c>
      <c r="BL134" s="329">
        <v>0.119105</v>
      </c>
      <c r="BM134" s="329">
        <v>3.7564E-2</v>
      </c>
    </row>
    <row r="135" spans="3:65">
      <c r="C135" s="408" t="s">
        <v>388</v>
      </c>
      <c r="D135" s="329">
        <v>5.3547999999999998E-2</v>
      </c>
      <c r="E135" s="329">
        <v>5.2072E-2</v>
      </c>
      <c r="F135" s="329">
        <v>6.9080000000000003E-2</v>
      </c>
      <c r="G135" s="329">
        <v>6.1904000000000001E-2</v>
      </c>
      <c r="H135" s="329">
        <v>8.2527000000000003E-2</v>
      </c>
      <c r="I135" s="329">
        <v>9.0473999999999999E-2</v>
      </c>
      <c r="J135" s="329">
        <v>0.102936</v>
      </c>
      <c r="K135" s="329">
        <v>5.6274999999999999E-2</v>
      </c>
      <c r="L135" s="329">
        <v>2.2925999999999998E-2</v>
      </c>
      <c r="M135" s="329">
        <v>8.3125000000000004E-2</v>
      </c>
      <c r="N135" s="329">
        <v>7.0735000000000006E-2</v>
      </c>
      <c r="O135" s="329">
        <v>5.1660999999999999E-2</v>
      </c>
      <c r="P135" s="329">
        <v>7.3575000000000002E-2</v>
      </c>
      <c r="Q135" s="329">
        <v>0.108901</v>
      </c>
      <c r="R135" s="329">
        <v>7.9842999999999997E-2</v>
      </c>
      <c r="S135" s="329">
        <v>7.6979000000000006E-2</v>
      </c>
      <c r="T135" s="329">
        <v>7.1069999999999994E-2</v>
      </c>
      <c r="U135" s="329">
        <v>6.4448000000000005E-2</v>
      </c>
      <c r="V135" s="329">
        <v>5.9515999999999999E-2</v>
      </c>
      <c r="W135" s="329">
        <v>7.8594999999999998E-2</v>
      </c>
      <c r="X135" s="329">
        <v>6.9460999999999995E-2</v>
      </c>
      <c r="Y135" s="329">
        <v>9.9450999999999998E-2</v>
      </c>
      <c r="Z135" s="329">
        <v>9.1808000000000001E-2</v>
      </c>
      <c r="AA135" s="329">
        <v>0.13081300000000001</v>
      </c>
      <c r="AB135" s="329">
        <v>5.7819000000000002E-2</v>
      </c>
      <c r="AC135" s="329">
        <v>0.105169</v>
      </c>
      <c r="AD135" s="329">
        <v>5.6889000000000002E-2</v>
      </c>
      <c r="AE135" s="52">
        <f>'User Add-in Location'!B141</f>
        <v>0</v>
      </c>
      <c r="AF135" s="52">
        <f>'User Add-in Location'!C141</f>
        <v>0</v>
      </c>
      <c r="AG135" s="329">
        <v>8.2211999999999993E-2</v>
      </c>
      <c r="AH135" s="329">
        <v>6.0573000000000002E-2</v>
      </c>
      <c r="AI135" s="329">
        <v>0.11700000000000001</v>
      </c>
      <c r="AJ135" s="329">
        <v>0.106904</v>
      </c>
      <c r="AK135" s="329">
        <v>5.2214999999999998E-2</v>
      </c>
      <c r="AL135" s="329">
        <v>7.6494999999999994E-2</v>
      </c>
      <c r="AM135" s="329">
        <v>6.1360999999999999E-2</v>
      </c>
      <c r="AN135" s="329">
        <v>5.9638999999999998E-2</v>
      </c>
      <c r="AO135" s="329">
        <v>7.2763999999999995E-2</v>
      </c>
      <c r="AP135" s="329">
        <v>7.9834000000000002E-2</v>
      </c>
      <c r="AQ135" s="329">
        <v>9.2134999999999995E-2</v>
      </c>
      <c r="AR135" s="329">
        <v>0.117914</v>
      </c>
      <c r="AS135" s="324">
        <v>0</v>
      </c>
      <c r="AT135" s="324">
        <v>0</v>
      </c>
      <c r="AU135" s="324">
        <v>0</v>
      </c>
      <c r="AV135" s="324">
        <v>0</v>
      </c>
      <c r="AW135" s="324">
        <v>0</v>
      </c>
      <c r="AX135" s="324">
        <v>0</v>
      </c>
      <c r="AY135" s="324">
        <v>0</v>
      </c>
      <c r="AZ135" s="324">
        <v>0</v>
      </c>
      <c r="BA135" s="329">
        <v>5.8469E-2</v>
      </c>
      <c r="BB135" s="329">
        <v>4.3617000000000003E-2</v>
      </c>
      <c r="BC135" s="329">
        <v>8.5353999999999999E-2</v>
      </c>
      <c r="BD135" s="329">
        <v>6.3670000000000004E-2</v>
      </c>
      <c r="BE135" s="329">
        <v>9.3007000000000006E-2</v>
      </c>
      <c r="BF135" s="329">
        <v>0.189466</v>
      </c>
      <c r="BG135" s="329">
        <v>7.9560000000000006E-2</v>
      </c>
      <c r="BH135" s="329">
        <v>8.9177000000000006E-2</v>
      </c>
      <c r="BI135" s="329">
        <v>7.1143999999999999E-2</v>
      </c>
      <c r="BJ135" s="329">
        <v>6.1858999999999997E-2</v>
      </c>
      <c r="BK135" s="329">
        <v>3.8017000000000002E-2</v>
      </c>
      <c r="BL135" s="329">
        <v>7.6685000000000003E-2</v>
      </c>
      <c r="BM135" s="329">
        <v>1.7489999999999999E-2</v>
      </c>
    </row>
    <row r="136" spans="3:65">
      <c r="C136" s="408" t="s">
        <v>389</v>
      </c>
      <c r="D136" s="329">
        <v>6.4011999999999999E-2</v>
      </c>
      <c r="E136" s="329">
        <v>7.2554999999999994E-2</v>
      </c>
      <c r="F136" s="329">
        <v>7.1179999999999993E-2</v>
      </c>
      <c r="G136" s="329">
        <v>6.8347000000000005E-2</v>
      </c>
      <c r="H136" s="329">
        <v>9.5116000000000006E-2</v>
      </c>
      <c r="I136" s="329">
        <v>9.3725000000000003E-2</v>
      </c>
      <c r="J136" s="329">
        <v>0.106739</v>
      </c>
      <c r="K136" s="329">
        <v>6.8977999999999998E-2</v>
      </c>
      <c r="L136" s="329">
        <v>0</v>
      </c>
      <c r="M136" s="329">
        <v>9.5479999999999995E-2</v>
      </c>
      <c r="N136" s="329">
        <v>7.9889000000000002E-2</v>
      </c>
      <c r="O136" s="329">
        <v>7.0625999999999994E-2</v>
      </c>
      <c r="P136" s="329">
        <v>7.9453999999999997E-2</v>
      </c>
      <c r="Q136" s="329">
        <v>0.13326499999999999</v>
      </c>
      <c r="R136" s="329">
        <v>0.103066</v>
      </c>
      <c r="S136" s="329">
        <v>9.3146999999999994E-2</v>
      </c>
      <c r="T136" s="329">
        <v>8.0466999999999997E-2</v>
      </c>
      <c r="U136" s="329">
        <v>8.2629999999999995E-2</v>
      </c>
      <c r="V136" s="329">
        <v>8.9761999999999995E-2</v>
      </c>
      <c r="W136" s="329">
        <v>8.3155000000000007E-2</v>
      </c>
      <c r="X136" s="329">
        <v>8.2545999999999994E-2</v>
      </c>
      <c r="Y136" s="329">
        <v>0.112969</v>
      </c>
      <c r="Z136" s="329">
        <v>0.11794</v>
      </c>
      <c r="AA136" s="329">
        <v>0.15524099999999999</v>
      </c>
      <c r="AB136" s="329">
        <v>7.4693999999999997E-2</v>
      </c>
      <c r="AC136" s="329">
        <v>0.127082</v>
      </c>
      <c r="AD136" s="329">
        <v>7.5844999999999996E-2</v>
      </c>
      <c r="AE136" s="52">
        <f>'User Add-in Location'!B142</f>
        <v>0</v>
      </c>
      <c r="AF136" s="52">
        <f>'User Add-in Location'!C142</f>
        <v>0</v>
      </c>
      <c r="AG136" s="329">
        <v>0.101325</v>
      </c>
      <c r="AH136" s="329">
        <v>6.9865999999999998E-2</v>
      </c>
      <c r="AI136" s="329">
        <v>0.113456</v>
      </c>
      <c r="AJ136" s="329">
        <v>0.12567</v>
      </c>
      <c r="AK136" s="329">
        <v>7.4504000000000001E-2</v>
      </c>
      <c r="AL136" s="329">
        <v>8.9265999999999998E-2</v>
      </c>
      <c r="AM136" s="329">
        <v>7.6512999999999998E-2</v>
      </c>
      <c r="AN136" s="329">
        <v>8.9013999999999996E-2</v>
      </c>
      <c r="AO136" s="329">
        <v>9.3584000000000001E-2</v>
      </c>
      <c r="AP136" s="329">
        <v>9.3115000000000003E-2</v>
      </c>
      <c r="AQ136" s="329">
        <v>0.109446</v>
      </c>
      <c r="AR136" s="329">
        <v>0.140766</v>
      </c>
      <c r="AS136" s="324">
        <v>0</v>
      </c>
      <c r="AT136" s="324">
        <v>0</v>
      </c>
      <c r="AU136" s="324">
        <v>0</v>
      </c>
      <c r="AV136" s="324">
        <v>0</v>
      </c>
      <c r="AW136" s="324">
        <v>0</v>
      </c>
      <c r="AX136" s="324">
        <v>0</v>
      </c>
      <c r="AY136" s="324">
        <v>0</v>
      </c>
      <c r="AZ136" s="324">
        <v>0</v>
      </c>
      <c r="BA136" s="329">
        <v>7.0955000000000004E-2</v>
      </c>
      <c r="BB136" s="329">
        <v>5.8881999999999997E-2</v>
      </c>
      <c r="BC136" s="329">
        <v>0.103764</v>
      </c>
      <c r="BD136" s="329">
        <v>8.8360999999999995E-2</v>
      </c>
      <c r="BE136" s="329">
        <v>0.11836000000000001</v>
      </c>
      <c r="BF136" s="329">
        <v>0.223054</v>
      </c>
      <c r="BG136" s="329">
        <v>9.3451999999999993E-2</v>
      </c>
      <c r="BH136" s="329">
        <v>0.106475</v>
      </c>
      <c r="BI136" s="329">
        <v>0.10244300000000001</v>
      </c>
      <c r="BJ136" s="329">
        <v>7.9025999999999999E-2</v>
      </c>
      <c r="BK136" s="329">
        <v>5.2290999999999997E-2</v>
      </c>
      <c r="BL136" s="329">
        <v>0.106978</v>
      </c>
      <c r="BM136" s="329">
        <v>2.7139E-2</v>
      </c>
    </row>
    <row r="137" spans="3:65">
      <c r="C137" s="408" t="s">
        <v>390</v>
      </c>
      <c r="D137" s="329">
        <v>7.1708999999999995E-2</v>
      </c>
      <c r="E137" s="329">
        <v>6.3772999999999996E-2</v>
      </c>
      <c r="F137" s="329">
        <v>8.8729000000000002E-2</v>
      </c>
      <c r="G137" s="329">
        <v>7.3190000000000005E-2</v>
      </c>
      <c r="H137" s="329">
        <v>0.105173</v>
      </c>
      <c r="I137" s="329">
        <v>0.102087</v>
      </c>
      <c r="J137" s="329">
        <v>0.121986</v>
      </c>
      <c r="K137" s="329">
        <v>6.6562999999999997E-2</v>
      </c>
      <c r="L137" s="329">
        <v>0</v>
      </c>
      <c r="M137" s="329">
        <v>0.10224800000000001</v>
      </c>
      <c r="N137" s="329">
        <v>8.5584999999999994E-2</v>
      </c>
      <c r="O137" s="329">
        <v>0</v>
      </c>
      <c r="P137" s="329">
        <v>8.3361000000000005E-2</v>
      </c>
      <c r="Q137" s="329">
        <v>0.14249800000000001</v>
      </c>
      <c r="R137" s="329">
        <v>0.111273</v>
      </c>
      <c r="S137" s="329">
        <v>9.4218999999999997E-2</v>
      </c>
      <c r="T137" s="329">
        <v>9.7584000000000004E-2</v>
      </c>
      <c r="U137" s="329">
        <v>9.9507999999999999E-2</v>
      </c>
      <c r="V137" s="329">
        <v>0.102744</v>
      </c>
      <c r="W137" s="329">
        <v>8.8959999999999997E-2</v>
      </c>
      <c r="X137" s="329">
        <v>9.3076999999999993E-2</v>
      </c>
      <c r="Y137" s="329">
        <v>0.13144900000000001</v>
      </c>
      <c r="Z137" s="329">
        <v>0.132883</v>
      </c>
      <c r="AA137" s="329">
        <v>0.17014499999999999</v>
      </c>
      <c r="AB137" s="329">
        <v>7.1763999999999994E-2</v>
      </c>
      <c r="AC137" s="329">
        <v>0.13522300000000001</v>
      </c>
      <c r="AD137" s="329">
        <v>8.7325E-2</v>
      </c>
      <c r="AE137" s="52">
        <f>'User Add-in Location'!B143</f>
        <v>0</v>
      </c>
      <c r="AF137" s="52">
        <f>'User Add-in Location'!C143</f>
        <v>0</v>
      </c>
      <c r="AG137" s="329">
        <v>9.8294000000000006E-2</v>
      </c>
      <c r="AH137" s="329">
        <v>7.8129000000000004E-2</v>
      </c>
      <c r="AI137" s="329">
        <v>0.13849900000000001</v>
      </c>
      <c r="AJ137" s="329">
        <v>0.14929400000000001</v>
      </c>
      <c r="AK137" s="329">
        <v>7.7220999999999998E-2</v>
      </c>
      <c r="AL137" s="329">
        <v>9.5352000000000006E-2</v>
      </c>
      <c r="AM137" s="329">
        <v>8.5589999999999999E-2</v>
      </c>
      <c r="AN137" s="329">
        <v>7.0842000000000002E-2</v>
      </c>
      <c r="AO137" s="329">
        <v>0.104864</v>
      </c>
      <c r="AP137" s="329">
        <v>0.11186500000000001</v>
      </c>
      <c r="AQ137" s="329">
        <v>0.105223</v>
      </c>
      <c r="AR137" s="329">
        <v>0.15367700000000001</v>
      </c>
      <c r="AS137" s="324">
        <v>0</v>
      </c>
      <c r="AT137" s="324">
        <v>0</v>
      </c>
      <c r="AU137" s="324">
        <v>0</v>
      </c>
      <c r="AV137" s="324">
        <v>0</v>
      </c>
      <c r="AW137" s="324">
        <v>0</v>
      </c>
      <c r="AX137" s="324">
        <v>0</v>
      </c>
      <c r="AY137" s="324">
        <v>0</v>
      </c>
      <c r="AZ137" s="324">
        <v>0</v>
      </c>
      <c r="BA137" s="329">
        <v>7.2021000000000002E-2</v>
      </c>
      <c r="BB137" s="329">
        <v>6.3533000000000006E-2</v>
      </c>
      <c r="BC137" s="329">
        <v>9.2437000000000005E-2</v>
      </c>
      <c r="BD137" s="329">
        <v>9.1151999999999997E-2</v>
      </c>
      <c r="BE137" s="329">
        <v>0.13040399999999999</v>
      </c>
      <c r="BF137" s="329">
        <v>0.23218900000000001</v>
      </c>
      <c r="BG137" s="329">
        <v>0.103584</v>
      </c>
      <c r="BH137" s="329">
        <v>0.114707</v>
      </c>
      <c r="BI137" s="329">
        <v>0.103146</v>
      </c>
      <c r="BJ137" s="329">
        <v>9.4703999999999997E-2</v>
      </c>
      <c r="BK137" s="329">
        <v>6.5461000000000005E-2</v>
      </c>
      <c r="BL137" s="329">
        <v>0.106656</v>
      </c>
      <c r="BM137" s="329">
        <v>3.8880999999999999E-2</v>
      </c>
    </row>
    <row r="138" spans="3:65">
      <c r="C138" s="408" t="s">
        <v>391</v>
      </c>
      <c r="D138" s="329">
        <v>6.6375000000000003E-2</v>
      </c>
      <c r="E138" s="329">
        <v>0.119338</v>
      </c>
      <c r="F138" s="329">
        <v>8.7876999999999997E-2</v>
      </c>
      <c r="G138" s="329">
        <v>6.9346000000000005E-2</v>
      </c>
      <c r="H138" s="329">
        <v>0.104451</v>
      </c>
      <c r="I138" s="329">
        <v>7.9184000000000004E-2</v>
      </c>
      <c r="J138" s="329">
        <v>0.109594</v>
      </c>
      <c r="K138" s="329">
        <v>8.9261999999999994E-2</v>
      </c>
      <c r="L138" s="329">
        <v>6.4111000000000001E-2</v>
      </c>
      <c r="M138" s="329">
        <v>9.3949000000000005E-2</v>
      </c>
      <c r="N138" s="329">
        <v>8.788E-2</v>
      </c>
      <c r="O138" s="329">
        <v>0</v>
      </c>
      <c r="P138" s="329">
        <v>7.3904999999999998E-2</v>
      </c>
      <c r="Q138" s="329">
        <v>0.13304099999999999</v>
      </c>
      <c r="R138" s="329">
        <v>9.8174999999999998E-2</v>
      </c>
      <c r="S138" s="329">
        <v>9.2758999999999994E-2</v>
      </c>
      <c r="T138" s="329">
        <v>8.2197999999999993E-2</v>
      </c>
      <c r="U138" s="329">
        <v>8.9952000000000004E-2</v>
      </c>
      <c r="V138" s="329">
        <v>8.7787000000000004E-2</v>
      </c>
      <c r="W138" s="329">
        <v>9.5006999999999994E-2</v>
      </c>
      <c r="X138" s="329">
        <v>8.4454000000000001E-2</v>
      </c>
      <c r="Y138" s="329">
        <v>0.12114800000000001</v>
      </c>
      <c r="Z138" s="329">
        <v>0.113569</v>
      </c>
      <c r="AA138" s="329">
        <v>0.138542</v>
      </c>
      <c r="AB138" s="329">
        <v>6.6292000000000004E-2</v>
      </c>
      <c r="AC138" s="329">
        <v>0.10674</v>
      </c>
      <c r="AD138" s="329">
        <v>7.2502999999999998E-2</v>
      </c>
      <c r="AE138" s="52">
        <f>'User Add-in Location'!B144</f>
        <v>0</v>
      </c>
      <c r="AF138" s="52">
        <f>'User Add-in Location'!C144</f>
        <v>0</v>
      </c>
      <c r="AG138" s="329">
        <v>7.9399999999999998E-2</v>
      </c>
      <c r="AH138" s="329">
        <v>7.1706000000000006E-2</v>
      </c>
      <c r="AI138" s="329">
        <v>9.9128999999999995E-2</v>
      </c>
      <c r="AJ138" s="329">
        <v>0.11894200000000001</v>
      </c>
      <c r="AK138" s="329">
        <v>6.3399999999999998E-2</v>
      </c>
      <c r="AL138" s="329">
        <v>9.7119999999999998E-2</v>
      </c>
      <c r="AM138" s="329">
        <v>7.6319999999999999E-2</v>
      </c>
      <c r="AN138" s="329">
        <v>5.7486000000000002E-2</v>
      </c>
      <c r="AO138" s="329">
        <v>8.5186999999999999E-2</v>
      </c>
      <c r="AP138" s="329">
        <v>9.6936999999999995E-2</v>
      </c>
      <c r="AQ138" s="329">
        <v>9.8143999999999995E-2</v>
      </c>
      <c r="AR138" s="329">
        <v>0.137242</v>
      </c>
      <c r="AS138" s="324">
        <v>0</v>
      </c>
      <c r="AT138" s="324">
        <v>0</v>
      </c>
      <c r="AU138" s="324">
        <v>0</v>
      </c>
      <c r="AV138" s="324">
        <v>0</v>
      </c>
      <c r="AW138" s="324">
        <v>0</v>
      </c>
      <c r="AX138" s="324">
        <v>0</v>
      </c>
      <c r="AY138" s="324">
        <v>0</v>
      </c>
      <c r="AZ138" s="324">
        <v>0</v>
      </c>
      <c r="BA138" s="329">
        <v>7.3834999999999998E-2</v>
      </c>
      <c r="BB138" s="329">
        <v>4.8668999999999997E-2</v>
      </c>
      <c r="BC138" s="329">
        <v>8.1980999999999998E-2</v>
      </c>
      <c r="BD138" s="329">
        <v>7.3113999999999998E-2</v>
      </c>
      <c r="BE138" s="329">
        <v>0.12096999999999999</v>
      </c>
      <c r="BF138" s="329">
        <v>0.21323400000000001</v>
      </c>
      <c r="BG138" s="329">
        <v>0.10310999999999999</v>
      </c>
      <c r="BH138" s="329">
        <v>0.111294</v>
      </c>
      <c r="BI138" s="329">
        <v>9.1717999999999994E-2</v>
      </c>
      <c r="BJ138" s="329">
        <v>8.8147000000000003E-2</v>
      </c>
      <c r="BK138" s="329">
        <v>6.0678000000000003E-2</v>
      </c>
      <c r="BL138" s="329">
        <v>0.102616</v>
      </c>
      <c r="BM138" s="329">
        <v>3.2492E-2</v>
      </c>
    </row>
    <row r="139" spans="3:65">
      <c r="C139" s="408" t="s">
        <v>392</v>
      </c>
      <c r="D139" s="329">
        <v>6.3633999999999996E-2</v>
      </c>
      <c r="E139" s="329">
        <v>0</v>
      </c>
      <c r="F139" s="329">
        <v>7.2177000000000005E-2</v>
      </c>
      <c r="G139" s="329">
        <v>8.1765000000000004E-2</v>
      </c>
      <c r="H139" s="329">
        <v>0.10048799999999999</v>
      </c>
      <c r="I139" s="329">
        <v>8.4071999999999994E-2</v>
      </c>
      <c r="J139" s="329">
        <v>0.111832</v>
      </c>
      <c r="K139" s="329">
        <v>8.3731E-2</v>
      </c>
      <c r="L139" s="329">
        <v>0</v>
      </c>
      <c r="M139" s="329">
        <v>9.8923999999999998E-2</v>
      </c>
      <c r="N139" s="329">
        <v>8.9262999999999995E-2</v>
      </c>
      <c r="O139" s="329">
        <v>0</v>
      </c>
      <c r="P139" s="329">
        <v>0</v>
      </c>
      <c r="Q139" s="329">
        <v>0.142239</v>
      </c>
      <c r="R139" s="329">
        <v>0.10921400000000001</v>
      </c>
      <c r="S139" s="329">
        <v>9.6896999999999997E-2</v>
      </c>
      <c r="T139" s="329">
        <v>8.8431999999999997E-2</v>
      </c>
      <c r="U139" s="329">
        <v>9.2290999999999998E-2</v>
      </c>
      <c r="V139" s="329">
        <v>9.9979999999999999E-2</v>
      </c>
      <c r="W139" s="329">
        <v>0</v>
      </c>
      <c r="X139" s="329">
        <v>9.9251000000000006E-2</v>
      </c>
      <c r="Y139" s="329">
        <v>0.106507</v>
      </c>
      <c r="Z139" s="329">
        <v>0.124766</v>
      </c>
      <c r="AA139" s="329">
        <v>0.13592499999999999</v>
      </c>
      <c r="AB139" s="329">
        <v>7.0640999999999995E-2</v>
      </c>
      <c r="AC139" s="329">
        <v>0.118114</v>
      </c>
      <c r="AD139" s="329">
        <v>0</v>
      </c>
      <c r="AE139" s="52">
        <f>'User Add-in Location'!B145</f>
        <v>0</v>
      </c>
      <c r="AF139" s="52">
        <f>'User Add-in Location'!C145</f>
        <v>0</v>
      </c>
      <c r="AG139" s="329">
        <v>0</v>
      </c>
      <c r="AH139" s="329">
        <v>7.4553999999999995E-2</v>
      </c>
      <c r="AI139" s="329">
        <v>0</v>
      </c>
      <c r="AJ139" s="329">
        <v>0.122291</v>
      </c>
      <c r="AK139" s="329">
        <v>0</v>
      </c>
      <c r="AL139" s="329">
        <v>9.4160999999999995E-2</v>
      </c>
      <c r="AM139" s="329">
        <v>8.4090999999999999E-2</v>
      </c>
      <c r="AN139" s="329">
        <v>0</v>
      </c>
      <c r="AO139" s="329">
        <v>9.3093999999999996E-2</v>
      </c>
      <c r="AP139" s="329">
        <v>9.4308000000000003E-2</v>
      </c>
      <c r="AQ139" s="329">
        <v>9.5172000000000007E-2</v>
      </c>
      <c r="AR139" s="329">
        <v>0.143124</v>
      </c>
      <c r="AS139" s="324">
        <v>0</v>
      </c>
      <c r="AT139" s="324">
        <v>0</v>
      </c>
      <c r="AU139" s="324">
        <v>0</v>
      </c>
      <c r="AV139" s="324">
        <v>0</v>
      </c>
      <c r="AW139" s="324">
        <v>0</v>
      </c>
      <c r="AX139" s="324">
        <v>0</v>
      </c>
      <c r="AY139" s="324">
        <v>0</v>
      </c>
      <c r="AZ139" s="324">
        <v>0</v>
      </c>
      <c r="BA139" s="329">
        <v>7.3450000000000001E-2</v>
      </c>
      <c r="BB139" s="329">
        <v>5.3641000000000001E-2</v>
      </c>
      <c r="BC139" s="329">
        <v>0</v>
      </c>
      <c r="BD139" s="329">
        <v>8.4321999999999994E-2</v>
      </c>
      <c r="BE139" s="329">
        <v>0.12719900000000001</v>
      </c>
      <c r="BF139" s="329">
        <v>0.216417</v>
      </c>
      <c r="BG139" s="329">
        <v>9.9176E-2</v>
      </c>
      <c r="BH139" s="329">
        <v>0</v>
      </c>
      <c r="BI139" s="329">
        <v>9.4349000000000002E-2</v>
      </c>
      <c r="BJ139" s="329">
        <v>6.6132999999999997E-2</v>
      </c>
      <c r="BK139" s="329">
        <v>6.6166000000000003E-2</v>
      </c>
      <c r="BL139" s="329">
        <v>9.7234000000000001E-2</v>
      </c>
      <c r="BM139" s="329">
        <v>0</v>
      </c>
    </row>
    <row r="140" spans="3:65">
      <c r="C140" s="408" t="s">
        <v>393</v>
      </c>
      <c r="D140" s="329">
        <v>4.888E-2</v>
      </c>
      <c r="E140" s="329">
        <v>0</v>
      </c>
      <c r="F140" s="329">
        <v>5.7290000000000001E-2</v>
      </c>
      <c r="G140" s="329">
        <v>6.6850999999999994E-2</v>
      </c>
      <c r="H140" s="329">
        <v>8.1200999999999995E-2</v>
      </c>
      <c r="I140" s="329">
        <v>6.9667999999999994E-2</v>
      </c>
      <c r="J140" s="329">
        <v>9.5181000000000002E-2</v>
      </c>
      <c r="K140" s="329">
        <v>0</v>
      </c>
      <c r="L140" s="329">
        <v>5.8263000000000002E-2</v>
      </c>
      <c r="M140" s="329">
        <v>7.3957999999999996E-2</v>
      </c>
      <c r="N140" s="329">
        <v>6.9126000000000007E-2</v>
      </c>
      <c r="O140" s="329">
        <v>0</v>
      </c>
      <c r="P140" s="329">
        <v>5.9686000000000003E-2</v>
      </c>
      <c r="Q140" s="329">
        <v>0.12282999999999999</v>
      </c>
      <c r="R140" s="329">
        <v>8.7347999999999995E-2</v>
      </c>
      <c r="S140" s="329">
        <v>0</v>
      </c>
      <c r="T140" s="329">
        <v>7.0808999999999997E-2</v>
      </c>
      <c r="U140" s="329">
        <v>6.9682999999999995E-2</v>
      </c>
      <c r="V140" s="329">
        <v>8.0307000000000003E-2</v>
      </c>
      <c r="W140" s="329">
        <v>7.3623999999999995E-2</v>
      </c>
      <c r="X140" s="329">
        <v>7.9838000000000006E-2</v>
      </c>
      <c r="Y140" s="329">
        <v>9.1467000000000007E-2</v>
      </c>
      <c r="Z140" s="329">
        <v>8.4023E-2</v>
      </c>
      <c r="AA140" s="329">
        <v>0.124999</v>
      </c>
      <c r="AB140" s="329">
        <v>5.8566E-2</v>
      </c>
      <c r="AC140" s="329">
        <v>0</v>
      </c>
      <c r="AD140" s="329">
        <v>5.4948999999999998E-2</v>
      </c>
      <c r="AE140" s="52">
        <f>'User Add-in Location'!B146</f>
        <v>0</v>
      </c>
      <c r="AF140" s="52">
        <f>'User Add-in Location'!C146</f>
        <v>0</v>
      </c>
      <c r="AG140" s="329">
        <v>8.0370999999999998E-2</v>
      </c>
      <c r="AH140" s="329">
        <v>5.8706000000000001E-2</v>
      </c>
      <c r="AI140" s="329">
        <v>9.7091999999999998E-2</v>
      </c>
      <c r="AJ140" s="329">
        <v>0.104227</v>
      </c>
      <c r="AK140" s="329">
        <v>4.8666000000000001E-2</v>
      </c>
      <c r="AL140" s="329">
        <v>7.1739999999999998E-2</v>
      </c>
      <c r="AM140" s="329">
        <v>7.0096000000000006E-2</v>
      </c>
      <c r="AN140" s="329">
        <v>5.1666999999999998E-2</v>
      </c>
      <c r="AO140" s="329">
        <v>7.0208999999999994E-2</v>
      </c>
      <c r="AP140" s="329">
        <v>0</v>
      </c>
      <c r="AQ140" s="329">
        <v>0</v>
      </c>
      <c r="AR140" s="329">
        <v>0.113553</v>
      </c>
      <c r="AS140" s="324">
        <v>0</v>
      </c>
      <c r="AT140" s="324">
        <v>0</v>
      </c>
      <c r="AU140" s="324">
        <v>0</v>
      </c>
      <c r="AV140" s="324">
        <v>0</v>
      </c>
      <c r="AW140" s="324">
        <v>0</v>
      </c>
      <c r="AX140" s="324">
        <v>0</v>
      </c>
      <c r="AY140" s="324">
        <v>0</v>
      </c>
      <c r="AZ140" s="324">
        <v>0</v>
      </c>
      <c r="BA140" s="329">
        <v>5.0196999999999999E-2</v>
      </c>
      <c r="BB140" s="329">
        <v>4.2072999999999999E-2</v>
      </c>
      <c r="BC140" s="329">
        <v>0</v>
      </c>
      <c r="BD140" s="329">
        <v>5.6458000000000001E-2</v>
      </c>
      <c r="BE140" s="329">
        <v>0.10997899999999999</v>
      </c>
      <c r="BF140" s="329">
        <v>0.185645</v>
      </c>
      <c r="BG140" s="329">
        <v>7.7670000000000003E-2</v>
      </c>
      <c r="BH140" s="329">
        <v>8.3033999999999997E-2</v>
      </c>
      <c r="BI140" s="329">
        <v>7.3275999999999994E-2</v>
      </c>
      <c r="BJ140" s="329">
        <v>5.6117E-2</v>
      </c>
      <c r="BK140" s="329">
        <v>4.8562000000000001E-2</v>
      </c>
      <c r="BL140" s="329">
        <v>6.4327999999999996E-2</v>
      </c>
      <c r="BM140" s="329">
        <v>1.8655999999999999E-2</v>
      </c>
    </row>
    <row r="141" spans="3:65">
      <c r="C141" s="408" t="s">
        <v>394</v>
      </c>
      <c r="D141" s="329">
        <v>7.8699000000000005E-2</v>
      </c>
      <c r="E141" s="329">
        <v>7.0111000000000007E-2</v>
      </c>
      <c r="F141" s="329">
        <v>9.9446999999999994E-2</v>
      </c>
      <c r="G141" s="329">
        <v>7.6146000000000005E-2</v>
      </c>
      <c r="H141" s="329">
        <v>9.2779E-2</v>
      </c>
      <c r="I141" s="329">
        <v>0.115152</v>
      </c>
      <c r="J141" s="329">
        <v>0.111752</v>
      </c>
      <c r="K141" s="329">
        <v>8.2333000000000003E-2</v>
      </c>
      <c r="L141" s="329">
        <v>4.8086999999999998E-2</v>
      </c>
      <c r="M141" s="329">
        <v>0.11300300000000001</v>
      </c>
      <c r="N141" s="329">
        <v>9.4751000000000002E-2</v>
      </c>
      <c r="O141" s="329">
        <v>9.0074000000000001E-2</v>
      </c>
      <c r="P141" s="329">
        <v>8.8033E-2</v>
      </c>
      <c r="Q141" s="329">
        <v>0.13602600000000001</v>
      </c>
      <c r="R141" s="329">
        <v>0.111915</v>
      </c>
      <c r="S141" s="329">
        <v>9.8303000000000001E-2</v>
      </c>
      <c r="T141" s="329">
        <v>8.6246000000000003E-2</v>
      </c>
      <c r="U141" s="329">
        <v>8.3909999999999998E-2</v>
      </c>
      <c r="V141" s="329">
        <v>9.2215000000000005E-2</v>
      </c>
      <c r="W141" s="329">
        <v>9.9981E-2</v>
      </c>
      <c r="X141" s="329">
        <v>0.101467</v>
      </c>
      <c r="Y141" s="329">
        <v>0.13156499999999999</v>
      </c>
      <c r="Z141" s="329">
        <v>0.12829399999999999</v>
      </c>
      <c r="AA141" s="329">
        <v>0.15832299999999999</v>
      </c>
      <c r="AB141" s="329">
        <v>6.9990999999999998E-2</v>
      </c>
      <c r="AC141" s="329">
        <v>0.13914799999999999</v>
      </c>
      <c r="AD141" s="329">
        <v>9.2187000000000005E-2</v>
      </c>
      <c r="AE141" s="52">
        <f>'User Add-in Location'!B147</f>
        <v>0</v>
      </c>
      <c r="AF141" s="52">
        <f>'User Add-in Location'!C147</f>
        <v>0</v>
      </c>
      <c r="AG141" s="329">
        <v>0.101994</v>
      </c>
      <c r="AH141" s="329">
        <v>8.0282000000000006E-2</v>
      </c>
      <c r="AI141" s="329">
        <v>0.14782600000000001</v>
      </c>
      <c r="AJ141" s="329">
        <v>0.12535299999999999</v>
      </c>
      <c r="AK141" s="329">
        <v>8.4727999999999998E-2</v>
      </c>
      <c r="AL141" s="329">
        <v>9.9661E-2</v>
      </c>
      <c r="AM141" s="329">
        <v>8.7547E-2</v>
      </c>
      <c r="AN141" s="329">
        <v>9.1526999999999997E-2</v>
      </c>
      <c r="AO141" s="329">
        <v>0.10849200000000001</v>
      </c>
      <c r="AP141" s="329">
        <v>9.1556999999999999E-2</v>
      </c>
      <c r="AQ141" s="329">
        <v>0.120119</v>
      </c>
      <c r="AR141" s="329">
        <v>0.14365900000000001</v>
      </c>
      <c r="AS141" s="324">
        <v>0</v>
      </c>
      <c r="AT141" s="324">
        <v>0</v>
      </c>
      <c r="AU141" s="324">
        <v>0</v>
      </c>
      <c r="AV141" s="324">
        <v>0</v>
      </c>
      <c r="AW141" s="324">
        <v>0</v>
      </c>
      <c r="AX141" s="324">
        <v>0</v>
      </c>
      <c r="AY141" s="324">
        <v>0</v>
      </c>
      <c r="AZ141" s="324">
        <v>0</v>
      </c>
      <c r="BA141" s="329">
        <v>8.3481E-2</v>
      </c>
      <c r="BB141" s="329">
        <v>6.3543000000000002E-2</v>
      </c>
      <c r="BC141" s="329">
        <v>9.9295999999999995E-2</v>
      </c>
      <c r="BD141" s="329">
        <v>9.4112000000000001E-2</v>
      </c>
      <c r="BE141" s="329">
        <v>0.115865</v>
      </c>
      <c r="BF141" s="329">
        <v>0.21564900000000001</v>
      </c>
      <c r="BG141" s="329">
        <v>0.103814</v>
      </c>
      <c r="BH141" s="329">
        <v>0.111341</v>
      </c>
      <c r="BI141" s="329">
        <v>0.10636900000000001</v>
      </c>
      <c r="BJ141" s="329">
        <v>9.5652000000000001E-2</v>
      </c>
      <c r="BK141" s="329">
        <v>6.4945000000000003E-2</v>
      </c>
      <c r="BL141" s="329">
        <v>0.123861</v>
      </c>
      <c r="BM141" s="329">
        <v>3.7041999999999999E-2</v>
      </c>
    </row>
    <row r="142" spans="3:65">
      <c r="C142" s="408" t="s">
        <v>395</v>
      </c>
      <c r="D142" s="329">
        <v>8.9653999999999998E-2</v>
      </c>
      <c r="E142" s="329">
        <v>0.108859</v>
      </c>
      <c r="F142" s="329">
        <v>0.109781</v>
      </c>
      <c r="G142" s="329">
        <v>9.4321000000000002E-2</v>
      </c>
      <c r="H142" s="329">
        <v>0.114006</v>
      </c>
      <c r="I142" s="329">
        <v>0.12027</v>
      </c>
      <c r="J142" s="329">
        <v>0.13014600000000001</v>
      </c>
      <c r="K142" s="329">
        <v>0.104989</v>
      </c>
      <c r="L142" s="329">
        <v>5.5426000000000003E-2</v>
      </c>
      <c r="M142" s="329">
        <v>0.130996</v>
      </c>
      <c r="N142" s="329">
        <v>0.111765</v>
      </c>
      <c r="O142" s="329">
        <v>0.101462</v>
      </c>
      <c r="P142" s="329">
        <v>0.107947</v>
      </c>
      <c r="Q142" s="329">
        <v>0.14881</v>
      </c>
      <c r="R142" s="329">
        <v>0.12692700000000001</v>
      </c>
      <c r="S142" s="329">
        <v>0.11367099999999999</v>
      </c>
      <c r="T142" s="329">
        <v>9.2968999999999996E-2</v>
      </c>
      <c r="U142" s="329">
        <v>0.111858</v>
      </c>
      <c r="V142" s="329">
        <v>0.104214</v>
      </c>
      <c r="W142" s="329">
        <v>0.122209</v>
      </c>
      <c r="X142" s="329">
        <v>0.11837</v>
      </c>
      <c r="Y142" s="329">
        <v>0.153618</v>
      </c>
      <c r="Z142" s="329">
        <v>0.146901</v>
      </c>
      <c r="AA142" s="329">
        <v>0.17186299999999999</v>
      </c>
      <c r="AB142" s="329">
        <v>8.5789000000000004E-2</v>
      </c>
      <c r="AC142" s="329">
        <v>0.15187300000000001</v>
      </c>
      <c r="AD142" s="329">
        <v>0.12934699999999999</v>
      </c>
      <c r="AE142" s="52">
        <f>'User Add-in Location'!B148</f>
        <v>0</v>
      </c>
      <c r="AF142" s="52">
        <f>'User Add-in Location'!C148</f>
        <v>0</v>
      </c>
      <c r="AG142" s="329">
        <v>0.120669</v>
      </c>
      <c r="AH142" s="329">
        <v>9.2272000000000007E-2</v>
      </c>
      <c r="AI142" s="329">
        <v>0.16544300000000001</v>
      </c>
      <c r="AJ142" s="329">
        <v>0.153692</v>
      </c>
      <c r="AK142" s="329">
        <v>0.10635</v>
      </c>
      <c r="AL142" s="329">
        <v>0.11741</v>
      </c>
      <c r="AM142" s="329">
        <v>0.102007</v>
      </c>
      <c r="AN142" s="329">
        <v>0.11452900000000001</v>
      </c>
      <c r="AO142" s="329">
        <v>0.118931</v>
      </c>
      <c r="AP142" s="329">
        <v>0.10935</v>
      </c>
      <c r="AQ142" s="329">
        <v>0.148095</v>
      </c>
      <c r="AR142" s="329">
        <v>0.16658400000000001</v>
      </c>
      <c r="AS142" s="324">
        <v>0</v>
      </c>
      <c r="AT142" s="324">
        <v>0</v>
      </c>
      <c r="AU142" s="324">
        <v>0</v>
      </c>
      <c r="AV142" s="324">
        <v>0</v>
      </c>
      <c r="AW142" s="324">
        <v>0</v>
      </c>
      <c r="AX142" s="324">
        <v>0</v>
      </c>
      <c r="AY142" s="324">
        <v>0</v>
      </c>
      <c r="AZ142" s="324">
        <v>0</v>
      </c>
      <c r="BA142" s="329">
        <v>0.103519</v>
      </c>
      <c r="BB142" s="329">
        <v>7.8992000000000007E-2</v>
      </c>
      <c r="BC142" s="329">
        <v>0.119295</v>
      </c>
      <c r="BD142" s="329">
        <v>0.11683300000000001</v>
      </c>
      <c r="BE142" s="329">
        <v>0.13859299999999999</v>
      </c>
      <c r="BF142" s="329">
        <v>0.24517</v>
      </c>
      <c r="BG142" s="329">
        <v>0.115007</v>
      </c>
      <c r="BH142" s="329">
        <v>0.140926</v>
      </c>
      <c r="BI142" s="329">
        <v>0.118142</v>
      </c>
      <c r="BJ142" s="329">
        <v>0.115499</v>
      </c>
      <c r="BK142" s="329">
        <v>8.2573999999999995E-2</v>
      </c>
      <c r="BL142" s="329">
        <v>0.134018</v>
      </c>
      <c r="BM142" s="329">
        <v>4.2652000000000002E-2</v>
      </c>
    </row>
    <row r="143" spans="3:65">
      <c r="C143" s="408" t="s">
        <v>396</v>
      </c>
      <c r="D143" s="329">
        <v>6.9639000000000006E-2</v>
      </c>
      <c r="E143" s="329">
        <v>4.7418000000000002E-2</v>
      </c>
      <c r="F143" s="329">
        <v>7.7307000000000001E-2</v>
      </c>
      <c r="G143" s="329">
        <v>8.1854999999999997E-2</v>
      </c>
      <c r="H143" s="329">
        <v>9.1400999999999996E-2</v>
      </c>
      <c r="I143" s="329">
        <v>0.114262</v>
      </c>
      <c r="J143" s="329">
        <v>0.101579</v>
      </c>
      <c r="K143" s="329">
        <v>7.4873999999999996E-2</v>
      </c>
      <c r="L143" s="329">
        <v>3.7811999999999998E-2</v>
      </c>
      <c r="M143" s="329">
        <v>8.8608000000000006E-2</v>
      </c>
      <c r="N143" s="329">
        <v>8.7908E-2</v>
      </c>
      <c r="O143" s="329">
        <v>5.8506000000000002E-2</v>
      </c>
      <c r="P143" s="329">
        <v>8.2466999999999999E-2</v>
      </c>
      <c r="Q143" s="329">
        <v>0.129716</v>
      </c>
      <c r="R143" s="329">
        <v>0.10341599999999999</v>
      </c>
      <c r="S143" s="329">
        <v>9.0828999999999993E-2</v>
      </c>
      <c r="T143" s="329">
        <v>9.8363999999999993E-2</v>
      </c>
      <c r="U143" s="329">
        <v>8.5282999999999998E-2</v>
      </c>
      <c r="V143" s="329">
        <v>8.6313000000000001E-2</v>
      </c>
      <c r="W143" s="329">
        <v>8.9038000000000006E-2</v>
      </c>
      <c r="X143" s="329">
        <v>8.8057999999999997E-2</v>
      </c>
      <c r="Y143" s="329">
        <v>0.101781</v>
      </c>
      <c r="Z143" s="329">
        <v>0.113006</v>
      </c>
      <c r="AA143" s="329">
        <v>0.143016</v>
      </c>
      <c r="AB143" s="329">
        <v>6.5215999999999996E-2</v>
      </c>
      <c r="AC143" s="329">
        <v>0.122962</v>
      </c>
      <c r="AD143" s="329">
        <v>8.4319000000000005E-2</v>
      </c>
      <c r="AE143" s="52">
        <f>'User Add-in Location'!B149</f>
        <v>0</v>
      </c>
      <c r="AF143" s="52">
        <f>'User Add-in Location'!C149</f>
        <v>0</v>
      </c>
      <c r="AG143" s="329">
        <v>0.12639500000000001</v>
      </c>
      <c r="AH143" s="329">
        <v>6.5959000000000004E-2</v>
      </c>
      <c r="AI143" s="329">
        <v>9.6057000000000003E-2</v>
      </c>
      <c r="AJ143" s="329">
        <v>0.11305</v>
      </c>
      <c r="AK143" s="329">
        <v>7.6234999999999997E-2</v>
      </c>
      <c r="AL143" s="329">
        <v>8.3839999999999998E-2</v>
      </c>
      <c r="AM143" s="329">
        <v>7.8422000000000006E-2</v>
      </c>
      <c r="AN143" s="329">
        <v>9.5443E-2</v>
      </c>
      <c r="AO143" s="329">
        <v>0.106933</v>
      </c>
      <c r="AP143" s="329">
        <v>0.136599</v>
      </c>
      <c r="AQ143" s="329">
        <v>0.10041700000000001</v>
      </c>
      <c r="AR143" s="329">
        <v>0.16353899999999999</v>
      </c>
      <c r="AS143" s="324">
        <v>0</v>
      </c>
      <c r="AT143" s="324">
        <v>0</v>
      </c>
      <c r="AU143" s="324">
        <v>0</v>
      </c>
      <c r="AV143" s="324">
        <v>0</v>
      </c>
      <c r="AW143" s="324">
        <v>0</v>
      </c>
      <c r="AX143" s="324">
        <v>0</v>
      </c>
      <c r="AY143" s="324">
        <v>0</v>
      </c>
      <c r="AZ143" s="324">
        <v>0</v>
      </c>
      <c r="BA143" s="329">
        <v>5.7494000000000003E-2</v>
      </c>
      <c r="BB143" s="329">
        <v>5.4075999999999999E-2</v>
      </c>
      <c r="BC143" s="329">
        <v>9.8576999999999998E-2</v>
      </c>
      <c r="BD143" s="329">
        <v>9.4392000000000004E-2</v>
      </c>
      <c r="BE143" s="329">
        <v>0.14156299999999999</v>
      </c>
      <c r="BF143" s="329">
        <v>0.21803700000000001</v>
      </c>
      <c r="BG143" s="329">
        <v>9.2310000000000003E-2</v>
      </c>
      <c r="BH143" s="329">
        <v>0.102449</v>
      </c>
      <c r="BI143" s="329">
        <v>8.9823E-2</v>
      </c>
      <c r="BJ143" s="329">
        <v>8.3882999999999999E-2</v>
      </c>
      <c r="BK143" s="329">
        <v>6.2966999999999995E-2</v>
      </c>
      <c r="BL143" s="329">
        <v>0.112118</v>
      </c>
      <c r="BM143" s="329">
        <v>4.709E-2</v>
      </c>
    </row>
    <row r="144" spans="3:65">
      <c r="C144" s="408" t="s">
        <v>397</v>
      </c>
      <c r="D144" s="329">
        <v>3.7033999999999997E-2</v>
      </c>
      <c r="E144" s="329">
        <v>3.1288999999999997E-2</v>
      </c>
      <c r="F144" s="329">
        <v>5.0062000000000002E-2</v>
      </c>
      <c r="G144" s="329">
        <v>3.8707999999999999E-2</v>
      </c>
      <c r="H144" s="329">
        <v>4.8028000000000001E-2</v>
      </c>
      <c r="I144" s="329">
        <v>5.636E-2</v>
      </c>
      <c r="J144" s="329">
        <v>5.6614999999999999E-2</v>
      </c>
      <c r="K144" s="329">
        <v>2.6387000000000001E-2</v>
      </c>
      <c r="L144" s="329">
        <v>2.6698E-2</v>
      </c>
      <c r="M144" s="329">
        <v>5.9755999999999997E-2</v>
      </c>
      <c r="N144" s="329">
        <v>4.7696000000000002E-2</v>
      </c>
      <c r="O144" s="329">
        <v>3.8795999999999997E-2</v>
      </c>
      <c r="P144" s="329">
        <v>4.2131000000000002E-2</v>
      </c>
      <c r="Q144" s="329">
        <v>7.0513999999999993E-2</v>
      </c>
      <c r="R144" s="329">
        <v>6.7268999999999995E-2</v>
      </c>
      <c r="S144" s="329">
        <v>4.7407999999999999E-2</v>
      </c>
      <c r="T144" s="329">
        <v>4.7024000000000003E-2</v>
      </c>
      <c r="U144" s="329">
        <v>4.9091000000000003E-2</v>
      </c>
      <c r="V144" s="329">
        <v>4.3076000000000003E-2</v>
      </c>
      <c r="W144" s="329">
        <v>4.7300000000000002E-2</v>
      </c>
      <c r="X144" s="329">
        <v>4.7650999999999999E-2</v>
      </c>
      <c r="Y144" s="329">
        <v>6.1926000000000002E-2</v>
      </c>
      <c r="Z144" s="329">
        <v>6.2531000000000003E-2</v>
      </c>
      <c r="AA144" s="329">
        <v>8.5054000000000005E-2</v>
      </c>
      <c r="AB144" s="329">
        <v>2.9593000000000001E-2</v>
      </c>
      <c r="AC144" s="329">
        <v>7.2099999999999997E-2</v>
      </c>
      <c r="AD144" s="329">
        <v>4.5921999999999998E-2</v>
      </c>
      <c r="AE144" s="52">
        <f>'User Add-in Location'!B150</f>
        <v>0</v>
      </c>
      <c r="AF144" s="52">
        <f>'User Add-in Location'!C150</f>
        <v>0</v>
      </c>
      <c r="AG144" s="329">
        <v>5.0793999999999999E-2</v>
      </c>
      <c r="AH144" s="329">
        <v>3.2578000000000003E-2</v>
      </c>
      <c r="AI144" s="329">
        <v>5.5287000000000003E-2</v>
      </c>
      <c r="AJ144" s="329">
        <v>6.3511999999999999E-2</v>
      </c>
      <c r="AK144" s="329">
        <v>3.4799999999999998E-2</v>
      </c>
      <c r="AL144" s="329">
        <v>4.9397000000000003E-2</v>
      </c>
      <c r="AM144" s="329">
        <v>4.2347000000000003E-2</v>
      </c>
      <c r="AN144" s="329">
        <v>5.0647999999999999E-2</v>
      </c>
      <c r="AO144" s="329">
        <v>5.0949000000000001E-2</v>
      </c>
      <c r="AP144" s="329">
        <v>4.4094000000000001E-2</v>
      </c>
      <c r="AQ144" s="329">
        <v>5.0626999999999998E-2</v>
      </c>
      <c r="AR144" s="329">
        <v>7.4949000000000002E-2</v>
      </c>
      <c r="AS144" s="324">
        <v>0</v>
      </c>
      <c r="AT144" s="324">
        <v>0</v>
      </c>
      <c r="AU144" s="324">
        <v>0</v>
      </c>
      <c r="AV144" s="324">
        <v>0</v>
      </c>
      <c r="AW144" s="324">
        <v>0</v>
      </c>
      <c r="AX144" s="324">
        <v>0</v>
      </c>
      <c r="AY144" s="324">
        <v>0</v>
      </c>
      <c r="AZ144" s="324">
        <v>0</v>
      </c>
      <c r="BA144" s="329">
        <v>3.7199999999999997E-2</v>
      </c>
      <c r="BB144" s="329">
        <v>3.2704999999999998E-2</v>
      </c>
      <c r="BC144" s="329">
        <v>5.0464000000000002E-2</v>
      </c>
      <c r="BD144" s="329">
        <v>5.4873999999999999E-2</v>
      </c>
      <c r="BE144" s="329">
        <v>7.0261000000000004E-2</v>
      </c>
      <c r="BF144" s="329">
        <v>0.122254</v>
      </c>
      <c r="BG144" s="329">
        <v>5.1172000000000002E-2</v>
      </c>
      <c r="BH144" s="329">
        <v>4.9017999999999999E-2</v>
      </c>
      <c r="BI144" s="329">
        <v>4.6469999999999997E-2</v>
      </c>
      <c r="BJ144" s="329">
        <v>4.3978000000000003E-2</v>
      </c>
      <c r="BK144" s="329">
        <v>2.9059000000000001E-2</v>
      </c>
      <c r="BL144" s="329">
        <v>5.9912E-2</v>
      </c>
      <c r="BM144" s="329">
        <v>1.7181999999999999E-2</v>
      </c>
    </row>
    <row r="145" spans="3:65">
      <c r="C145" s="408" t="s">
        <v>398</v>
      </c>
      <c r="D145" s="329">
        <v>7.8806000000000001E-2</v>
      </c>
      <c r="E145" s="329">
        <v>7.7894000000000005E-2</v>
      </c>
      <c r="F145" s="329">
        <v>0.119786</v>
      </c>
      <c r="G145" s="329">
        <v>8.0059000000000005E-2</v>
      </c>
      <c r="H145" s="329">
        <v>0.119756</v>
      </c>
      <c r="I145" s="329">
        <v>0.12587699999999999</v>
      </c>
      <c r="J145" s="329">
        <v>0.160742</v>
      </c>
      <c r="K145" s="329">
        <v>6.2054999999999999E-2</v>
      </c>
      <c r="L145" s="329">
        <v>6.0283999999999997E-2</v>
      </c>
      <c r="M145" s="329">
        <v>0.15206700000000001</v>
      </c>
      <c r="N145" s="329">
        <v>7.9825999999999994E-2</v>
      </c>
      <c r="O145" s="329">
        <v>9.6460000000000004E-2</v>
      </c>
      <c r="P145" s="329">
        <v>9.5960000000000004E-2</v>
      </c>
      <c r="Q145" s="329">
        <v>0.159661</v>
      </c>
      <c r="R145" s="329">
        <v>0.127996</v>
      </c>
      <c r="S145" s="329">
        <v>0.10042</v>
      </c>
      <c r="T145" s="329">
        <v>0.10348599999999999</v>
      </c>
      <c r="U145" s="329">
        <v>0.105645</v>
      </c>
      <c r="V145" s="329">
        <v>9.6555000000000002E-2</v>
      </c>
      <c r="W145" s="329">
        <v>0.12110799999999999</v>
      </c>
      <c r="X145" s="329">
        <v>0.13275000000000001</v>
      </c>
      <c r="Y145" s="329">
        <v>0.16220999999999999</v>
      </c>
      <c r="Z145" s="329">
        <v>0.15446499999999999</v>
      </c>
      <c r="AA145" s="329">
        <v>0.16935600000000001</v>
      </c>
      <c r="AB145" s="329">
        <v>6.9574999999999998E-2</v>
      </c>
      <c r="AC145" s="329">
        <v>0.158085</v>
      </c>
      <c r="AD145" s="329">
        <v>9.7776000000000002E-2</v>
      </c>
      <c r="AE145" s="52">
        <f>'User Add-in Location'!B151</f>
        <v>0</v>
      </c>
      <c r="AF145" s="52">
        <f>'User Add-in Location'!C151</f>
        <v>0</v>
      </c>
      <c r="AG145" s="329">
        <v>0.128056</v>
      </c>
      <c r="AH145" s="329">
        <v>7.5864000000000001E-2</v>
      </c>
      <c r="AI145" s="329">
        <v>0.165385</v>
      </c>
      <c r="AJ145" s="329">
        <v>0.17833599999999999</v>
      </c>
      <c r="AK145" s="329">
        <v>9.5777000000000001E-2</v>
      </c>
      <c r="AL145" s="329">
        <v>0.10488500000000001</v>
      </c>
      <c r="AM145" s="329">
        <v>7.9393000000000005E-2</v>
      </c>
      <c r="AN145" s="329">
        <v>0.102464</v>
      </c>
      <c r="AO145" s="329">
        <v>8.9646000000000003E-2</v>
      </c>
      <c r="AP145" s="329">
        <v>9.8821999999999993E-2</v>
      </c>
      <c r="AQ145" s="329">
        <v>0.125615</v>
      </c>
      <c r="AR145" s="329">
        <v>0.16347300000000001</v>
      </c>
      <c r="AS145" s="324">
        <v>0</v>
      </c>
      <c r="AT145" s="324">
        <v>0</v>
      </c>
      <c r="AU145" s="324">
        <v>0</v>
      </c>
      <c r="AV145" s="324">
        <v>0</v>
      </c>
      <c r="AW145" s="324">
        <v>0</v>
      </c>
      <c r="AX145" s="324">
        <v>0</v>
      </c>
      <c r="AY145" s="324">
        <v>0</v>
      </c>
      <c r="AZ145" s="324">
        <v>0</v>
      </c>
      <c r="BA145" s="329">
        <v>0.103274</v>
      </c>
      <c r="BB145" s="329">
        <v>9.1644000000000003E-2</v>
      </c>
      <c r="BC145" s="329">
        <v>7.2535000000000002E-2</v>
      </c>
      <c r="BD145" s="329">
        <v>0.11351899999999999</v>
      </c>
      <c r="BE145" s="329">
        <v>0.144701</v>
      </c>
      <c r="BF145" s="329">
        <v>0.24875800000000001</v>
      </c>
      <c r="BG145" s="329">
        <v>8.6588999999999999E-2</v>
      </c>
      <c r="BH145" s="329">
        <v>0.13672300000000001</v>
      </c>
      <c r="BI145" s="329">
        <v>0.124309</v>
      </c>
      <c r="BJ145" s="329">
        <v>0.109277</v>
      </c>
      <c r="BK145" s="329">
        <v>7.5125999999999998E-2</v>
      </c>
      <c r="BL145" s="329">
        <v>0.13795399999999999</v>
      </c>
      <c r="BM145" s="329">
        <v>3.3443000000000001E-2</v>
      </c>
    </row>
    <row r="146" spans="3:65">
      <c r="C146" s="408" t="s">
        <v>399</v>
      </c>
      <c r="D146" s="329">
        <v>0.10828400000000001</v>
      </c>
      <c r="E146" s="329">
        <v>0.12662699999999999</v>
      </c>
      <c r="F146" s="329">
        <v>0.136376</v>
      </c>
      <c r="G146" s="329">
        <v>0.12778700000000001</v>
      </c>
      <c r="H146" s="329">
        <v>0.141427</v>
      </c>
      <c r="I146" s="329">
        <v>0.15804199999999999</v>
      </c>
      <c r="J146" s="329">
        <v>0.15943199999999999</v>
      </c>
      <c r="K146" s="329">
        <v>0.117145</v>
      </c>
      <c r="L146" s="329">
        <v>7.8712000000000004E-2</v>
      </c>
      <c r="M146" s="329">
        <v>0.16653499999999999</v>
      </c>
      <c r="N146" s="329">
        <v>0.144537</v>
      </c>
      <c r="O146" s="329">
        <v>0.13038</v>
      </c>
      <c r="P146" s="329">
        <v>0.123919</v>
      </c>
      <c r="Q146" s="329">
        <v>0.19218499999999999</v>
      </c>
      <c r="R146" s="329">
        <v>0.13462199999999999</v>
      </c>
      <c r="S146" s="329">
        <v>0.13181100000000001</v>
      </c>
      <c r="T146" s="329">
        <v>0.11809799999999999</v>
      </c>
      <c r="U146" s="329">
        <v>0.12754599999999999</v>
      </c>
      <c r="V146" s="329">
        <v>0.129499</v>
      </c>
      <c r="W146" s="329">
        <v>0.14635500000000001</v>
      </c>
      <c r="X146" s="329">
        <v>0.14773700000000001</v>
      </c>
      <c r="Y146" s="329">
        <v>0.182589</v>
      </c>
      <c r="Z146" s="329">
        <v>0.184339</v>
      </c>
      <c r="AA146" s="329">
        <v>0.223077</v>
      </c>
      <c r="AB146" s="329">
        <v>0.101523</v>
      </c>
      <c r="AC146" s="329">
        <v>0.189218</v>
      </c>
      <c r="AD146" s="329">
        <v>0.12878200000000001</v>
      </c>
      <c r="AE146" s="52">
        <f>'User Add-in Location'!B152</f>
        <v>0</v>
      </c>
      <c r="AF146" s="52">
        <f>'User Add-in Location'!C152</f>
        <v>0</v>
      </c>
      <c r="AG146" s="329">
        <v>0.142069</v>
      </c>
      <c r="AH146" s="329">
        <v>0.123436</v>
      </c>
      <c r="AI146" s="329">
        <v>0.17236399999999999</v>
      </c>
      <c r="AJ146" s="329">
        <v>0.18860299999999999</v>
      </c>
      <c r="AK146" s="329">
        <v>0.12984799999999999</v>
      </c>
      <c r="AL146" s="329">
        <v>0.14038</v>
      </c>
      <c r="AM146" s="329">
        <v>0.116812</v>
      </c>
      <c r="AN146" s="329">
        <v>0.12973999999999999</v>
      </c>
      <c r="AO146" s="329">
        <v>0.15618599999999999</v>
      </c>
      <c r="AP146" s="329">
        <v>0.12843399999999999</v>
      </c>
      <c r="AQ146" s="329">
        <v>0.158641</v>
      </c>
      <c r="AR146" s="329">
        <v>0.20088900000000001</v>
      </c>
      <c r="AS146" s="324">
        <v>0</v>
      </c>
      <c r="AT146" s="324">
        <v>0</v>
      </c>
      <c r="AU146" s="324">
        <v>0</v>
      </c>
      <c r="AV146" s="324">
        <v>0</v>
      </c>
      <c r="AW146" s="324">
        <v>0</v>
      </c>
      <c r="AX146" s="324">
        <v>0</v>
      </c>
      <c r="AY146" s="324">
        <v>0</v>
      </c>
      <c r="AZ146" s="324">
        <v>0</v>
      </c>
      <c r="BA146" s="329">
        <v>0.11573700000000001</v>
      </c>
      <c r="BB146" s="329">
        <v>9.5949999999999994E-2</v>
      </c>
      <c r="BC146" s="329">
        <v>0.134633</v>
      </c>
      <c r="BD146" s="329">
        <v>0.14065800000000001</v>
      </c>
      <c r="BE146" s="329">
        <v>0.164518</v>
      </c>
      <c r="BF146" s="329">
        <v>0.296537</v>
      </c>
      <c r="BG146" s="329">
        <v>0.13474900000000001</v>
      </c>
      <c r="BH146" s="329">
        <v>0.166326</v>
      </c>
      <c r="BI146" s="329">
        <v>0.161775</v>
      </c>
      <c r="BJ146" s="329">
        <v>0.13156499999999999</v>
      </c>
      <c r="BK146" s="329">
        <v>9.5627000000000004E-2</v>
      </c>
      <c r="BL146" s="329">
        <v>0.16635900000000001</v>
      </c>
      <c r="BM146" s="329">
        <v>5.3272E-2</v>
      </c>
    </row>
    <row r="147" spans="3:65">
      <c r="C147" s="408" t="s">
        <v>400</v>
      </c>
      <c r="D147" s="329">
        <v>0.11347599999999999</v>
      </c>
      <c r="E147" s="329">
        <v>0.12026299999999999</v>
      </c>
      <c r="F147" s="329">
        <v>0.129834</v>
      </c>
      <c r="G147" s="329">
        <v>0.11809699999999999</v>
      </c>
      <c r="H147" s="329">
        <v>0.12639400000000001</v>
      </c>
      <c r="I147" s="329">
        <v>0.140206</v>
      </c>
      <c r="J147" s="329">
        <v>0.14861199999999999</v>
      </c>
      <c r="K147" s="329">
        <v>0.11995599999999999</v>
      </c>
      <c r="L147" s="329">
        <v>9.6314999999999998E-2</v>
      </c>
      <c r="M147" s="329">
        <v>0.15564600000000001</v>
      </c>
      <c r="N147" s="329">
        <v>0.13803299999999999</v>
      </c>
      <c r="O147" s="329">
        <v>0.131075</v>
      </c>
      <c r="P147" s="329">
        <v>0.116204</v>
      </c>
      <c r="Q147" s="329">
        <v>0.21141699999999999</v>
      </c>
      <c r="R147" s="329">
        <v>0.14479300000000001</v>
      </c>
      <c r="S147" s="329">
        <v>0.13822499999999999</v>
      </c>
      <c r="T147" s="329">
        <v>0.11556</v>
      </c>
      <c r="U147" s="329">
        <v>0.145012</v>
      </c>
      <c r="V147" s="329">
        <v>0.150676</v>
      </c>
      <c r="W147" s="329">
        <v>0.14107700000000001</v>
      </c>
      <c r="X147" s="329">
        <v>0.12529799999999999</v>
      </c>
      <c r="Y147" s="329">
        <v>0.14426900000000001</v>
      </c>
      <c r="Z147" s="329">
        <v>0.18778700000000001</v>
      </c>
      <c r="AA147" s="329">
        <v>0.206957</v>
      </c>
      <c r="AB147" s="329">
        <v>0.11057400000000001</v>
      </c>
      <c r="AC147" s="329">
        <v>0.19412199999999999</v>
      </c>
      <c r="AD147" s="329">
        <v>0.12973399999999999</v>
      </c>
      <c r="AE147" s="52">
        <f>'User Add-in Location'!B153</f>
        <v>0</v>
      </c>
      <c r="AF147" s="52">
        <f>'User Add-in Location'!C153</f>
        <v>0</v>
      </c>
      <c r="AG147" s="329">
        <v>0.152064</v>
      </c>
      <c r="AH147" s="329">
        <v>0.116134</v>
      </c>
      <c r="AI147" s="329">
        <v>0.15823100000000001</v>
      </c>
      <c r="AJ147" s="329">
        <v>0.172712</v>
      </c>
      <c r="AK147" s="329">
        <v>0.104589</v>
      </c>
      <c r="AL147" s="329">
        <v>0.15595400000000001</v>
      </c>
      <c r="AM147" s="329">
        <v>0.11051900000000001</v>
      </c>
      <c r="AN147" s="329">
        <v>0.13364999999999999</v>
      </c>
      <c r="AO147" s="329">
        <v>0.156194</v>
      </c>
      <c r="AP147" s="329">
        <v>0.134906</v>
      </c>
      <c r="AQ147" s="329">
        <v>0.151813</v>
      </c>
      <c r="AR147" s="329">
        <v>0.20860300000000001</v>
      </c>
      <c r="AS147" s="324">
        <v>0</v>
      </c>
      <c r="AT147" s="324">
        <v>0</v>
      </c>
      <c r="AU147" s="324">
        <v>0</v>
      </c>
      <c r="AV147" s="324">
        <v>0</v>
      </c>
      <c r="AW147" s="324">
        <v>0</v>
      </c>
      <c r="AX147" s="324">
        <v>0</v>
      </c>
      <c r="AY147" s="324">
        <v>0</v>
      </c>
      <c r="AZ147" s="324">
        <v>0</v>
      </c>
      <c r="BA147" s="329">
        <v>0.114219</v>
      </c>
      <c r="BB147" s="329">
        <v>9.6100000000000005E-2</v>
      </c>
      <c r="BC147" s="329">
        <v>0.136628</v>
      </c>
      <c r="BD147" s="329">
        <v>0.14469699999999999</v>
      </c>
      <c r="BE147" s="329">
        <v>0.16374</v>
      </c>
      <c r="BF147" s="329">
        <v>0.28164800000000001</v>
      </c>
      <c r="BG147" s="329">
        <v>0.137956</v>
      </c>
      <c r="BH147" s="329">
        <v>0.14697299999999999</v>
      </c>
      <c r="BI147" s="329">
        <v>0.13997399999999999</v>
      </c>
      <c r="BJ147" s="329">
        <v>0.12058199999999999</v>
      </c>
      <c r="BK147" s="329">
        <v>0.139374</v>
      </c>
      <c r="BL147" s="329">
        <v>0.16109999999999999</v>
      </c>
      <c r="BM147" s="329">
        <v>5.6103E-2</v>
      </c>
    </row>
    <row r="148" spans="3:65">
      <c r="C148" s="408" t="s">
        <v>401</v>
      </c>
      <c r="D148" s="329">
        <v>0.12578</v>
      </c>
      <c r="E148" s="329">
        <v>0.13460800000000001</v>
      </c>
      <c r="F148" s="329">
        <v>0.143064</v>
      </c>
      <c r="G148" s="329">
        <v>0.123705</v>
      </c>
      <c r="H148" s="329">
        <v>0.14577899999999999</v>
      </c>
      <c r="I148" s="329">
        <v>0.15956100000000001</v>
      </c>
      <c r="J148" s="329">
        <v>0.16137699999999999</v>
      </c>
      <c r="K148" s="329">
        <v>0.12948799999999999</v>
      </c>
      <c r="L148" s="329">
        <v>9.0986999999999998E-2</v>
      </c>
      <c r="M148" s="329">
        <v>0.167241</v>
      </c>
      <c r="N148" s="329">
        <v>0.14709</v>
      </c>
      <c r="O148" s="329">
        <v>0.13799</v>
      </c>
      <c r="P148" s="329">
        <v>0.13020399999999999</v>
      </c>
      <c r="Q148" s="329">
        <v>0.21310899999999999</v>
      </c>
      <c r="R148" s="329">
        <v>0.153366</v>
      </c>
      <c r="S148" s="329">
        <v>0.146789</v>
      </c>
      <c r="T148" s="329">
        <v>0.13120299999999999</v>
      </c>
      <c r="U148" s="329">
        <v>0.14679</v>
      </c>
      <c r="V148" s="329">
        <v>0.15518799999999999</v>
      </c>
      <c r="W148" s="329">
        <v>0.15686</v>
      </c>
      <c r="X148" s="329">
        <v>0.15040100000000001</v>
      </c>
      <c r="Y148" s="329">
        <v>0.17741599999999999</v>
      </c>
      <c r="Z148" s="329">
        <v>0.19972699999999999</v>
      </c>
      <c r="AA148" s="329">
        <v>0.226885</v>
      </c>
      <c r="AB148" s="329">
        <v>0.11368300000000001</v>
      </c>
      <c r="AC148" s="329">
        <v>0.208818</v>
      </c>
      <c r="AD148" s="329">
        <v>0.13902900000000001</v>
      </c>
      <c r="AE148" s="52">
        <f>'User Add-in Location'!B154</f>
        <v>0</v>
      </c>
      <c r="AF148" s="52">
        <f>'User Add-in Location'!C154</f>
        <v>0</v>
      </c>
      <c r="AG148" s="329">
        <v>0.15887699999999999</v>
      </c>
      <c r="AH148" s="329">
        <v>0.12461999999999999</v>
      </c>
      <c r="AI148" s="329">
        <v>0.183725</v>
      </c>
      <c r="AJ148" s="329">
        <v>0.187693</v>
      </c>
      <c r="AK148" s="329">
        <v>0.12850500000000001</v>
      </c>
      <c r="AL148" s="329">
        <v>0.15667800000000001</v>
      </c>
      <c r="AM148" s="329">
        <v>0.12366000000000001</v>
      </c>
      <c r="AN148" s="329">
        <v>0.14474300000000001</v>
      </c>
      <c r="AO148" s="329">
        <v>0.160916</v>
      </c>
      <c r="AP148" s="329">
        <v>0.13741800000000001</v>
      </c>
      <c r="AQ148" s="329">
        <v>0.16456699999999999</v>
      </c>
      <c r="AR148" s="329">
        <v>0.218306</v>
      </c>
      <c r="AS148" s="324">
        <v>0</v>
      </c>
      <c r="AT148" s="324">
        <v>0</v>
      </c>
      <c r="AU148" s="324">
        <v>0</v>
      </c>
      <c r="AV148" s="324">
        <v>0</v>
      </c>
      <c r="AW148" s="324">
        <v>0</v>
      </c>
      <c r="AX148" s="324">
        <v>0</v>
      </c>
      <c r="AY148" s="324">
        <v>0</v>
      </c>
      <c r="AZ148" s="324">
        <v>0</v>
      </c>
      <c r="BA148" s="329">
        <v>0.12034499999999999</v>
      </c>
      <c r="BB148" s="329">
        <v>0.10563699999999999</v>
      </c>
      <c r="BC148" s="329">
        <v>0.14404800000000001</v>
      </c>
      <c r="BD148" s="329">
        <v>0.146616</v>
      </c>
      <c r="BE148" s="329">
        <v>0.18223200000000001</v>
      </c>
      <c r="BF148" s="329">
        <v>0.31118000000000001</v>
      </c>
      <c r="BG148" s="329">
        <v>0.14695900000000001</v>
      </c>
      <c r="BH148" s="329">
        <v>0.16377</v>
      </c>
      <c r="BI148" s="329">
        <v>0.163716</v>
      </c>
      <c r="BJ148" s="329">
        <v>0.14304600000000001</v>
      </c>
      <c r="BK148" s="329">
        <v>0.12562699999999999</v>
      </c>
      <c r="BL148" s="329">
        <v>0.17263300000000001</v>
      </c>
      <c r="BM148" s="329">
        <v>5.7618000000000003E-2</v>
      </c>
    </row>
    <row r="149" spans="3:65">
      <c r="C149" s="408" t="s">
        <v>402</v>
      </c>
      <c r="D149" s="329">
        <v>0.10619000000000001</v>
      </c>
      <c r="E149" s="329">
        <v>0.11937</v>
      </c>
      <c r="F149" s="329">
        <v>0.127776</v>
      </c>
      <c r="G149" s="329">
        <v>0.112458</v>
      </c>
      <c r="H149" s="329">
        <v>0.12845999999999999</v>
      </c>
      <c r="I149" s="329">
        <v>0.13341500000000001</v>
      </c>
      <c r="J149" s="329">
        <v>0.14008300000000001</v>
      </c>
      <c r="K149" s="329">
        <v>0.103203</v>
      </c>
      <c r="L149" s="329">
        <v>6.1651999999999998E-2</v>
      </c>
      <c r="M149" s="329">
        <v>0.14693600000000001</v>
      </c>
      <c r="N149" s="329">
        <v>0.120786</v>
      </c>
      <c r="O149" s="329">
        <v>0.116151</v>
      </c>
      <c r="P149" s="329">
        <v>0.11897199999999999</v>
      </c>
      <c r="Q149" s="329">
        <v>0.176783</v>
      </c>
      <c r="R149" s="329">
        <v>0.147067</v>
      </c>
      <c r="S149" s="329">
        <v>0.13044</v>
      </c>
      <c r="T149" s="329">
        <v>0.114131</v>
      </c>
      <c r="U149" s="329">
        <v>0.12956400000000001</v>
      </c>
      <c r="V149" s="329">
        <v>0.12540399999999999</v>
      </c>
      <c r="W149" s="329">
        <v>0.14494099999999999</v>
      </c>
      <c r="X149" s="329">
        <v>0.140375</v>
      </c>
      <c r="Y149" s="329">
        <v>0.166598</v>
      </c>
      <c r="Z149" s="329">
        <v>0.167658</v>
      </c>
      <c r="AA149" s="329">
        <v>0.20280899999999999</v>
      </c>
      <c r="AB149" s="329">
        <v>9.9059999999999995E-2</v>
      </c>
      <c r="AC149" s="329">
        <v>0.17579500000000001</v>
      </c>
      <c r="AD149" s="329">
        <v>0.128889</v>
      </c>
      <c r="AE149" s="52">
        <f>'User Add-in Location'!B155</f>
        <v>0</v>
      </c>
      <c r="AF149" s="52">
        <f>'User Add-in Location'!C155</f>
        <v>0</v>
      </c>
      <c r="AG149" s="329">
        <v>0.13748299999999999</v>
      </c>
      <c r="AH149" s="329">
        <v>0.101606</v>
      </c>
      <c r="AI149" s="329">
        <v>0.175487</v>
      </c>
      <c r="AJ149" s="329">
        <v>0.17135700000000001</v>
      </c>
      <c r="AK149" s="329">
        <v>0.113464</v>
      </c>
      <c r="AL149" s="329">
        <v>0.126695</v>
      </c>
      <c r="AM149" s="329">
        <v>0.114132</v>
      </c>
      <c r="AN149" s="329">
        <v>0.125166</v>
      </c>
      <c r="AO149" s="329">
        <v>0.14452400000000001</v>
      </c>
      <c r="AP149" s="329">
        <v>0.12210500000000001</v>
      </c>
      <c r="AQ149" s="329">
        <v>0.152228</v>
      </c>
      <c r="AR149" s="329">
        <v>0.19348599999999999</v>
      </c>
      <c r="AS149" s="324">
        <v>0</v>
      </c>
      <c r="AT149" s="324">
        <v>0</v>
      </c>
      <c r="AU149" s="324">
        <v>0</v>
      </c>
      <c r="AV149" s="324">
        <v>0</v>
      </c>
      <c r="AW149" s="324">
        <v>0</v>
      </c>
      <c r="AX149" s="324">
        <v>0</v>
      </c>
      <c r="AY149" s="324">
        <v>0</v>
      </c>
      <c r="AZ149" s="324">
        <v>0</v>
      </c>
      <c r="BA149" s="329">
        <v>0.112841</v>
      </c>
      <c r="BB149" s="329">
        <v>8.8530999999999999E-2</v>
      </c>
      <c r="BC149" s="329">
        <v>0.13661999999999999</v>
      </c>
      <c r="BD149" s="329">
        <v>0.13504099999999999</v>
      </c>
      <c r="BE149" s="329">
        <v>0.155084</v>
      </c>
      <c r="BF149" s="329">
        <v>0.274254</v>
      </c>
      <c r="BG149" s="329">
        <v>0.12746399999999999</v>
      </c>
      <c r="BH149" s="329">
        <v>0.16225800000000001</v>
      </c>
      <c r="BI149" s="329">
        <v>0.143368</v>
      </c>
      <c r="BJ149" s="329">
        <v>0.122985</v>
      </c>
      <c r="BK149" s="329">
        <v>0.10159799999999999</v>
      </c>
      <c r="BL149" s="329">
        <v>0.153639</v>
      </c>
      <c r="BM149" s="329">
        <v>4.9716999999999997E-2</v>
      </c>
    </row>
    <row r="150" spans="3:65">
      <c r="C150" s="408" t="s">
        <v>403</v>
      </c>
      <c r="D150" s="329">
        <v>0.117594</v>
      </c>
      <c r="E150" s="329">
        <v>0.16839299999999999</v>
      </c>
      <c r="F150" s="329">
        <v>0.154305</v>
      </c>
      <c r="G150" s="329">
        <v>0.156113</v>
      </c>
      <c r="H150" s="329">
        <v>0.17385999999999999</v>
      </c>
      <c r="I150" s="329">
        <v>0.18521099999999999</v>
      </c>
      <c r="J150" s="329">
        <v>0.14918000000000001</v>
      </c>
      <c r="K150" s="329">
        <v>0.146262</v>
      </c>
      <c r="L150" s="329">
        <v>6.6817000000000001E-2</v>
      </c>
      <c r="M150" s="329">
        <v>0.19372600000000001</v>
      </c>
      <c r="N150" s="329">
        <v>0.178505</v>
      </c>
      <c r="O150" s="329">
        <v>0.16312199999999999</v>
      </c>
      <c r="P150" s="329">
        <v>0.15507899999999999</v>
      </c>
      <c r="Q150" s="329">
        <v>0.24937400000000001</v>
      </c>
      <c r="R150" s="329">
        <v>0.18140400000000001</v>
      </c>
      <c r="S150" s="329">
        <v>0.168935</v>
      </c>
      <c r="T150" s="329">
        <v>0.15360699999999999</v>
      </c>
      <c r="U150" s="329">
        <v>0.16660900000000001</v>
      </c>
      <c r="V150" s="329">
        <v>0.180229</v>
      </c>
      <c r="W150" s="329">
        <v>0.205958</v>
      </c>
      <c r="X150" s="329">
        <v>0.14439199999999999</v>
      </c>
      <c r="Y150" s="329">
        <v>0.15842800000000001</v>
      </c>
      <c r="Z150" s="329">
        <v>0.225025</v>
      </c>
      <c r="AA150" s="329">
        <v>0.25228</v>
      </c>
      <c r="AB150" s="329">
        <v>0.15037400000000001</v>
      </c>
      <c r="AC150" s="329">
        <v>0.23227999999999999</v>
      </c>
      <c r="AD150" s="329">
        <v>0.17616499999999999</v>
      </c>
      <c r="AE150" s="52">
        <f>'User Add-in Location'!B156</f>
        <v>0</v>
      </c>
      <c r="AF150" s="52">
        <f>'User Add-in Location'!C156</f>
        <v>0</v>
      </c>
      <c r="AG150" s="329">
        <v>0.190807</v>
      </c>
      <c r="AH150" s="329">
        <v>0.162659</v>
      </c>
      <c r="AI150" s="329">
        <v>0.1719</v>
      </c>
      <c r="AJ150" s="329">
        <v>0.221909</v>
      </c>
      <c r="AK150" s="329">
        <v>0.106239</v>
      </c>
      <c r="AL150" s="329">
        <v>0.17522399999999999</v>
      </c>
      <c r="AM150" s="329">
        <v>0.154636</v>
      </c>
      <c r="AN150" s="329">
        <v>0.16553100000000001</v>
      </c>
      <c r="AO150" s="329">
        <v>0.18774399999999999</v>
      </c>
      <c r="AP150" s="329">
        <v>0.143899</v>
      </c>
      <c r="AQ150" s="329">
        <v>0.196545</v>
      </c>
      <c r="AR150" s="329">
        <v>0.231207</v>
      </c>
      <c r="AS150" s="324">
        <v>0</v>
      </c>
      <c r="AT150" s="324">
        <v>0</v>
      </c>
      <c r="AU150" s="324">
        <v>0</v>
      </c>
      <c r="AV150" s="324">
        <v>0</v>
      </c>
      <c r="AW150" s="324">
        <v>0</v>
      </c>
      <c r="AX150" s="324">
        <v>0</v>
      </c>
      <c r="AY150" s="324">
        <v>0</v>
      </c>
      <c r="AZ150" s="324">
        <v>0</v>
      </c>
      <c r="BA150" s="329">
        <v>0.134852</v>
      </c>
      <c r="BB150" s="329">
        <v>0.13192899999999999</v>
      </c>
      <c r="BC150" s="329">
        <v>0.17385600000000001</v>
      </c>
      <c r="BD150" s="329">
        <v>0.16630400000000001</v>
      </c>
      <c r="BE150" s="329">
        <v>0.200104</v>
      </c>
      <c r="BF150" s="329">
        <v>0.32239499999999999</v>
      </c>
      <c r="BG150" s="329">
        <v>0.166015</v>
      </c>
      <c r="BH150" s="329">
        <v>0.235762</v>
      </c>
      <c r="BI150" s="329">
        <v>0.18460699999999999</v>
      </c>
      <c r="BJ150" s="329">
        <v>0.167877</v>
      </c>
      <c r="BK150" s="329">
        <v>0.133795</v>
      </c>
      <c r="BL150" s="329">
        <v>0.21220700000000001</v>
      </c>
      <c r="BM150" s="329">
        <v>7.8480999999999995E-2</v>
      </c>
    </row>
    <row r="151" spans="3:65">
      <c r="C151" s="408" t="s">
        <v>404</v>
      </c>
      <c r="D151" s="329">
        <v>7.2539000000000006E-2</v>
      </c>
      <c r="E151" s="329">
        <v>8.5188E-2</v>
      </c>
      <c r="F151" s="329">
        <v>9.8611000000000004E-2</v>
      </c>
      <c r="G151" s="329">
        <v>6.4840999999999996E-2</v>
      </c>
      <c r="H151" s="329">
        <v>0.116588</v>
      </c>
      <c r="I151" s="329">
        <v>0.10661</v>
      </c>
      <c r="J151" s="329">
        <v>0.103764</v>
      </c>
      <c r="K151" s="329">
        <v>5.8841999999999998E-2</v>
      </c>
      <c r="L151" s="329">
        <v>3.0299E-2</v>
      </c>
      <c r="M151" s="329">
        <v>0.115469</v>
      </c>
      <c r="N151" s="329">
        <v>9.4538999999999998E-2</v>
      </c>
      <c r="O151" s="329">
        <v>5.2333999999999999E-2</v>
      </c>
      <c r="P151" s="329">
        <v>9.2427999999999996E-2</v>
      </c>
      <c r="Q151" s="329">
        <v>0.12745600000000001</v>
      </c>
      <c r="R151" s="329">
        <v>9.6851000000000007E-2</v>
      </c>
      <c r="S151" s="329">
        <v>9.9081000000000002E-2</v>
      </c>
      <c r="T151" s="329">
        <v>7.1215000000000001E-2</v>
      </c>
      <c r="U151" s="329">
        <v>7.4231000000000005E-2</v>
      </c>
      <c r="V151" s="329">
        <v>7.3757000000000003E-2</v>
      </c>
      <c r="W151" s="329">
        <v>8.1877000000000005E-2</v>
      </c>
      <c r="X151" s="329">
        <v>9.5528000000000002E-2</v>
      </c>
      <c r="Y151" s="329">
        <v>0.12601799999999999</v>
      </c>
      <c r="Z151" s="329">
        <v>0.13032199999999999</v>
      </c>
      <c r="AA151" s="329">
        <v>0.159002</v>
      </c>
      <c r="AB151" s="329">
        <v>5.4734999999999999E-2</v>
      </c>
      <c r="AC151" s="329">
        <v>0.10888399999999999</v>
      </c>
      <c r="AD151" s="329">
        <v>9.6914E-2</v>
      </c>
      <c r="AE151" s="52">
        <f>'User Add-in Location'!B157</f>
        <v>0</v>
      </c>
      <c r="AF151" s="52">
        <f>'User Add-in Location'!C157</f>
        <v>0</v>
      </c>
      <c r="AG151" s="329">
        <v>0.10616200000000001</v>
      </c>
      <c r="AH151" s="329">
        <v>6.5111000000000002E-2</v>
      </c>
      <c r="AI151" s="329">
        <v>0.139512</v>
      </c>
      <c r="AJ151" s="329">
        <v>0.12634500000000001</v>
      </c>
      <c r="AK151" s="329">
        <v>9.2386999999999997E-2</v>
      </c>
      <c r="AL151" s="329">
        <v>0.10469299999999999</v>
      </c>
      <c r="AM151" s="329">
        <v>7.2755E-2</v>
      </c>
      <c r="AN151" s="329">
        <v>9.1883000000000006E-2</v>
      </c>
      <c r="AO151" s="329">
        <v>0.102524</v>
      </c>
      <c r="AP151" s="329">
        <v>9.2043E-2</v>
      </c>
      <c r="AQ151" s="329">
        <v>0.102075</v>
      </c>
      <c r="AR151" s="329">
        <v>0.14313200000000001</v>
      </c>
      <c r="AS151" s="324">
        <v>0</v>
      </c>
      <c r="AT151" s="324">
        <v>0</v>
      </c>
      <c r="AU151" s="324">
        <v>0</v>
      </c>
      <c r="AV151" s="324">
        <v>0</v>
      </c>
      <c r="AW151" s="324">
        <v>0</v>
      </c>
      <c r="AX151" s="324">
        <v>0</v>
      </c>
      <c r="AY151" s="324">
        <v>0</v>
      </c>
      <c r="AZ151" s="324">
        <v>0</v>
      </c>
      <c r="BA151" s="329">
        <v>7.8886999999999999E-2</v>
      </c>
      <c r="BB151" s="329">
        <v>4.4609999999999997E-2</v>
      </c>
      <c r="BC151" s="329">
        <v>8.4758E-2</v>
      </c>
      <c r="BD151" s="329">
        <v>8.3739999999999995E-2</v>
      </c>
      <c r="BE151" s="329">
        <v>0.114855</v>
      </c>
      <c r="BF151" s="329">
        <v>0.229601</v>
      </c>
      <c r="BG151" s="329">
        <v>0.100992</v>
      </c>
      <c r="BH151" s="329">
        <v>0.12554499999999999</v>
      </c>
      <c r="BI151" s="329">
        <v>0.10563599999999999</v>
      </c>
      <c r="BJ151" s="329">
        <v>8.8267999999999999E-2</v>
      </c>
      <c r="BK151" s="329">
        <v>5.5375000000000001E-2</v>
      </c>
      <c r="BL151" s="329">
        <v>0.114567</v>
      </c>
      <c r="BM151" s="329">
        <v>0</v>
      </c>
    </row>
    <row r="152" spans="3:65">
      <c r="C152" s="349"/>
      <c r="D152" s="321"/>
      <c r="E152" s="321"/>
      <c r="F152" s="321"/>
      <c r="G152" s="321"/>
      <c r="H152" s="321"/>
      <c r="I152" s="321"/>
      <c r="J152" s="321"/>
      <c r="K152" s="321"/>
      <c r="L152" s="321"/>
      <c r="M152" s="321"/>
      <c r="N152" s="321"/>
      <c r="O152" s="321"/>
      <c r="P152" s="321"/>
      <c r="Q152" s="321"/>
      <c r="R152" s="321"/>
      <c r="S152" s="321"/>
      <c r="T152" s="321"/>
      <c r="U152" s="321"/>
      <c r="V152" s="321"/>
      <c r="W152" s="321"/>
      <c r="X152" s="321"/>
      <c r="Y152" s="321"/>
      <c r="Z152" s="321"/>
      <c r="AA152" s="321"/>
      <c r="AB152" s="321"/>
      <c r="AC152" s="321"/>
      <c r="AD152" s="321"/>
      <c r="AG152" s="321"/>
      <c r="AH152" s="321"/>
      <c r="AI152" s="321"/>
      <c r="AJ152" s="321"/>
      <c r="AK152" s="321"/>
      <c r="AL152" s="321"/>
      <c r="AM152" s="321"/>
      <c r="AN152" s="321"/>
      <c r="AO152" s="321"/>
      <c r="AP152" s="321"/>
      <c r="AQ152" s="321"/>
      <c r="AR152" s="321"/>
      <c r="AS152" s="324"/>
      <c r="AT152" s="324"/>
      <c r="AU152" s="324"/>
      <c r="AV152" s="324"/>
      <c r="AW152" s="324"/>
      <c r="AX152" s="324"/>
      <c r="AY152" s="324"/>
      <c r="AZ152" s="324"/>
      <c r="BA152" s="321"/>
      <c r="BB152" s="321"/>
      <c r="BC152" s="321"/>
      <c r="BD152" s="321"/>
      <c r="BE152" s="321"/>
      <c r="BF152" s="321"/>
      <c r="BG152" s="321"/>
      <c r="BH152" s="321"/>
      <c r="BI152" s="321"/>
      <c r="BJ152" s="321"/>
      <c r="BK152" s="321"/>
      <c r="BL152" s="321"/>
      <c r="BM152" s="321"/>
    </row>
    <row r="153" spans="3:65" ht="12" customHeight="1">
      <c r="C153" s="330" t="s">
        <v>411</v>
      </c>
      <c r="D153" s="321"/>
      <c r="E153" s="321"/>
      <c r="F153" s="321"/>
      <c r="G153" s="321"/>
      <c r="H153" s="321"/>
      <c r="I153" s="321"/>
      <c r="J153" s="321"/>
      <c r="K153" s="321"/>
      <c r="L153" s="321"/>
      <c r="M153" s="321"/>
      <c r="N153" s="321"/>
      <c r="O153" s="321"/>
      <c r="P153" s="321"/>
      <c r="Q153" s="321"/>
      <c r="R153" s="321"/>
      <c r="S153" s="321"/>
      <c r="T153" s="321"/>
      <c r="U153" s="321"/>
      <c r="V153" s="321"/>
      <c r="W153" s="321"/>
      <c r="X153" s="321"/>
      <c r="Y153" s="321"/>
      <c r="Z153" s="321"/>
      <c r="AA153" s="321"/>
      <c r="AB153" s="321"/>
      <c r="AC153" s="321"/>
      <c r="AD153" s="321"/>
      <c r="AG153" s="321"/>
      <c r="AH153" s="321"/>
      <c r="AI153" s="321"/>
      <c r="AJ153" s="321"/>
      <c r="AK153" s="321"/>
      <c r="AL153" s="321"/>
      <c r="AM153" s="321"/>
      <c r="AN153" s="321"/>
      <c r="AO153" s="321"/>
      <c r="AP153" s="321"/>
      <c r="AQ153" s="321"/>
      <c r="AR153" s="321"/>
      <c r="AS153" s="324"/>
      <c r="AT153" s="324"/>
      <c r="AU153" s="324"/>
      <c r="AV153" s="324"/>
      <c r="AW153" s="324"/>
      <c r="AX153" s="324"/>
      <c r="AY153" s="324"/>
      <c r="AZ153" s="324"/>
      <c r="BA153" s="321"/>
      <c r="BB153" s="321"/>
      <c r="BC153" s="321"/>
      <c r="BD153" s="321"/>
      <c r="BE153" s="321"/>
      <c r="BF153" s="321"/>
      <c r="BG153" s="321"/>
      <c r="BH153" s="321"/>
      <c r="BI153" s="321"/>
      <c r="BJ153" s="321"/>
      <c r="BK153" s="321"/>
      <c r="BL153" s="321"/>
      <c r="BM153" s="321"/>
    </row>
    <row r="154" spans="3:65">
      <c r="C154" s="352" t="s">
        <v>412</v>
      </c>
      <c r="D154" s="52" t="s">
        <v>219</v>
      </c>
      <c r="E154" s="52" t="s">
        <v>222</v>
      </c>
      <c r="F154" s="52" t="s">
        <v>231</v>
      </c>
      <c r="G154" s="52" t="s">
        <v>221</v>
      </c>
      <c r="H154" s="52" t="s">
        <v>223</v>
      </c>
      <c r="I154" s="52" t="s">
        <v>240</v>
      </c>
      <c r="J154" s="52" t="s">
        <v>216</v>
      </c>
      <c r="K154" s="52" t="s">
        <v>217</v>
      </c>
      <c r="L154" s="52" t="s">
        <v>218</v>
      </c>
      <c r="M154" s="52" t="s">
        <v>228</v>
      </c>
      <c r="N154" s="52" t="s">
        <v>237</v>
      </c>
      <c r="O154" s="52" t="s">
        <v>232</v>
      </c>
      <c r="P154" s="52" t="s">
        <v>248</v>
      </c>
      <c r="Q154" s="52" t="s">
        <v>220</v>
      </c>
      <c r="R154" s="52" t="s">
        <v>229</v>
      </c>
      <c r="S154" s="52" t="s">
        <v>238</v>
      </c>
      <c r="T154" s="52" t="s">
        <v>254</v>
      </c>
      <c r="U154" s="52" t="s">
        <v>245</v>
      </c>
      <c r="V154" s="52" t="s">
        <v>230</v>
      </c>
      <c r="W154" s="52" t="s">
        <v>225</v>
      </c>
      <c r="X154" s="52" t="s">
        <v>227</v>
      </c>
      <c r="Y154" s="52" t="s">
        <v>234</v>
      </c>
      <c r="Z154" s="52" t="s">
        <v>246</v>
      </c>
      <c r="AA154" s="52" t="s">
        <v>252</v>
      </c>
      <c r="AB154" s="52" t="s">
        <v>251</v>
      </c>
      <c r="AC154" s="52" t="s">
        <v>239</v>
      </c>
      <c r="AD154" s="52" t="s">
        <v>260</v>
      </c>
      <c r="AE154" s="52" t="s">
        <v>381</v>
      </c>
      <c r="AF154" s="52" t="s">
        <v>382</v>
      </c>
      <c r="AG154" s="52" t="s">
        <v>264</v>
      </c>
      <c r="AH154" s="52" t="s">
        <v>266</v>
      </c>
      <c r="AI154" s="52" t="s">
        <v>242</v>
      </c>
      <c r="AJ154" s="52" t="s">
        <v>489</v>
      </c>
      <c r="AK154" s="52" t="s">
        <v>247</v>
      </c>
      <c r="AL154" s="52" t="s">
        <v>250</v>
      </c>
      <c r="AM154" s="52" t="s">
        <v>236</v>
      </c>
      <c r="AN154" s="52" t="s">
        <v>268</v>
      </c>
      <c r="AO154" s="52" t="s">
        <v>258</v>
      </c>
      <c r="AP154" s="52" t="s">
        <v>253</v>
      </c>
      <c r="AQ154" s="52" t="s">
        <v>270</v>
      </c>
      <c r="AR154" s="52" t="s">
        <v>235</v>
      </c>
      <c r="AS154" s="407" t="s">
        <v>207</v>
      </c>
      <c r="AT154" s="407" t="s">
        <v>208</v>
      </c>
      <c r="AU154" s="407" t="s">
        <v>209</v>
      </c>
      <c r="AV154" s="407" t="s">
        <v>210</v>
      </c>
      <c r="AW154" s="407" t="s">
        <v>211</v>
      </c>
      <c r="AX154" s="407" t="s">
        <v>212</v>
      </c>
      <c r="AY154" s="407" t="s">
        <v>213</v>
      </c>
      <c r="AZ154" s="407" t="s">
        <v>214</v>
      </c>
      <c r="BA154" s="52" t="s">
        <v>256</v>
      </c>
      <c r="BB154" s="52" t="s">
        <v>490</v>
      </c>
      <c r="BC154" s="52" t="s">
        <v>272</v>
      </c>
      <c r="BD154" s="52" t="s">
        <v>491</v>
      </c>
      <c r="BE154" s="52" t="s">
        <v>492</v>
      </c>
      <c r="BF154" s="321" t="s">
        <v>604</v>
      </c>
      <c r="BG154" s="52" t="s">
        <v>274</v>
      </c>
      <c r="BH154" s="52" t="s">
        <v>262</v>
      </c>
      <c r="BI154" s="52" t="s">
        <v>244</v>
      </c>
      <c r="BJ154" s="52" t="s">
        <v>275</v>
      </c>
      <c r="BK154" s="52" t="s">
        <v>243</v>
      </c>
      <c r="BL154" s="52" t="s">
        <v>263</v>
      </c>
      <c r="BM154" s="52" t="s">
        <v>493</v>
      </c>
    </row>
    <row r="155" spans="3:65">
      <c r="C155" s="408" t="s">
        <v>383</v>
      </c>
      <c r="D155" s="329">
        <v>1</v>
      </c>
      <c r="E155" s="329">
        <v>1</v>
      </c>
      <c r="F155" s="329">
        <v>1</v>
      </c>
      <c r="G155" s="329">
        <v>1</v>
      </c>
      <c r="H155" s="329">
        <v>1</v>
      </c>
      <c r="I155" s="329">
        <v>1</v>
      </c>
      <c r="J155" s="329">
        <v>1</v>
      </c>
      <c r="K155" s="329">
        <v>1</v>
      </c>
      <c r="L155" s="329">
        <v>1</v>
      </c>
      <c r="M155" s="329">
        <v>1</v>
      </c>
      <c r="N155" s="329">
        <v>1</v>
      </c>
      <c r="O155" s="329">
        <v>1</v>
      </c>
      <c r="P155" s="329">
        <v>1</v>
      </c>
      <c r="Q155" s="329">
        <v>1</v>
      </c>
      <c r="R155" s="329">
        <v>1</v>
      </c>
      <c r="S155" s="329">
        <v>1</v>
      </c>
      <c r="T155" s="329">
        <v>1</v>
      </c>
      <c r="U155" s="329">
        <v>1</v>
      </c>
      <c r="V155" s="329">
        <v>1</v>
      </c>
      <c r="W155" s="329">
        <v>1</v>
      </c>
      <c r="X155" s="329">
        <v>1</v>
      </c>
      <c r="Y155" s="329">
        <v>1</v>
      </c>
      <c r="Z155" s="329">
        <v>1</v>
      </c>
      <c r="AA155" s="329">
        <v>1</v>
      </c>
      <c r="AB155" s="329">
        <v>1</v>
      </c>
      <c r="AC155" s="329">
        <v>1</v>
      </c>
      <c r="AD155" s="329">
        <v>1</v>
      </c>
      <c r="AE155" s="52">
        <f>'User Add-in Location'!B161</f>
        <v>0</v>
      </c>
      <c r="AF155" s="52">
        <f>'User Add-in Location'!C161</f>
        <v>0</v>
      </c>
      <c r="AG155" s="329">
        <v>1</v>
      </c>
      <c r="AH155" s="329">
        <v>1</v>
      </c>
      <c r="AI155" s="329">
        <v>1</v>
      </c>
      <c r="AJ155" s="329">
        <v>1</v>
      </c>
      <c r="AK155" s="329">
        <v>1</v>
      </c>
      <c r="AL155" s="329">
        <v>1</v>
      </c>
      <c r="AM155" s="329">
        <v>1</v>
      </c>
      <c r="AN155" s="329">
        <v>1</v>
      </c>
      <c r="AO155" s="329">
        <v>1</v>
      </c>
      <c r="AP155" s="329">
        <v>1</v>
      </c>
      <c r="AQ155" s="329">
        <v>1</v>
      </c>
      <c r="AR155" s="329">
        <v>1</v>
      </c>
      <c r="AS155" s="324">
        <v>0</v>
      </c>
      <c r="AT155" s="324">
        <v>0</v>
      </c>
      <c r="AU155" s="324">
        <v>0</v>
      </c>
      <c r="AV155" s="324">
        <v>0</v>
      </c>
      <c r="AW155" s="324">
        <v>0</v>
      </c>
      <c r="AX155" s="324">
        <v>0</v>
      </c>
      <c r="AY155" s="324">
        <v>0</v>
      </c>
      <c r="AZ155" s="324">
        <v>0</v>
      </c>
      <c r="BA155" s="329">
        <v>1</v>
      </c>
      <c r="BB155" s="329">
        <v>1</v>
      </c>
      <c r="BC155" s="329">
        <v>1</v>
      </c>
      <c r="BD155" s="329">
        <v>1</v>
      </c>
      <c r="BE155" s="329">
        <v>1</v>
      </c>
      <c r="BF155" s="329">
        <v>1</v>
      </c>
      <c r="BG155" s="329">
        <v>1</v>
      </c>
      <c r="BH155" s="329">
        <v>1</v>
      </c>
      <c r="BI155" s="329">
        <v>1</v>
      </c>
      <c r="BJ155" s="329">
        <v>1</v>
      </c>
      <c r="BK155" s="329">
        <v>1</v>
      </c>
      <c r="BL155" s="329">
        <v>1</v>
      </c>
      <c r="BM155" s="329">
        <v>1</v>
      </c>
    </row>
    <row r="156" spans="3:65">
      <c r="C156" s="408" t="s">
        <v>384</v>
      </c>
      <c r="D156" s="329">
        <v>1</v>
      </c>
      <c r="E156" s="329">
        <v>1</v>
      </c>
      <c r="F156" s="329">
        <v>1</v>
      </c>
      <c r="G156" s="329">
        <v>1</v>
      </c>
      <c r="H156" s="329">
        <v>1</v>
      </c>
      <c r="I156" s="329">
        <v>1</v>
      </c>
      <c r="J156" s="329">
        <v>1</v>
      </c>
      <c r="K156" s="329">
        <v>1</v>
      </c>
      <c r="L156" s="329">
        <v>1</v>
      </c>
      <c r="M156" s="329">
        <v>1</v>
      </c>
      <c r="N156" s="329">
        <v>1</v>
      </c>
      <c r="O156" s="329">
        <v>1</v>
      </c>
      <c r="P156" s="329">
        <v>1</v>
      </c>
      <c r="Q156" s="329">
        <v>1</v>
      </c>
      <c r="R156" s="329">
        <v>1</v>
      </c>
      <c r="S156" s="329">
        <v>1</v>
      </c>
      <c r="T156" s="329">
        <v>1</v>
      </c>
      <c r="U156" s="329">
        <v>1</v>
      </c>
      <c r="V156" s="329">
        <v>1</v>
      </c>
      <c r="W156" s="329">
        <v>1</v>
      </c>
      <c r="X156" s="329">
        <v>1</v>
      </c>
      <c r="Y156" s="329">
        <v>1</v>
      </c>
      <c r="Z156" s="329">
        <v>1</v>
      </c>
      <c r="AA156" s="329">
        <v>1</v>
      </c>
      <c r="AB156" s="329">
        <v>1</v>
      </c>
      <c r="AC156" s="329">
        <v>1</v>
      </c>
      <c r="AD156" s="329">
        <v>1</v>
      </c>
      <c r="AE156" s="52">
        <f>'User Add-in Location'!B162</f>
        <v>0</v>
      </c>
      <c r="AF156" s="52">
        <f>'User Add-in Location'!C162</f>
        <v>0</v>
      </c>
      <c r="AG156" s="329">
        <v>1</v>
      </c>
      <c r="AH156" s="329">
        <v>1</v>
      </c>
      <c r="AI156" s="329">
        <v>1</v>
      </c>
      <c r="AJ156" s="329">
        <v>1</v>
      </c>
      <c r="AK156" s="329">
        <v>1</v>
      </c>
      <c r="AL156" s="329">
        <v>1</v>
      </c>
      <c r="AM156" s="329">
        <v>1</v>
      </c>
      <c r="AN156" s="329">
        <v>1</v>
      </c>
      <c r="AO156" s="329">
        <v>1</v>
      </c>
      <c r="AP156" s="329">
        <v>1</v>
      </c>
      <c r="AQ156" s="329">
        <v>1</v>
      </c>
      <c r="AR156" s="329">
        <v>1</v>
      </c>
      <c r="AS156" s="324">
        <v>0</v>
      </c>
      <c r="AT156" s="324">
        <v>0</v>
      </c>
      <c r="AU156" s="324">
        <v>0</v>
      </c>
      <c r="AV156" s="324">
        <v>0</v>
      </c>
      <c r="AW156" s="324">
        <v>0</v>
      </c>
      <c r="AX156" s="324">
        <v>0</v>
      </c>
      <c r="AY156" s="324">
        <v>0</v>
      </c>
      <c r="AZ156" s="324">
        <v>0</v>
      </c>
      <c r="BA156" s="329">
        <v>1</v>
      </c>
      <c r="BB156" s="329">
        <v>1</v>
      </c>
      <c r="BC156" s="329">
        <v>1</v>
      </c>
      <c r="BD156" s="329">
        <v>1</v>
      </c>
      <c r="BE156" s="329">
        <v>1</v>
      </c>
      <c r="BF156" s="329">
        <v>1</v>
      </c>
      <c r="BG156" s="329">
        <v>1</v>
      </c>
      <c r="BH156" s="329">
        <v>1</v>
      </c>
      <c r="BI156" s="329">
        <v>1</v>
      </c>
      <c r="BJ156" s="329">
        <v>1</v>
      </c>
      <c r="BK156" s="329">
        <v>1</v>
      </c>
      <c r="BL156" s="329">
        <v>1</v>
      </c>
      <c r="BM156" s="329">
        <v>1</v>
      </c>
    </row>
    <row r="157" spans="3:65">
      <c r="C157" s="408" t="s">
        <v>385</v>
      </c>
      <c r="D157" s="329">
        <v>1</v>
      </c>
      <c r="E157" s="329">
        <v>1</v>
      </c>
      <c r="F157" s="329">
        <v>1</v>
      </c>
      <c r="G157" s="329">
        <v>1</v>
      </c>
      <c r="H157" s="329">
        <v>1</v>
      </c>
      <c r="I157" s="329">
        <v>1</v>
      </c>
      <c r="J157" s="329">
        <v>1</v>
      </c>
      <c r="K157" s="329">
        <v>1</v>
      </c>
      <c r="L157" s="329">
        <v>1</v>
      </c>
      <c r="M157" s="329">
        <v>1</v>
      </c>
      <c r="N157" s="329">
        <v>1</v>
      </c>
      <c r="O157" s="329">
        <v>1</v>
      </c>
      <c r="P157" s="329">
        <v>1</v>
      </c>
      <c r="Q157" s="329">
        <v>1</v>
      </c>
      <c r="R157" s="329">
        <v>1</v>
      </c>
      <c r="S157" s="329">
        <v>1</v>
      </c>
      <c r="T157" s="329">
        <v>1</v>
      </c>
      <c r="U157" s="329">
        <v>1</v>
      </c>
      <c r="V157" s="329">
        <v>1</v>
      </c>
      <c r="W157" s="329">
        <v>1</v>
      </c>
      <c r="X157" s="329">
        <v>1</v>
      </c>
      <c r="Y157" s="329">
        <v>1</v>
      </c>
      <c r="Z157" s="329">
        <v>1</v>
      </c>
      <c r="AA157" s="329">
        <v>1</v>
      </c>
      <c r="AB157" s="329">
        <v>1</v>
      </c>
      <c r="AC157" s="329">
        <v>1</v>
      </c>
      <c r="AD157" s="329">
        <v>1</v>
      </c>
      <c r="AE157" s="52">
        <f>'User Add-in Location'!B163</f>
        <v>0</v>
      </c>
      <c r="AF157" s="52">
        <f>'User Add-in Location'!C163</f>
        <v>0</v>
      </c>
      <c r="AG157" s="329">
        <v>1</v>
      </c>
      <c r="AH157" s="329">
        <v>1</v>
      </c>
      <c r="AI157" s="329">
        <v>1</v>
      </c>
      <c r="AJ157" s="329">
        <v>1</v>
      </c>
      <c r="AK157" s="329">
        <v>1</v>
      </c>
      <c r="AL157" s="329">
        <v>1</v>
      </c>
      <c r="AM157" s="329">
        <v>1</v>
      </c>
      <c r="AN157" s="329">
        <v>1</v>
      </c>
      <c r="AO157" s="329">
        <v>1</v>
      </c>
      <c r="AP157" s="329">
        <v>1</v>
      </c>
      <c r="AQ157" s="329">
        <v>1</v>
      </c>
      <c r="AR157" s="329">
        <v>1</v>
      </c>
      <c r="AS157" s="324">
        <v>0</v>
      </c>
      <c r="AT157" s="324">
        <v>0</v>
      </c>
      <c r="AU157" s="324">
        <v>0</v>
      </c>
      <c r="AV157" s="324">
        <v>0</v>
      </c>
      <c r="AW157" s="324">
        <v>0</v>
      </c>
      <c r="AX157" s="324">
        <v>0</v>
      </c>
      <c r="AY157" s="324">
        <v>0</v>
      </c>
      <c r="AZ157" s="324">
        <v>0</v>
      </c>
      <c r="BA157" s="329">
        <v>1</v>
      </c>
      <c r="BB157" s="329">
        <v>1</v>
      </c>
      <c r="BC157" s="329">
        <v>1</v>
      </c>
      <c r="BD157" s="329">
        <v>1</v>
      </c>
      <c r="BE157" s="329">
        <v>1</v>
      </c>
      <c r="BF157" s="329">
        <v>1</v>
      </c>
      <c r="BG157" s="329">
        <v>1</v>
      </c>
      <c r="BH157" s="329">
        <v>1</v>
      </c>
      <c r="BI157" s="329">
        <v>1</v>
      </c>
      <c r="BJ157" s="329">
        <v>1</v>
      </c>
      <c r="BK157" s="329">
        <v>1</v>
      </c>
      <c r="BL157" s="329">
        <v>1</v>
      </c>
      <c r="BM157" s="329">
        <v>1</v>
      </c>
    </row>
    <row r="158" spans="3:65">
      <c r="C158" s="408" t="s">
        <v>386</v>
      </c>
      <c r="D158" s="329">
        <v>1</v>
      </c>
      <c r="E158" s="329">
        <v>1</v>
      </c>
      <c r="F158" s="329">
        <v>1</v>
      </c>
      <c r="G158" s="329">
        <v>1</v>
      </c>
      <c r="H158" s="329">
        <v>1</v>
      </c>
      <c r="I158" s="329">
        <v>1</v>
      </c>
      <c r="J158" s="329">
        <v>1</v>
      </c>
      <c r="K158" s="329">
        <v>1</v>
      </c>
      <c r="L158" s="329">
        <v>1</v>
      </c>
      <c r="M158" s="329">
        <v>1</v>
      </c>
      <c r="N158" s="329">
        <v>1</v>
      </c>
      <c r="O158" s="329">
        <v>1</v>
      </c>
      <c r="P158" s="329">
        <v>1</v>
      </c>
      <c r="Q158" s="329">
        <v>1</v>
      </c>
      <c r="R158" s="329">
        <v>1</v>
      </c>
      <c r="S158" s="329">
        <v>1</v>
      </c>
      <c r="T158" s="329">
        <v>1</v>
      </c>
      <c r="U158" s="329">
        <v>1</v>
      </c>
      <c r="V158" s="329">
        <v>1</v>
      </c>
      <c r="W158" s="329">
        <v>1</v>
      </c>
      <c r="X158" s="329">
        <v>1</v>
      </c>
      <c r="Y158" s="329">
        <v>1</v>
      </c>
      <c r="Z158" s="329">
        <v>1</v>
      </c>
      <c r="AA158" s="329">
        <v>1</v>
      </c>
      <c r="AB158" s="329">
        <v>1</v>
      </c>
      <c r="AC158" s="329">
        <v>1</v>
      </c>
      <c r="AD158" s="329">
        <v>1</v>
      </c>
      <c r="AE158" s="52">
        <f>'User Add-in Location'!B164</f>
        <v>0</v>
      </c>
      <c r="AF158" s="52">
        <f>'User Add-in Location'!C164</f>
        <v>0</v>
      </c>
      <c r="AG158" s="329">
        <v>1</v>
      </c>
      <c r="AH158" s="329">
        <v>1</v>
      </c>
      <c r="AI158" s="329">
        <v>1</v>
      </c>
      <c r="AJ158" s="329">
        <v>1</v>
      </c>
      <c r="AK158" s="329">
        <v>1</v>
      </c>
      <c r="AL158" s="329">
        <v>1</v>
      </c>
      <c r="AM158" s="329">
        <v>1</v>
      </c>
      <c r="AN158" s="329">
        <v>1</v>
      </c>
      <c r="AO158" s="329">
        <v>1</v>
      </c>
      <c r="AP158" s="329">
        <v>1</v>
      </c>
      <c r="AQ158" s="329">
        <v>1</v>
      </c>
      <c r="AR158" s="329">
        <v>1</v>
      </c>
      <c r="AS158" s="324">
        <v>0</v>
      </c>
      <c r="AT158" s="324">
        <v>0</v>
      </c>
      <c r="AU158" s="324">
        <v>0</v>
      </c>
      <c r="AV158" s="324">
        <v>0</v>
      </c>
      <c r="AW158" s="324">
        <v>0</v>
      </c>
      <c r="AX158" s="324">
        <v>0</v>
      </c>
      <c r="AY158" s="324">
        <v>0</v>
      </c>
      <c r="AZ158" s="324">
        <v>0</v>
      </c>
      <c r="BA158" s="329">
        <v>1</v>
      </c>
      <c r="BB158" s="329">
        <v>1</v>
      </c>
      <c r="BC158" s="329">
        <v>1</v>
      </c>
      <c r="BD158" s="329">
        <v>1</v>
      </c>
      <c r="BE158" s="329">
        <v>1</v>
      </c>
      <c r="BF158" s="329">
        <v>1</v>
      </c>
      <c r="BG158" s="329">
        <v>1</v>
      </c>
      <c r="BH158" s="329">
        <v>1</v>
      </c>
      <c r="BI158" s="329">
        <v>1</v>
      </c>
      <c r="BJ158" s="329">
        <v>1</v>
      </c>
      <c r="BK158" s="329">
        <v>1</v>
      </c>
      <c r="BL158" s="329">
        <v>1</v>
      </c>
      <c r="BM158" s="329">
        <v>1</v>
      </c>
    </row>
    <row r="159" spans="3:65">
      <c r="C159" s="408" t="s">
        <v>387</v>
      </c>
      <c r="D159" s="329">
        <v>1</v>
      </c>
      <c r="E159" s="329">
        <v>1</v>
      </c>
      <c r="F159" s="329">
        <v>1</v>
      </c>
      <c r="G159" s="329">
        <v>1</v>
      </c>
      <c r="H159" s="329">
        <v>1</v>
      </c>
      <c r="I159" s="329">
        <v>1</v>
      </c>
      <c r="J159" s="329">
        <v>1</v>
      </c>
      <c r="K159" s="329">
        <v>1</v>
      </c>
      <c r="L159" s="329">
        <v>1</v>
      </c>
      <c r="M159" s="329">
        <v>1</v>
      </c>
      <c r="N159" s="329">
        <v>1</v>
      </c>
      <c r="O159" s="329">
        <v>1</v>
      </c>
      <c r="P159" s="329">
        <v>1</v>
      </c>
      <c r="Q159" s="329">
        <v>1</v>
      </c>
      <c r="R159" s="329">
        <v>1</v>
      </c>
      <c r="S159" s="329">
        <v>1</v>
      </c>
      <c r="T159" s="329">
        <v>1</v>
      </c>
      <c r="U159" s="329">
        <v>1</v>
      </c>
      <c r="V159" s="329">
        <v>1</v>
      </c>
      <c r="W159" s="329">
        <v>1</v>
      </c>
      <c r="X159" s="329">
        <v>1</v>
      </c>
      <c r="Y159" s="329">
        <v>1</v>
      </c>
      <c r="Z159" s="329">
        <v>1</v>
      </c>
      <c r="AA159" s="329">
        <v>1</v>
      </c>
      <c r="AB159" s="329">
        <v>1</v>
      </c>
      <c r="AC159" s="329">
        <v>1</v>
      </c>
      <c r="AD159" s="329">
        <v>1</v>
      </c>
      <c r="AE159" s="52">
        <f>'User Add-in Location'!B165</f>
        <v>0</v>
      </c>
      <c r="AF159" s="52">
        <f>'User Add-in Location'!C165</f>
        <v>0</v>
      </c>
      <c r="AG159" s="329">
        <v>1</v>
      </c>
      <c r="AH159" s="329">
        <v>1</v>
      </c>
      <c r="AI159" s="329">
        <v>1</v>
      </c>
      <c r="AJ159" s="329">
        <v>1</v>
      </c>
      <c r="AK159" s="329">
        <v>1</v>
      </c>
      <c r="AL159" s="329">
        <v>1</v>
      </c>
      <c r="AM159" s="329">
        <v>1</v>
      </c>
      <c r="AN159" s="329">
        <v>1</v>
      </c>
      <c r="AO159" s="329">
        <v>1</v>
      </c>
      <c r="AP159" s="329">
        <v>1</v>
      </c>
      <c r="AQ159" s="329">
        <v>1</v>
      </c>
      <c r="AR159" s="329">
        <v>1</v>
      </c>
      <c r="AS159" s="324">
        <v>0</v>
      </c>
      <c r="AT159" s="324">
        <v>0</v>
      </c>
      <c r="AU159" s="324">
        <v>0</v>
      </c>
      <c r="AV159" s="324">
        <v>0</v>
      </c>
      <c r="AW159" s="324">
        <v>0</v>
      </c>
      <c r="AX159" s="324">
        <v>0</v>
      </c>
      <c r="AY159" s="324">
        <v>0</v>
      </c>
      <c r="AZ159" s="324">
        <v>0</v>
      </c>
      <c r="BA159" s="329">
        <v>1</v>
      </c>
      <c r="BB159" s="329">
        <v>1</v>
      </c>
      <c r="BC159" s="329">
        <v>1</v>
      </c>
      <c r="BD159" s="329">
        <v>1</v>
      </c>
      <c r="BE159" s="329">
        <v>1</v>
      </c>
      <c r="BF159" s="329">
        <v>1</v>
      </c>
      <c r="BG159" s="329">
        <v>1</v>
      </c>
      <c r="BH159" s="329">
        <v>1</v>
      </c>
      <c r="BI159" s="329">
        <v>1</v>
      </c>
      <c r="BJ159" s="329">
        <v>1</v>
      </c>
      <c r="BK159" s="329">
        <v>1</v>
      </c>
      <c r="BL159" s="329">
        <v>1</v>
      </c>
      <c r="BM159" s="329">
        <v>1</v>
      </c>
    </row>
    <row r="160" spans="3:65">
      <c r="C160" s="408" t="s">
        <v>388</v>
      </c>
      <c r="D160" s="329">
        <v>1</v>
      </c>
      <c r="E160" s="329">
        <v>1</v>
      </c>
      <c r="F160" s="329">
        <v>1</v>
      </c>
      <c r="G160" s="329">
        <v>1</v>
      </c>
      <c r="H160" s="329">
        <v>1</v>
      </c>
      <c r="I160" s="329">
        <v>1</v>
      </c>
      <c r="J160" s="329">
        <v>1</v>
      </c>
      <c r="K160" s="329">
        <v>1</v>
      </c>
      <c r="L160" s="329">
        <v>1</v>
      </c>
      <c r="M160" s="329">
        <v>1</v>
      </c>
      <c r="N160" s="329">
        <v>1</v>
      </c>
      <c r="O160" s="329">
        <v>1</v>
      </c>
      <c r="P160" s="329">
        <v>1</v>
      </c>
      <c r="Q160" s="329">
        <v>1</v>
      </c>
      <c r="R160" s="329">
        <v>1</v>
      </c>
      <c r="S160" s="329">
        <v>1</v>
      </c>
      <c r="T160" s="329">
        <v>1</v>
      </c>
      <c r="U160" s="329">
        <v>1</v>
      </c>
      <c r="V160" s="329">
        <v>1</v>
      </c>
      <c r="W160" s="329">
        <v>1</v>
      </c>
      <c r="X160" s="329">
        <v>1</v>
      </c>
      <c r="Y160" s="329">
        <v>1</v>
      </c>
      <c r="Z160" s="329">
        <v>1</v>
      </c>
      <c r="AA160" s="329">
        <v>1</v>
      </c>
      <c r="AB160" s="329">
        <v>1</v>
      </c>
      <c r="AC160" s="329">
        <v>1</v>
      </c>
      <c r="AD160" s="329">
        <v>1</v>
      </c>
      <c r="AE160" s="52">
        <f>'User Add-in Location'!B166</f>
        <v>0</v>
      </c>
      <c r="AF160" s="52">
        <f>'User Add-in Location'!C166</f>
        <v>0</v>
      </c>
      <c r="AG160" s="329">
        <v>1</v>
      </c>
      <c r="AH160" s="329">
        <v>1</v>
      </c>
      <c r="AI160" s="329">
        <v>1</v>
      </c>
      <c r="AJ160" s="329">
        <v>1</v>
      </c>
      <c r="AK160" s="329">
        <v>1</v>
      </c>
      <c r="AL160" s="329">
        <v>1</v>
      </c>
      <c r="AM160" s="329">
        <v>1</v>
      </c>
      <c r="AN160" s="329">
        <v>1</v>
      </c>
      <c r="AO160" s="329">
        <v>1</v>
      </c>
      <c r="AP160" s="329">
        <v>1</v>
      </c>
      <c r="AQ160" s="329">
        <v>1</v>
      </c>
      <c r="AR160" s="329">
        <v>1</v>
      </c>
      <c r="AS160" s="324">
        <v>0</v>
      </c>
      <c r="AT160" s="324">
        <v>0</v>
      </c>
      <c r="AU160" s="324">
        <v>0</v>
      </c>
      <c r="AV160" s="324">
        <v>0</v>
      </c>
      <c r="AW160" s="324">
        <v>0</v>
      </c>
      <c r="AX160" s="324">
        <v>0</v>
      </c>
      <c r="AY160" s="324">
        <v>0</v>
      </c>
      <c r="AZ160" s="324">
        <v>0</v>
      </c>
      <c r="BA160" s="329">
        <v>1</v>
      </c>
      <c r="BB160" s="329">
        <v>1</v>
      </c>
      <c r="BC160" s="329">
        <v>1</v>
      </c>
      <c r="BD160" s="329">
        <v>1</v>
      </c>
      <c r="BE160" s="329">
        <v>1</v>
      </c>
      <c r="BF160" s="329">
        <v>1</v>
      </c>
      <c r="BG160" s="329">
        <v>1</v>
      </c>
      <c r="BH160" s="329">
        <v>1</v>
      </c>
      <c r="BI160" s="329">
        <v>1</v>
      </c>
      <c r="BJ160" s="329">
        <v>1</v>
      </c>
      <c r="BK160" s="329">
        <v>1</v>
      </c>
      <c r="BL160" s="329">
        <v>1</v>
      </c>
      <c r="BM160" s="329">
        <v>1</v>
      </c>
    </row>
    <row r="161" spans="3:65">
      <c r="C161" s="408" t="s">
        <v>389</v>
      </c>
      <c r="D161" s="329">
        <v>1</v>
      </c>
      <c r="E161" s="329">
        <v>1</v>
      </c>
      <c r="F161" s="329">
        <v>1</v>
      </c>
      <c r="G161" s="329">
        <v>1</v>
      </c>
      <c r="H161" s="329">
        <v>1</v>
      </c>
      <c r="I161" s="329">
        <v>1</v>
      </c>
      <c r="J161" s="329">
        <v>1</v>
      </c>
      <c r="K161" s="329">
        <v>1</v>
      </c>
      <c r="L161" s="329">
        <v>1</v>
      </c>
      <c r="M161" s="329">
        <v>1</v>
      </c>
      <c r="N161" s="329">
        <v>1</v>
      </c>
      <c r="O161" s="329">
        <v>1</v>
      </c>
      <c r="P161" s="329">
        <v>1</v>
      </c>
      <c r="Q161" s="329">
        <v>1</v>
      </c>
      <c r="R161" s="329">
        <v>1</v>
      </c>
      <c r="S161" s="329">
        <v>1</v>
      </c>
      <c r="T161" s="329">
        <v>1</v>
      </c>
      <c r="U161" s="329">
        <v>1</v>
      </c>
      <c r="V161" s="329">
        <v>1</v>
      </c>
      <c r="W161" s="329">
        <v>1</v>
      </c>
      <c r="X161" s="329">
        <v>1</v>
      </c>
      <c r="Y161" s="329">
        <v>1</v>
      </c>
      <c r="Z161" s="329">
        <v>1</v>
      </c>
      <c r="AA161" s="329">
        <v>1</v>
      </c>
      <c r="AB161" s="329">
        <v>1</v>
      </c>
      <c r="AC161" s="329">
        <v>1</v>
      </c>
      <c r="AD161" s="329">
        <v>1</v>
      </c>
      <c r="AE161" s="52">
        <f>'User Add-in Location'!B167</f>
        <v>0</v>
      </c>
      <c r="AF161" s="52">
        <f>'User Add-in Location'!C167</f>
        <v>0</v>
      </c>
      <c r="AG161" s="329">
        <v>1</v>
      </c>
      <c r="AH161" s="329">
        <v>1</v>
      </c>
      <c r="AI161" s="329">
        <v>1</v>
      </c>
      <c r="AJ161" s="329">
        <v>1</v>
      </c>
      <c r="AK161" s="329">
        <v>1</v>
      </c>
      <c r="AL161" s="329">
        <v>1</v>
      </c>
      <c r="AM161" s="329">
        <v>1</v>
      </c>
      <c r="AN161" s="329">
        <v>1</v>
      </c>
      <c r="AO161" s="329">
        <v>1</v>
      </c>
      <c r="AP161" s="329">
        <v>1</v>
      </c>
      <c r="AQ161" s="329">
        <v>1</v>
      </c>
      <c r="AR161" s="329">
        <v>1</v>
      </c>
      <c r="AS161" s="324">
        <v>0</v>
      </c>
      <c r="AT161" s="324">
        <v>0</v>
      </c>
      <c r="AU161" s="324">
        <v>0</v>
      </c>
      <c r="AV161" s="324">
        <v>0</v>
      </c>
      <c r="AW161" s="324">
        <v>0</v>
      </c>
      <c r="AX161" s="324">
        <v>0</v>
      </c>
      <c r="AY161" s="324">
        <v>0</v>
      </c>
      <c r="AZ161" s="324">
        <v>0</v>
      </c>
      <c r="BA161" s="329">
        <v>1</v>
      </c>
      <c r="BB161" s="329">
        <v>1</v>
      </c>
      <c r="BC161" s="329">
        <v>1</v>
      </c>
      <c r="BD161" s="329">
        <v>1</v>
      </c>
      <c r="BE161" s="329">
        <v>1</v>
      </c>
      <c r="BF161" s="329">
        <v>1</v>
      </c>
      <c r="BG161" s="329">
        <v>1</v>
      </c>
      <c r="BH161" s="329">
        <v>1</v>
      </c>
      <c r="BI161" s="329">
        <v>1</v>
      </c>
      <c r="BJ161" s="329">
        <v>1</v>
      </c>
      <c r="BK161" s="329">
        <v>1</v>
      </c>
      <c r="BL161" s="329">
        <v>1</v>
      </c>
      <c r="BM161" s="329">
        <v>1</v>
      </c>
    </row>
    <row r="162" spans="3:65">
      <c r="C162" s="408" t="s">
        <v>390</v>
      </c>
      <c r="D162" s="329">
        <v>1</v>
      </c>
      <c r="E162" s="329">
        <v>1</v>
      </c>
      <c r="F162" s="329">
        <v>1</v>
      </c>
      <c r="G162" s="329">
        <v>1</v>
      </c>
      <c r="H162" s="329">
        <v>1</v>
      </c>
      <c r="I162" s="329">
        <v>1</v>
      </c>
      <c r="J162" s="329">
        <v>1</v>
      </c>
      <c r="K162" s="329">
        <v>1</v>
      </c>
      <c r="L162" s="329">
        <v>1</v>
      </c>
      <c r="M162" s="329">
        <v>1</v>
      </c>
      <c r="N162" s="329">
        <v>1</v>
      </c>
      <c r="O162" s="329">
        <v>1</v>
      </c>
      <c r="P162" s="329">
        <v>1</v>
      </c>
      <c r="Q162" s="329">
        <v>1</v>
      </c>
      <c r="R162" s="329">
        <v>1</v>
      </c>
      <c r="S162" s="329">
        <v>1</v>
      </c>
      <c r="T162" s="329">
        <v>1</v>
      </c>
      <c r="U162" s="329">
        <v>1</v>
      </c>
      <c r="V162" s="329">
        <v>1</v>
      </c>
      <c r="W162" s="329">
        <v>1</v>
      </c>
      <c r="X162" s="329">
        <v>1</v>
      </c>
      <c r="Y162" s="329">
        <v>1</v>
      </c>
      <c r="Z162" s="329">
        <v>1</v>
      </c>
      <c r="AA162" s="329">
        <v>1</v>
      </c>
      <c r="AB162" s="329">
        <v>1</v>
      </c>
      <c r="AC162" s="329">
        <v>1</v>
      </c>
      <c r="AD162" s="329">
        <v>1</v>
      </c>
      <c r="AE162" s="52">
        <f>'User Add-in Location'!B168</f>
        <v>0</v>
      </c>
      <c r="AF162" s="52">
        <f>'User Add-in Location'!C168</f>
        <v>0</v>
      </c>
      <c r="AG162" s="329">
        <v>1</v>
      </c>
      <c r="AH162" s="329">
        <v>1</v>
      </c>
      <c r="AI162" s="329">
        <v>1</v>
      </c>
      <c r="AJ162" s="329">
        <v>1</v>
      </c>
      <c r="AK162" s="329">
        <v>1</v>
      </c>
      <c r="AL162" s="329">
        <v>1</v>
      </c>
      <c r="AM162" s="329">
        <v>1</v>
      </c>
      <c r="AN162" s="329">
        <v>1</v>
      </c>
      <c r="AO162" s="329">
        <v>1</v>
      </c>
      <c r="AP162" s="329">
        <v>1</v>
      </c>
      <c r="AQ162" s="329">
        <v>1</v>
      </c>
      <c r="AR162" s="329">
        <v>1</v>
      </c>
      <c r="AS162" s="324">
        <v>0</v>
      </c>
      <c r="AT162" s="324">
        <v>0</v>
      </c>
      <c r="AU162" s="324">
        <v>0</v>
      </c>
      <c r="AV162" s="324">
        <v>0</v>
      </c>
      <c r="AW162" s="324">
        <v>0</v>
      </c>
      <c r="AX162" s="324">
        <v>0</v>
      </c>
      <c r="AY162" s="324">
        <v>0</v>
      </c>
      <c r="AZ162" s="324">
        <v>0</v>
      </c>
      <c r="BA162" s="329">
        <v>1</v>
      </c>
      <c r="BB162" s="329">
        <v>1</v>
      </c>
      <c r="BC162" s="329">
        <v>1</v>
      </c>
      <c r="BD162" s="329">
        <v>1</v>
      </c>
      <c r="BE162" s="329">
        <v>1</v>
      </c>
      <c r="BF162" s="329">
        <v>1</v>
      </c>
      <c r="BG162" s="329">
        <v>1</v>
      </c>
      <c r="BH162" s="329">
        <v>1</v>
      </c>
      <c r="BI162" s="329">
        <v>1</v>
      </c>
      <c r="BJ162" s="329">
        <v>1</v>
      </c>
      <c r="BK162" s="329">
        <v>1</v>
      </c>
      <c r="BL162" s="329">
        <v>1</v>
      </c>
      <c r="BM162" s="329">
        <v>1</v>
      </c>
    </row>
    <row r="163" spans="3:65">
      <c r="C163" s="408" t="s">
        <v>391</v>
      </c>
      <c r="D163" s="329">
        <v>1</v>
      </c>
      <c r="E163" s="329">
        <v>1</v>
      </c>
      <c r="F163" s="329">
        <v>1</v>
      </c>
      <c r="G163" s="329">
        <v>1</v>
      </c>
      <c r="H163" s="329">
        <v>1</v>
      </c>
      <c r="I163" s="329">
        <v>1</v>
      </c>
      <c r="J163" s="329">
        <v>1</v>
      </c>
      <c r="K163" s="329">
        <v>1</v>
      </c>
      <c r="L163" s="329">
        <v>1</v>
      </c>
      <c r="M163" s="329">
        <v>1</v>
      </c>
      <c r="N163" s="329">
        <v>1</v>
      </c>
      <c r="O163" s="329">
        <v>1</v>
      </c>
      <c r="P163" s="329">
        <v>1</v>
      </c>
      <c r="Q163" s="329">
        <v>1</v>
      </c>
      <c r="R163" s="329">
        <v>1</v>
      </c>
      <c r="S163" s="329">
        <v>1</v>
      </c>
      <c r="T163" s="329">
        <v>1</v>
      </c>
      <c r="U163" s="329">
        <v>1</v>
      </c>
      <c r="V163" s="329">
        <v>1</v>
      </c>
      <c r="W163" s="329">
        <v>1</v>
      </c>
      <c r="X163" s="329">
        <v>1</v>
      </c>
      <c r="Y163" s="329">
        <v>1</v>
      </c>
      <c r="Z163" s="329">
        <v>1</v>
      </c>
      <c r="AA163" s="329">
        <v>1</v>
      </c>
      <c r="AB163" s="329">
        <v>1</v>
      </c>
      <c r="AC163" s="329">
        <v>1</v>
      </c>
      <c r="AD163" s="329">
        <v>1</v>
      </c>
      <c r="AE163" s="52">
        <f>'User Add-in Location'!B169</f>
        <v>0</v>
      </c>
      <c r="AF163" s="52">
        <f>'User Add-in Location'!C169</f>
        <v>0</v>
      </c>
      <c r="AG163" s="329">
        <v>1</v>
      </c>
      <c r="AH163" s="329">
        <v>1</v>
      </c>
      <c r="AI163" s="329">
        <v>1</v>
      </c>
      <c r="AJ163" s="329">
        <v>1</v>
      </c>
      <c r="AK163" s="329">
        <v>1</v>
      </c>
      <c r="AL163" s="329">
        <v>1</v>
      </c>
      <c r="AM163" s="329">
        <v>1</v>
      </c>
      <c r="AN163" s="329">
        <v>1</v>
      </c>
      <c r="AO163" s="329">
        <v>1</v>
      </c>
      <c r="AP163" s="329">
        <v>1</v>
      </c>
      <c r="AQ163" s="329">
        <v>1</v>
      </c>
      <c r="AR163" s="329">
        <v>1</v>
      </c>
      <c r="AS163" s="324">
        <v>0</v>
      </c>
      <c r="AT163" s="324">
        <v>0</v>
      </c>
      <c r="AU163" s="324">
        <v>0</v>
      </c>
      <c r="AV163" s="324">
        <v>0</v>
      </c>
      <c r="AW163" s="324">
        <v>0</v>
      </c>
      <c r="AX163" s="324">
        <v>0</v>
      </c>
      <c r="AY163" s="324">
        <v>0</v>
      </c>
      <c r="AZ163" s="324">
        <v>0</v>
      </c>
      <c r="BA163" s="329">
        <v>1</v>
      </c>
      <c r="BB163" s="329">
        <v>1</v>
      </c>
      <c r="BC163" s="329">
        <v>1</v>
      </c>
      <c r="BD163" s="329">
        <v>1</v>
      </c>
      <c r="BE163" s="329">
        <v>1</v>
      </c>
      <c r="BF163" s="329">
        <v>1</v>
      </c>
      <c r="BG163" s="329">
        <v>1</v>
      </c>
      <c r="BH163" s="329">
        <v>1</v>
      </c>
      <c r="BI163" s="329">
        <v>1</v>
      </c>
      <c r="BJ163" s="329">
        <v>1</v>
      </c>
      <c r="BK163" s="329">
        <v>1</v>
      </c>
      <c r="BL163" s="329">
        <v>1</v>
      </c>
      <c r="BM163" s="329">
        <v>1</v>
      </c>
    </row>
    <row r="164" spans="3:65">
      <c r="C164" s="408" t="s">
        <v>392</v>
      </c>
      <c r="D164" s="329">
        <v>1</v>
      </c>
      <c r="E164" s="329">
        <v>1</v>
      </c>
      <c r="F164" s="329">
        <v>1</v>
      </c>
      <c r="G164" s="329">
        <v>1</v>
      </c>
      <c r="H164" s="329">
        <v>1</v>
      </c>
      <c r="I164" s="329">
        <v>1</v>
      </c>
      <c r="J164" s="329">
        <v>1</v>
      </c>
      <c r="K164" s="329">
        <v>1</v>
      </c>
      <c r="L164" s="329">
        <v>1</v>
      </c>
      <c r="M164" s="329">
        <v>1</v>
      </c>
      <c r="N164" s="329">
        <v>1</v>
      </c>
      <c r="O164" s="329">
        <v>1</v>
      </c>
      <c r="P164" s="329">
        <v>1</v>
      </c>
      <c r="Q164" s="329">
        <v>1</v>
      </c>
      <c r="R164" s="329">
        <v>1</v>
      </c>
      <c r="S164" s="329">
        <v>1</v>
      </c>
      <c r="T164" s="329">
        <v>1</v>
      </c>
      <c r="U164" s="329">
        <v>1</v>
      </c>
      <c r="V164" s="329">
        <v>1</v>
      </c>
      <c r="W164" s="329">
        <v>1</v>
      </c>
      <c r="X164" s="329">
        <v>1</v>
      </c>
      <c r="Y164" s="329">
        <v>1</v>
      </c>
      <c r="Z164" s="329">
        <v>1</v>
      </c>
      <c r="AA164" s="329">
        <v>1</v>
      </c>
      <c r="AB164" s="329">
        <v>1</v>
      </c>
      <c r="AC164" s="329">
        <v>1</v>
      </c>
      <c r="AD164" s="329">
        <v>1</v>
      </c>
      <c r="AE164" s="52">
        <f>'User Add-in Location'!B170</f>
        <v>0</v>
      </c>
      <c r="AF164" s="52">
        <f>'User Add-in Location'!C170</f>
        <v>0</v>
      </c>
      <c r="AG164" s="329">
        <v>1</v>
      </c>
      <c r="AH164" s="329">
        <v>1</v>
      </c>
      <c r="AI164" s="329">
        <v>1</v>
      </c>
      <c r="AJ164" s="329">
        <v>1</v>
      </c>
      <c r="AK164" s="329">
        <v>1</v>
      </c>
      <c r="AL164" s="329">
        <v>1</v>
      </c>
      <c r="AM164" s="329">
        <v>1</v>
      </c>
      <c r="AN164" s="329">
        <v>1</v>
      </c>
      <c r="AO164" s="329">
        <v>1</v>
      </c>
      <c r="AP164" s="329">
        <v>1</v>
      </c>
      <c r="AQ164" s="329">
        <v>1</v>
      </c>
      <c r="AR164" s="329">
        <v>1</v>
      </c>
      <c r="AS164" s="324">
        <v>0</v>
      </c>
      <c r="AT164" s="324">
        <v>0</v>
      </c>
      <c r="AU164" s="324">
        <v>0</v>
      </c>
      <c r="AV164" s="324">
        <v>0</v>
      </c>
      <c r="AW164" s="324">
        <v>0</v>
      </c>
      <c r="AX164" s="324">
        <v>0</v>
      </c>
      <c r="AY164" s="324">
        <v>0</v>
      </c>
      <c r="AZ164" s="324">
        <v>0</v>
      </c>
      <c r="BA164" s="329">
        <v>1</v>
      </c>
      <c r="BB164" s="329">
        <v>1</v>
      </c>
      <c r="BC164" s="329">
        <v>1</v>
      </c>
      <c r="BD164" s="329">
        <v>1</v>
      </c>
      <c r="BE164" s="329">
        <v>1</v>
      </c>
      <c r="BF164" s="329">
        <v>1</v>
      </c>
      <c r="BG164" s="329">
        <v>1</v>
      </c>
      <c r="BH164" s="329">
        <v>1</v>
      </c>
      <c r="BI164" s="329">
        <v>1</v>
      </c>
      <c r="BJ164" s="329">
        <v>1</v>
      </c>
      <c r="BK164" s="329">
        <v>1</v>
      </c>
      <c r="BL164" s="329">
        <v>1</v>
      </c>
      <c r="BM164" s="329">
        <v>1</v>
      </c>
    </row>
    <row r="165" spans="3:65">
      <c r="C165" s="408" t="s">
        <v>393</v>
      </c>
      <c r="D165" s="329">
        <v>1</v>
      </c>
      <c r="E165" s="329">
        <v>1</v>
      </c>
      <c r="F165" s="329">
        <v>1</v>
      </c>
      <c r="G165" s="329">
        <v>1</v>
      </c>
      <c r="H165" s="329">
        <v>1</v>
      </c>
      <c r="I165" s="329">
        <v>1</v>
      </c>
      <c r="J165" s="329">
        <v>1</v>
      </c>
      <c r="K165" s="329">
        <v>1</v>
      </c>
      <c r="L165" s="329">
        <v>1</v>
      </c>
      <c r="M165" s="329">
        <v>1</v>
      </c>
      <c r="N165" s="329">
        <v>1</v>
      </c>
      <c r="O165" s="329">
        <v>1</v>
      </c>
      <c r="P165" s="329">
        <v>1</v>
      </c>
      <c r="Q165" s="329">
        <v>1</v>
      </c>
      <c r="R165" s="329">
        <v>1</v>
      </c>
      <c r="S165" s="329">
        <v>1</v>
      </c>
      <c r="T165" s="329">
        <v>1</v>
      </c>
      <c r="U165" s="329">
        <v>1</v>
      </c>
      <c r="V165" s="329">
        <v>1</v>
      </c>
      <c r="W165" s="329">
        <v>1</v>
      </c>
      <c r="X165" s="329">
        <v>1</v>
      </c>
      <c r="Y165" s="329">
        <v>1</v>
      </c>
      <c r="Z165" s="329">
        <v>1</v>
      </c>
      <c r="AA165" s="329">
        <v>1</v>
      </c>
      <c r="AB165" s="329">
        <v>1</v>
      </c>
      <c r="AC165" s="329">
        <v>1</v>
      </c>
      <c r="AD165" s="329">
        <v>1</v>
      </c>
      <c r="AE165" s="52">
        <f>'User Add-in Location'!B171</f>
        <v>0</v>
      </c>
      <c r="AF165" s="52">
        <f>'User Add-in Location'!C171</f>
        <v>0</v>
      </c>
      <c r="AG165" s="329">
        <v>1</v>
      </c>
      <c r="AH165" s="329">
        <v>1</v>
      </c>
      <c r="AI165" s="329">
        <v>1</v>
      </c>
      <c r="AJ165" s="329">
        <v>1</v>
      </c>
      <c r="AK165" s="329">
        <v>1</v>
      </c>
      <c r="AL165" s="329">
        <v>1</v>
      </c>
      <c r="AM165" s="329">
        <v>1</v>
      </c>
      <c r="AN165" s="329">
        <v>1</v>
      </c>
      <c r="AO165" s="329">
        <v>1</v>
      </c>
      <c r="AP165" s="329">
        <v>1</v>
      </c>
      <c r="AQ165" s="329">
        <v>1</v>
      </c>
      <c r="AR165" s="329">
        <v>1</v>
      </c>
      <c r="AS165" s="324">
        <v>0</v>
      </c>
      <c r="AT165" s="324">
        <v>0</v>
      </c>
      <c r="AU165" s="324">
        <v>0</v>
      </c>
      <c r="AV165" s="324">
        <v>0</v>
      </c>
      <c r="AW165" s="324">
        <v>0</v>
      </c>
      <c r="AX165" s="324">
        <v>0</v>
      </c>
      <c r="AY165" s="324">
        <v>0</v>
      </c>
      <c r="AZ165" s="324">
        <v>0</v>
      </c>
      <c r="BA165" s="329">
        <v>1</v>
      </c>
      <c r="BB165" s="329">
        <v>1</v>
      </c>
      <c r="BC165" s="329">
        <v>1</v>
      </c>
      <c r="BD165" s="329">
        <v>1</v>
      </c>
      <c r="BE165" s="329">
        <v>1</v>
      </c>
      <c r="BF165" s="329">
        <v>1</v>
      </c>
      <c r="BG165" s="329">
        <v>1</v>
      </c>
      <c r="BH165" s="329">
        <v>1</v>
      </c>
      <c r="BI165" s="329">
        <v>1</v>
      </c>
      <c r="BJ165" s="329">
        <v>1</v>
      </c>
      <c r="BK165" s="329">
        <v>1</v>
      </c>
      <c r="BL165" s="329">
        <v>1</v>
      </c>
      <c r="BM165" s="329">
        <v>1</v>
      </c>
    </row>
    <row r="166" spans="3:65">
      <c r="C166" s="408" t="s">
        <v>394</v>
      </c>
      <c r="D166" s="329">
        <v>1</v>
      </c>
      <c r="E166" s="329">
        <v>1</v>
      </c>
      <c r="F166" s="329">
        <v>1</v>
      </c>
      <c r="G166" s="329">
        <v>1</v>
      </c>
      <c r="H166" s="329">
        <v>1</v>
      </c>
      <c r="I166" s="329">
        <v>1</v>
      </c>
      <c r="J166" s="329">
        <v>1</v>
      </c>
      <c r="K166" s="329">
        <v>1</v>
      </c>
      <c r="L166" s="329">
        <v>1</v>
      </c>
      <c r="M166" s="329">
        <v>1</v>
      </c>
      <c r="N166" s="329">
        <v>1</v>
      </c>
      <c r="O166" s="329">
        <v>1</v>
      </c>
      <c r="P166" s="329">
        <v>1</v>
      </c>
      <c r="Q166" s="329">
        <v>1</v>
      </c>
      <c r="R166" s="329">
        <v>1</v>
      </c>
      <c r="S166" s="329">
        <v>1</v>
      </c>
      <c r="T166" s="329">
        <v>1</v>
      </c>
      <c r="U166" s="329">
        <v>1</v>
      </c>
      <c r="V166" s="329">
        <v>1</v>
      </c>
      <c r="W166" s="329">
        <v>1</v>
      </c>
      <c r="X166" s="329">
        <v>1</v>
      </c>
      <c r="Y166" s="329">
        <v>1</v>
      </c>
      <c r="Z166" s="329">
        <v>1</v>
      </c>
      <c r="AA166" s="329">
        <v>1</v>
      </c>
      <c r="AB166" s="329">
        <v>1</v>
      </c>
      <c r="AC166" s="329">
        <v>1</v>
      </c>
      <c r="AD166" s="329">
        <v>1</v>
      </c>
      <c r="AE166" s="52">
        <f>'User Add-in Location'!B172</f>
        <v>0</v>
      </c>
      <c r="AF166" s="52">
        <f>'User Add-in Location'!C172</f>
        <v>0</v>
      </c>
      <c r="AG166" s="329">
        <v>1</v>
      </c>
      <c r="AH166" s="329">
        <v>1</v>
      </c>
      <c r="AI166" s="329">
        <v>1</v>
      </c>
      <c r="AJ166" s="329">
        <v>1</v>
      </c>
      <c r="AK166" s="329">
        <v>1</v>
      </c>
      <c r="AL166" s="329">
        <v>1</v>
      </c>
      <c r="AM166" s="329">
        <v>1</v>
      </c>
      <c r="AN166" s="329">
        <v>1</v>
      </c>
      <c r="AO166" s="329">
        <v>1</v>
      </c>
      <c r="AP166" s="329">
        <v>1</v>
      </c>
      <c r="AQ166" s="329">
        <v>1</v>
      </c>
      <c r="AR166" s="329">
        <v>1</v>
      </c>
      <c r="AS166" s="324">
        <v>0</v>
      </c>
      <c r="AT166" s="324">
        <v>0</v>
      </c>
      <c r="AU166" s="324">
        <v>0</v>
      </c>
      <c r="AV166" s="324">
        <v>0</v>
      </c>
      <c r="AW166" s="324">
        <v>0</v>
      </c>
      <c r="AX166" s="324">
        <v>0</v>
      </c>
      <c r="AY166" s="324">
        <v>0</v>
      </c>
      <c r="AZ166" s="324">
        <v>0</v>
      </c>
      <c r="BA166" s="329">
        <v>1</v>
      </c>
      <c r="BB166" s="329">
        <v>1</v>
      </c>
      <c r="BC166" s="329">
        <v>1</v>
      </c>
      <c r="BD166" s="329">
        <v>1</v>
      </c>
      <c r="BE166" s="329">
        <v>1</v>
      </c>
      <c r="BF166" s="329">
        <v>1</v>
      </c>
      <c r="BG166" s="329">
        <v>1</v>
      </c>
      <c r="BH166" s="329">
        <v>1</v>
      </c>
      <c r="BI166" s="329">
        <v>1</v>
      </c>
      <c r="BJ166" s="329">
        <v>1</v>
      </c>
      <c r="BK166" s="329">
        <v>1</v>
      </c>
      <c r="BL166" s="329">
        <v>1</v>
      </c>
      <c r="BM166" s="329">
        <v>1</v>
      </c>
    </row>
    <row r="167" spans="3:65">
      <c r="C167" s="408" t="s">
        <v>395</v>
      </c>
      <c r="D167" s="329">
        <v>1</v>
      </c>
      <c r="E167" s="329">
        <v>1</v>
      </c>
      <c r="F167" s="329">
        <v>1</v>
      </c>
      <c r="G167" s="329">
        <v>1</v>
      </c>
      <c r="H167" s="329">
        <v>1</v>
      </c>
      <c r="I167" s="329">
        <v>1</v>
      </c>
      <c r="J167" s="329">
        <v>1</v>
      </c>
      <c r="K167" s="329">
        <v>1</v>
      </c>
      <c r="L167" s="329">
        <v>1</v>
      </c>
      <c r="M167" s="329">
        <v>1</v>
      </c>
      <c r="N167" s="329">
        <v>1</v>
      </c>
      <c r="O167" s="329">
        <v>1</v>
      </c>
      <c r="P167" s="329">
        <v>1</v>
      </c>
      <c r="Q167" s="329">
        <v>1</v>
      </c>
      <c r="R167" s="329">
        <v>1</v>
      </c>
      <c r="S167" s="329">
        <v>1</v>
      </c>
      <c r="T167" s="329">
        <v>1</v>
      </c>
      <c r="U167" s="329">
        <v>1</v>
      </c>
      <c r="V167" s="329">
        <v>1</v>
      </c>
      <c r="W167" s="329">
        <v>1</v>
      </c>
      <c r="X167" s="329">
        <v>1</v>
      </c>
      <c r="Y167" s="329">
        <v>1</v>
      </c>
      <c r="Z167" s="329">
        <v>1</v>
      </c>
      <c r="AA167" s="329">
        <v>1</v>
      </c>
      <c r="AB167" s="329">
        <v>1</v>
      </c>
      <c r="AC167" s="329">
        <v>1</v>
      </c>
      <c r="AD167" s="329">
        <v>1</v>
      </c>
      <c r="AE167" s="52">
        <f>'User Add-in Location'!B173</f>
        <v>0</v>
      </c>
      <c r="AF167" s="52">
        <f>'User Add-in Location'!C173</f>
        <v>0</v>
      </c>
      <c r="AG167" s="329">
        <v>1</v>
      </c>
      <c r="AH167" s="329">
        <v>1</v>
      </c>
      <c r="AI167" s="329">
        <v>1</v>
      </c>
      <c r="AJ167" s="329">
        <v>1</v>
      </c>
      <c r="AK167" s="329">
        <v>1</v>
      </c>
      <c r="AL167" s="329">
        <v>1</v>
      </c>
      <c r="AM167" s="329">
        <v>1</v>
      </c>
      <c r="AN167" s="329">
        <v>1</v>
      </c>
      <c r="AO167" s="329">
        <v>1</v>
      </c>
      <c r="AP167" s="329">
        <v>1</v>
      </c>
      <c r="AQ167" s="329">
        <v>1</v>
      </c>
      <c r="AR167" s="329">
        <v>1</v>
      </c>
      <c r="AS167" s="324">
        <v>0</v>
      </c>
      <c r="AT167" s="324">
        <v>0</v>
      </c>
      <c r="AU167" s="324">
        <v>0</v>
      </c>
      <c r="AV167" s="324">
        <v>0</v>
      </c>
      <c r="AW167" s="324">
        <v>0</v>
      </c>
      <c r="AX167" s="324">
        <v>0</v>
      </c>
      <c r="AY167" s="324">
        <v>0</v>
      </c>
      <c r="AZ167" s="324">
        <v>0</v>
      </c>
      <c r="BA167" s="329">
        <v>1</v>
      </c>
      <c r="BB167" s="329">
        <v>1</v>
      </c>
      <c r="BC167" s="329">
        <v>1</v>
      </c>
      <c r="BD167" s="329">
        <v>1</v>
      </c>
      <c r="BE167" s="329">
        <v>1</v>
      </c>
      <c r="BF167" s="329">
        <v>1</v>
      </c>
      <c r="BG167" s="329">
        <v>1</v>
      </c>
      <c r="BH167" s="329">
        <v>1</v>
      </c>
      <c r="BI167" s="329">
        <v>1</v>
      </c>
      <c r="BJ167" s="329">
        <v>1</v>
      </c>
      <c r="BK167" s="329">
        <v>1</v>
      </c>
      <c r="BL167" s="329">
        <v>1</v>
      </c>
      <c r="BM167" s="329">
        <v>1</v>
      </c>
    </row>
    <row r="168" spans="3:65">
      <c r="C168" s="408" t="s">
        <v>396</v>
      </c>
      <c r="D168" s="329">
        <v>1</v>
      </c>
      <c r="E168" s="329">
        <v>1</v>
      </c>
      <c r="F168" s="329">
        <v>1</v>
      </c>
      <c r="G168" s="329">
        <v>1</v>
      </c>
      <c r="H168" s="329">
        <v>1</v>
      </c>
      <c r="I168" s="329">
        <v>1</v>
      </c>
      <c r="J168" s="329">
        <v>1</v>
      </c>
      <c r="K168" s="329">
        <v>1</v>
      </c>
      <c r="L168" s="329">
        <v>1</v>
      </c>
      <c r="M168" s="329">
        <v>1</v>
      </c>
      <c r="N168" s="329">
        <v>1</v>
      </c>
      <c r="O168" s="329">
        <v>1</v>
      </c>
      <c r="P168" s="329">
        <v>1</v>
      </c>
      <c r="Q168" s="329">
        <v>1</v>
      </c>
      <c r="R168" s="329">
        <v>1</v>
      </c>
      <c r="S168" s="329">
        <v>1</v>
      </c>
      <c r="T168" s="329">
        <v>1</v>
      </c>
      <c r="U168" s="329">
        <v>1</v>
      </c>
      <c r="V168" s="329">
        <v>1</v>
      </c>
      <c r="W168" s="329">
        <v>1</v>
      </c>
      <c r="X168" s="329">
        <v>1</v>
      </c>
      <c r="Y168" s="329">
        <v>1</v>
      </c>
      <c r="Z168" s="329">
        <v>1</v>
      </c>
      <c r="AA168" s="329">
        <v>1</v>
      </c>
      <c r="AB168" s="329">
        <v>1</v>
      </c>
      <c r="AC168" s="329">
        <v>1</v>
      </c>
      <c r="AD168" s="329">
        <v>1</v>
      </c>
      <c r="AE168" s="52">
        <f>'User Add-in Location'!B174</f>
        <v>0</v>
      </c>
      <c r="AF168" s="52">
        <f>'User Add-in Location'!C174</f>
        <v>0</v>
      </c>
      <c r="AG168" s="329">
        <v>1</v>
      </c>
      <c r="AH168" s="329">
        <v>1</v>
      </c>
      <c r="AI168" s="329">
        <v>1</v>
      </c>
      <c r="AJ168" s="329">
        <v>1</v>
      </c>
      <c r="AK168" s="329">
        <v>1</v>
      </c>
      <c r="AL168" s="329">
        <v>1</v>
      </c>
      <c r="AM168" s="329">
        <v>1</v>
      </c>
      <c r="AN168" s="329">
        <v>1</v>
      </c>
      <c r="AO168" s="329">
        <v>1</v>
      </c>
      <c r="AP168" s="329">
        <v>1</v>
      </c>
      <c r="AQ168" s="329">
        <v>1</v>
      </c>
      <c r="AR168" s="329">
        <v>1</v>
      </c>
      <c r="AS168" s="324">
        <v>0</v>
      </c>
      <c r="AT168" s="324">
        <v>0</v>
      </c>
      <c r="AU168" s="324">
        <v>0</v>
      </c>
      <c r="AV168" s="324">
        <v>0</v>
      </c>
      <c r="AW168" s="324">
        <v>0</v>
      </c>
      <c r="AX168" s="324">
        <v>0</v>
      </c>
      <c r="AY168" s="324">
        <v>0</v>
      </c>
      <c r="AZ168" s="324">
        <v>0</v>
      </c>
      <c r="BA168" s="329">
        <v>1</v>
      </c>
      <c r="BB168" s="329">
        <v>1</v>
      </c>
      <c r="BC168" s="329">
        <v>1</v>
      </c>
      <c r="BD168" s="329">
        <v>1</v>
      </c>
      <c r="BE168" s="329">
        <v>1</v>
      </c>
      <c r="BF168" s="329">
        <v>1</v>
      </c>
      <c r="BG168" s="329">
        <v>1</v>
      </c>
      <c r="BH168" s="329">
        <v>1</v>
      </c>
      <c r="BI168" s="329">
        <v>1</v>
      </c>
      <c r="BJ168" s="329">
        <v>1</v>
      </c>
      <c r="BK168" s="329">
        <v>1</v>
      </c>
      <c r="BL168" s="329">
        <v>1</v>
      </c>
      <c r="BM168" s="329">
        <v>1</v>
      </c>
    </row>
    <row r="169" spans="3:65">
      <c r="C169" s="408" t="s">
        <v>397</v>
      </c>
      <c r="D169" s="329">
        <v>1</v>
      </c>
      <c r="E169" s="329">
        <v>1</v>
      </c>
      <c r="F169" s="329">
        <v>1</v>
      </c>
      <c r="G169" s="329">
        <v>1</v>
      </c>
      <c r="H169" s="329">
        <v>1</v>
      </c>
      <c r="I169" s="329">
        <v>1</v>
      </c>
      <c r="J169" s="329">
        <v>1</v>
      </c>
      <c r="K169" s="329">
        <v>1</v>
      </c>
      <c r="L169" s="329">
        <v>1</v>
      </c>
      <c r="M169" s="329">
        <v>1</v>
      </c>
      <c r="N169" s="329">
        <v>1</v>
      </c>
      <c r="O169" s="329">
        <v>1</v>
      </c>
      <c r="P169" s="329">
        <v>1</v>
      </c>
      <c r="Q169" s="329">
        <v>1</v>
      </c>
      <c r="R169" s="329">
        <v>1</v>
      </c>
      <c r="S169" s="329">
        <v>1</v>
      </c>
      <c r="T169" s="329">
        <v>1</v>
      </c>
      <c r="U169" s="329">
        <v>1</v>
      </c>
      <c r="V169" s="329">
        <v>1</v>
      </c>
      <c r="W169" s="329">
        <v>1</v>
      </c>
      <c r="X169" s="329">
        <v>1</v>
      </c>
      <c r="Y169" s="329">
        <v>1</v>
      </c>
      <c r="Z169" s="329">
        <v>1</v>
      </c>
      <c r="AA169" s="329">
        <v>1</v>
      </c>
      <c r="AB169" s="329">
        <v>1</v>
      </c>
      <c r="AC169" s="329">
        <v>1</v>
      </c>
      <c r="AD169" s="329">
        <v>1</v>
      </c>
      <c r="AE169" s="52">
        <f>'User Add-in Location'!B175</f>
        <v>0</v>
      </c>
      <c r="AF169" s="52">
        <f>'User Add-in Location'!C175</f>
        <v>0</v>
      </c>
      <c r="AG169" s="329">
        <v>1</v>
      </c>
      <c r="AH169" s="329">
        <v>1</v>
      </c>
      <c r="AI169" s="329">
        <v>1</v>
      </c>
      <c r="AJ169" s="329">
        <v>1</v>
      </c>
      <c r="AK169" s="329">
        <v>1</v>
      </c>
      <c r="AL169" s="329">
        <v>1</v>
      </c>
      <c r="AM169" s="329">
        <v>1</v>
      </c>
      <c r="AN169" s="329">
        <v>1</v>
      </c>
      <c r="AO169" s="329">
        <v>1</v>
      </c>
      <c r="AP169" s="329">
        <v>1</v>
      </c>
      <c r="AQ169" s="329">
        <v>1</v>
      </c>
      <c r="AR169" s="329">
        <v>1</v>
      </c>
      <c r="AS169" s="324">
        <v>0</v>
      </c>
      <c r="AT169" s="324">
        <v>0</v>
      </c>
      <c r="AU169" s="324">
        <v>0</v>
      </c>
      <c r="AV169" s="324">
        <v>0</v>
      </c>
      <c r="AW169" s="324">
        <v>0</v>
      </c>
      <c r="AX169" s="324">
        <v>0</v>
      </c>
      <c r="AY169" s="324">
        <v>0</v>
      </c>
      <c r="AZ169" s="324">
        <v>0</v>
      </c>
      <c r="BA169" s="329">
        <v>1</v>
      </c>
      <c r="BB169" s="329">
        <v>1</v>
      </c>
      <c r="BC169" s="329">
        <v>1</v>
      </c>
      <c r="BD169" s="329">
        <v>1</v>
      </c>
      <c r="BE169" s="329">
        <v>1</v>
      </c>
      <c r="BF169" s="329">
        <v>1</v>
      </c>
      <c r="BG169" s="329">
        <v>1</v>
      </c>
      <c r="BH169" s="329">
        <v>1</v>
      </c>
      <c r="BI169" s="329">
        <v>1</v>
      </c>
      <c r="BJ169" s="329">
        <v>1</v>
      </c>
      <c r="BK169" s="329">
        <v>1</v>
      </c>
      <c r="BL169" s="329">
        <v>1</v>
      </c>
      <c r="BM169" s="329">
        <v>1</v>
      </c>
    </row>
    <row r="170" spans="3:65">
      <c r="C170" s="408" t="s">
        <v>398</v>
      </c>
      <c r="D170" s="329">
        <v>1</v>
      </c>
      <c r="E170" s="329">
        <v>1</v>
      </c>
      <c r="F170" s="329">
        <v>1</v>
      </c>
      <c r="G170" s="329">
        <v>1</v>
      </c>
      <c r="H170" s="329">
        <v>1</v>
      </c>
      <c r="I170" s="329">
        <v>1</v>
      </c>
      <c r="J170" s="329">
        <v>1</v>
      </c>
      <c r="K170" s="329">
        <v>1</v>
      </c>
      <c r="L170" s="329">
        <v>1</v>
      </c>
      <c r="M170" s="329">
        <v>1</v>
      </c>
      <c r="N170" s="329">
        <v>1</v>
      </c>
      <c r="O170" s="329">
        <v>1</v>
      </c>
      <c r="P170" s="329">
        <v>1</v>
      </c>
      <c r="Q170" s="329">
        <v>1</v>
      </c>
      <c r="R170" s="329">
        <v>1</v>
      </c>
      <c r="S170" s="329">
        <v>1</v>
      </c>
      <c r="T170" s="329">
        <v>1</v>
      </c>
      <c r="U170" s="329">
        <v>1</v>
      </c>
      <c r="V170" s="329">
        <v>1</v>
      </c>
      <c r="W170" s="329">
        <v>1</v>
      </c>
      <c r="X170" s="329">
        <v>1</v>
      </c>
      <c r="Y170" s="329">
        <v>1</v>
      </c>
      <c r="Z170" s="329">
        <v>1</v>
      </c>
      <c r="AA170" s="329">
        <v>1</v>
      </c>
      <c r="AB170" s="329">
        <v>1</v>
      </c>
      <c r="AC170" s="329">
        <v>1</v>
      </c>
      <c r="AD170" s="329">
        <v>1</v>
      </c>
      <c r="AE170" s="52">
        <f>'User Add-in Location'!B176</f>
        <v>0</v>
      </c>
      <c r="AF170" s="52">
        <f>'User Add-in Location'!C176</f>
        <v>0</v>
      </c>
      <c r="AG170" s="329">
        <v>1</v>
      </c>
      <c r="AH170" s="329">
        <v>1</v>
      </c>
      <c r="AI170" s="329">
        <v>1</v>
      </c>
      <c r="AJ170" s="329">
        <v>1</v>
      </c>
      <c r="AK170" s="329">
        <v>1</v>
      </c>
      <c r="AL170" s="329">
        <v>1</v>
      </c>
      <c r="AM170" s="329">
        <v>1</v>
      </c>
      <c r="AN170" s="329">
        <v>1</v>
      </c>
      <c r="AO170" s="329">
        <v>1</v>
      </c>
      <c r="AP170" s="329">
        <v>1</v>
      </c>
      <c r="AQ170" s="329">
        <v>1</v>
      </c>
      <c r="AR170" s="329">
        <v>1</v>
      </c>
      <c r="AS170" s="324">
        <v>0</v>
      </c>
      <c r="AT170" s="324">
        <v>0</v>
      </c>
      <c r="AU170" s="324">
        <v>0</v>
      </c>
      <c r="AV170" s="324">
        <v>0</v>
      </c>
      <c r="AW170" s="324">
        <v>0</v>
      </c>
      <c r="AX170" s="324">
        <v>0</v>
      </c>
      <c r="AY170" s="324">
        <v>0</v>
      </c>
      <c r="AZ170" s="324">
        <v>0</v>
      </c>
      <c r="BA170" s="329">
        <v>1</v>
      </c>
      <c r="BB170" s="329">
        <v>1</v>
      </c>
      <c r="BC170" s="329">
        <v>1</v>
      </c>
      <c r="BD170" s="329">
        <v>1</v>
      </c>
      <c r="BE170" s="329">
        <v>1</v>
      </c>
      <c r="BF170" s="329">
        <v>1</v>
      </c>
      <c r="BG170" s="329">
        <v>1</v>
      </c>
      <c r="BH170" s="329">
        <v>1</v>
      </c>
      <c r="BI170" s="329">
        <v>1</v>
      </c>
      <c r="BJ170" s="329">
        <v>1</v>
      </c>
      <c r="BK170" s="329">
        <v>1</v>
      </c>
      <c r="BL170" s="329">
        <v>1</v>
      </c>
      <c r="BM170" s="329">
        <v>1</v>
      </c>
    </row>
    <row r="171" spans="3:65">
      <c r="C171" s="408" t="s">
        <v>399</v>
      </c>
      <c r="D171" s="329">
        <v>1</v>
      </c>
      <c r="E171" s="329">
        <v>1</v>
      </c>
      <c r="F171" s="329">
        <v>1</v>
      </c>
      <c r="G171" s="329">
        <v>1</v>
      </c>
      <c r="H171" s="329">
        <v>1</v>
      </c>
      <c r="I171" s="329">
        <v>1</v>
      </c>
      <c r="J171" s="329">
        <v>1</v>
      </c>
      <c r="K171" s="329">
        <v>1</v>
      </c>
      <c r="L171" s="329">
        <v>1</v>
      </c>
      <c r="M171" s="329">
        <v>1</v>
      </c>
      <c r="N171" s="329">
        <v>1</v>
      </c>
      <c r="O171" s="329">
        <v>1</v>
      </c>
      <c r="P171" s="329">
        <v>1</v>
      </c>
      <c r="Q171" s="329">
        <v>1</v>
      </c>
      <c r="R171" s="329">
        <v>1</v>
      </c>
      <c r="S171" s="329">
        <v>1</v>
      </c>
      <c r="T171" s="329">
        <v>1</v>
      </c>
      <c r="U171" s="329">
        <v>1</v>
      </c>
      <c r="V171" s="329">
        <v>1</v>
      </c>
      <c r="W171" s="329">
        <v>1</v>
      </c>
      <c r="X171" s="329">
        <v>1</v>
      </c>
      <c r="Y171" s="329">
        <v>1</v>
      </c>
      <c r="Z171" s="329">
        <v>1</v>
      </c>
      <c r="AA171" s="329">
        <v>1</v>
      </c>
      <c r="AB171" s="329">
        <v>1</v>
      </c>
      <c r="AC171" s="329">
        <v>1</v>
      </c>
      <c r="AD171" s="329">
        <v>1</v>
      </c>
      <c r="AE171" s="52">
        <f>'User Add-in Location'!B177</f>
        <v>0</v>
      </c>
      <c r="AF171" s="52">
        <f>'User Add-in Location'!C177</f>
        <v>0</v>
      </c>
      <c r="AG171" s="329">
        <v>1</v>
      </c>
      <c r="AH171" s="329">
        <v>1</v>
      </c>
      <c r="AI171" s="329">
        <v>1</v>
      </c>
      <c r="AJ171" s="329">
        <v>1</v>
      </c>
      <c r="AK171" s="329">
        <v>1</v>
      </c>
      <c r="AL171" s="329">
        <v>1</v>
      </c>
      <c r="AM171" s="329">
        <v>1</v>
      </c>
      <c r="AN171" s="329">
        <v>1</v>
      </c>
      <c r="AO171" s="329">
        <v>1</v>
      </c>
      <c r="AP171" s="329">
        <v>1</v>
      </c>
      <c r="AQ171" s="329">
        <v>1</v>
      </c>
      <c r="AR171" s="329">
        <v>1</v>
      </c>
      <c r="AS171" s="324">
        <v>0</v>
      </c>
      <c r="AT171" s="324">
        <v>0</v>
      </c>
      <c r="AU171" s="324">
        <v>0</v>
      </c>
      <c r="AV171" s="324">
        <v>0</v>
      </c>
      <c r="AW171" s="324">
        <v>0</v>
      </c>
      <c r="AX171" s="324">
        <v>0</v>
      </c>
      <c r="AY171" s="324">
        <v>0</v>
      </c>
      <c r="AZ171" s="324">
        <v>0</v>
      </c>
      <c r="BA171" s="329">
        <v>1</v>
      </c>
      <c r="BB171" s="329">
        <v>1</v>
      </c>
      <c r="BC171" s="329">
        <v>1</v>
      </c>
      <c r="BD171" s="329">
        <v>1</v>
      </c>
      <c r="BE171" s="329">
        <v>1</v>
      </c>
      <c r="BF171" s="329">
        <v>1</v>
      </c>
      <c r="BG171" s="329">
        <v>1</v>
      </c>
      <c r="BH171" s="329">
        <v>1</v>
      </c>
      <c r="BI171" s="329">
        <v>1</v>
      </c>
      <c r="BJ171" s="329">
        <v>1</v>
      </c>
      <c r="BK171" s="329">
        <v>1</v>
      </c>
      <c r="BL171" s="329">
        <v>1</v>
      </c>
      <c r="BM171" s="329">
        <v>1</v>
      </c>
    </row>
    <row r="172" spans="3:65">
      <c r="C172" s="408" t="s">
        <v>400</v>
      </c>
      <c r="D172" s="329">
        <v>1</v>
      </c>
      <c r="E172" s="329">
        <v>1</v>
      </c>
      <c r="F172" s="329">
        <v>1</v>
      </c>
      <c r="G172" s="329">
        <v>1</v>
      </c>
      <c r="H172" s="329">
        <v>1</v>
      </c>
      <c r="I172" s="329">
        <v>1</v>
      </c>
      <c r="J172" s="329">
        <v>1</v>
      </c>
      <c r="K172" s="329">
        <v>1</v>
      </c>
      <c r="L172" s="329">
        <v>1</v>
      </c>
      <c r="M172" s="329">
        <v>1</v>
      </c>
      <c r="N172" s="329">
        <v>1</v>
      </c>
      <c r="O172" s="329">
        <v>1</v>
      </c>
      <c r="P172" s="329">
        <v>1</v>
      </c>
      <c r="Q172" s="329">
        <v>1</v>
      </c>
      <c r="R172" s="329">
        <v>1</v>
      </c>
      <c r="S172" s="329">
        <v>1</v>
      </c>
      <c r="T172" s="329">
        <v>1</v>
      </c>
      <c r="U172" s="329">
        <v>1</v>
      </c>
      <c r="V172" s="329">
        <v>1</v>
      </c>
      <c r="W172" s="329">
        <v>1</v>
      </c>
      <c r="X172" s="329">
        <v>1</v>
      </c>
      <c r="Y172" s="329">
        <v>1</v>
      </c>
      <c r="Z172" s="329">
        <v>1</v>
      </c>
      <c r="AA172" s="329">
        <v>1</v>
      </c>
      <c r="AB172" s="329">
        <v>1</v>
      </c>
      <c r="AC172" s="329">
        <v>1</v>
      </c>
      <c r="AD172" s="329">
        <v>1</v>
      </c>
      <c r="AE172" s="52">
        <f>'User Add-in Location'!B178</f>
        <v>0</v>
      </c>
      <c r="AF172" s="52">
        <f>'User Add-in Location'!C178</f>
        <v>0</v>
      </c>
      <c r="AG172" s="329">
        <v>1</v>
      </c>
      <c r="AH172" s="329">
        <v>1</v>
      </c>
      <c r="AI172" s="329">
        <v>1</v>
      </c>
      <c r="AJ172" s="329">
        <v>1</v>
      </c>
      <c r="AK172" s="329">
        <v>1</v>
      </c>
      <c r="AL172" s="329">
        <v>1</v>
      </c>
      <c r="AM172" s="329">
        <v>1</v>
      </c>
      <c r="AN172" s="329">
        <v>1</v>
      </c>
      <c r="AO172" s="329">
        <v>1</v>
      </c>
      <c r="AP172" s="329">
        <v>1</v>
      </c>
      <c r="AQ172" s="329">
        <v>1</v>
      </c>
      <c r="AR172" s="329">
        <v>1</v>
      </c>
      <c r="AS172" s="324">
        <v>0</v>
      </c>
      <c r="AT172" s="324">
        <v>0</v>
      </c>
      <c r="AU172" s="324">
        <v>0</v>
      </c>
      <c r="AV172" s="324">
        <v>0</v>
      </c>
      <c r="AW172" s="324">
        <v>0</v>
      </c>
      <c r="AX172" s="324">
        <v>0</v>
      </c>
      <c r="AY172" s="324">
        <v>0</v>
      </c>
      <c r="AZ172" s="324">
        <v>0</v>
      </c>
      <c r="BA172" s="329">
        <v>1</v>
      </c>
      <c r="BB172" s="329">
        <v>1</v>
      </c>
      <c r="BC172" s="329">
        <v>1</v>
      </c>
      <c r="BD172" s="329">
        <v>1</v>
      </c>
      <c r="BE172" s="329">
        <v>1</v>
      </c>
      <c r="BF172" s="329">
        <v>1</v>
      </c>
      <c r="BG172" s="329">
        <v>1</v>
      </c>
      <c r="BH172" s="329">
        <v>1</v>
      </c>
      <c r="BI172" s="329">
        <v>1</v>
      </c>
      <c r="BJ172" s="329">
        <v>1</v>
      </c>
      <c r="BK172" s="329">
        <v>1</v>
      </c>
      <c r="BL172" s="329">
        <v>1</v>
      </c>
      <c r="BM172" s="329">
        <v>1</v>
      </c>
    </row>
    <row r="173" spans="3:65">
      <c r="C173" s="408" t="s">
        <v>401</v>
      </c>
      <c r="D173" s="329">
        <v>1</v>
      </c>
      <c r="E173" s="329">
        <v>1</v>
      </c>
      <c r="F173" s="329">
        <v>1</v>
      </c>
      <c r="G173" s="329">
        <v>1</v>
      </c>
      <c r="H173" s="329">
        <v>1</v>
      </c>
      <c r="I173" s="329">
        <v>1</v>
      </c>
      <c r="J173" s="329">
        <v>1</v>
      </c>
      <c r="K173" s="329">
        <v>1</v>
      </c>
      <c r="L173" s="329">
        <v>1</v>
      </c>
      <c r="M173" s="329">
        <v>1</v>
      </c>
      <c r="N173" s="329">
        <v>1</v>
      </c>
      <c r="O173" s="329">
        <v>1</v>
      </c>
      <c r="P173" s="329">
        <v>1</v>
      </c>
      <c r="Q173" s="329">
        <v>1</v>
      </c>
      <c r="R173" s="329">
        <v>1</v>
      </c>
      <c r="S173" s="329">
        <v>1</v>
      </c>
      <c r="T173" s="329">
        <v>1</v>
      </c>
      <c r="U173" s="329">
        <v>1</v>
      </c>
      <c r="V173" s="329">
        <v>1</v>
      </c>
      <c r="W173" s="329">
        <v>1</v>
      </c>
      <c r="X173" s="329">
        <v>1</v>
      </c>
      <c r="Y173" s="329">
        <v>1</v>
      </c>
      <c r="Z173" s="329">
        <v>1</v>
      </c>
      <c r="AA173" s="329">
        <v>1</v>
      </c>
      <c r="AB173" s="329">
        <v>1</v>
      </c>
      <c r="AC173" s="329">
        <v>1</v>
      </c>
      <c r="AD173" s="329">
        <v>1</v>
      </c>
      <c r="AE173" s="52">
        <f>'User Add-in Location'!B179</f>
        <v>0</v>
      </c>
      <c r="AF173" s="52">
        <f>'User Add-in Location'!C179</f>
        <v>0</v>
      </c>
      <c r="AG173" s="329">
        <v>1</v>
      </c>
      <c r="AH173" s="329">
        <v>1</v>
      </c>
      <c r="AI173" s="329">
        <v>1</v>
      </c>
      <c r="AJ173" s="329">
        <v>1</v>
      </c>
      <c r="AK173" s="329">
        <v>1</v>
      </c>
      <c r="AL173" s="329">
        <v>1</v>
      </c>
      <c r="AM173" s="329">
        <v>1</v>
      </c>
      <c r="AN173" s="329">
        <v>1</v>
      </c>
      <c r="AO173" s="329">
        <v>1</v>
      </c>
      <c r="AP173" s="329">
        <v>1</v>
      </c>
      <c r="AQ173" s="329">
        <v>1</v>
      </c>
      <c r="AR173" s="329">
        <v>1</v>
      </c>
      <c r="AS173" s="324">
        <v>0</v>
      </c>
      <c r="AT173" s="324">
        <v>0</v>
      </c>
      <c r="AU173" s="324">
        <v>0</v>
      </c>
      <c r="AV173" s="324">
        <v>0</v>
      </c>
      <c r="AW173" s="324">
        <v>0</v>
      </c>
      <c r="AX173" s="324">
        <v>0</v>
      </c>
      <c r="AY173" s="324">
        <v>0</v>
      </c>
      <c r="AZ173" s="324">
        <v>0</v>
      </c>
      <c r="BA173" s="329">
        <v>1</v>
      </c>
      <c r="BB173" s="329">
        <v>1</v>
      </c>
      <c r="BC173" s="329">
        <v>1</v>
      </c>
      <c r="BD173" s="329">
        <v>1</v>
      </c>
      <c r="BE173" s="329">
        <v>1</v>
      </c>
      <c r="BF173" s="329">
        <v>1</v>
      </c>
      <c r="BG173" s="329">
        <v>1</v>
      </c>
      <c r="BH173" s="329">
        <v>1</v>
      </c>
      <c r="BI173" s="329">
        <v>1</v>
      </c>
      <c r="BJ173" s="329">
        <v>1</v>
      </c>
      <c r="BK173" s="329">
        <v>1</v>
      </c>
      <c r="BL173" s="329">
        <v>1</v>
      </c>
      <c r="BM173" s="329">
        <v>1</v>
      </c>
    </row>
    <row r="174" spans="3:65">
      <c r="C174" s="408" t="s">
        <v>402</v>
      </c>
      <c r="D174" s="329">
        <v>1</v>
      </c>
      <c r="E174" s="329">
        <v>1</v>
      </c>
      <c r="F174" s="329">
        <v>1</v>
      </c>
      <c r="G174" s="329">
        <v>1</v>
      </c>
      <c r="H174" s="329">
        <v>1</v>
      </c>
      <c r="I174" s="329">
        <v>1</v>
      </c>
      <c r="J174" s="329">
        <v>1</v>
      </c>
      <c r="K174" s="329">
        <v>1</v>
      </c>
      <c r="L174" s="329">
        <v>1</v>
      </c>
      <c r="M174" s="329">
        <v>1</v>
      </c>
      <c r="N174" s="329">
        <v>1</v>
      </c>
      <c r="O174" s="329">
        <v>1</v>
      </c>
      <c r="P174" s="329">
        <v>1</v>
      </c>
      <c r="Q174" s="329">
        <v>1</v>
      </c>
      <c r="R174" s="329">
        <v>1</v>
      </c>
      <c r="S174" s="329">
        <v>1</v>
      </c>
      <c r="T174" s="329">
        <v>1</v>
      </c>
      <c r="U174" s="329">
        <v>1</v>
      </c>
      <c r="V174" s="329">
        <v>1</v>
      </c>
      <c r="W174" s="329">
        <v>1</v>
      </c>
      <c r="X174" s="329">
        <v>1</v>
      </c>
      <c r="Y174" s="329">
        <v>1</v>
      </c>
      <c r="Z174" s="329">
        <v>1</v>
      </c>
      <c r="AA174" s="329">
        <v>1</v>
      </c>
      <c r="AB174" s="329">
        <v>1</v>
      </c>
      <c r="AC174" s="329">
        <v>1</v>
      </c>
      <c r="AD174" s="329">
        <v>1</v>
      </c>
      <c r="AE174" s="52">
        <f>'User Add-in Location'!B180</f>
        <v>0</v>
      </c>
      <c r="AF174" s="52">
        <f>'User Add-in Location'!C180</f>
        <v>0</v>
      </c>
      <c r="AG174" s="329">
        <v>1</v>
      </c>
      <c r="AH174" s="329">
        <v>1</v>
      </c>
      <c r="AI174" s="329">
        <v>1</v>
      </c>
      <c r="AJ174" s="329">
        <v>1</v>
      </c>
      <c r="AK174" s="329">
        <v>1</v>
      </c>
      <c r="AL174" s="329">
        <v>1</v>
      </c>
      <c r="AM174" s="329">
        <v>1</v>
      </c>
      <c r="AN174" s="329">
        <v>1</v>
      </c>
      <c r="AO174" s="329">
        <v>1</v>
      </c>
      <c r="AP174" s="329">
        <v>1</v>
      </c>
      <c r="AQ174" s="329">
        <v>1</v>
      </c>
      <c r="AR174" s="329">
        <v>1</v>
      </c>
      <c r="AS174" s="324">
        <v>0</v>
      </c>
      <c r="AT174" s="324">
        <v>0</v>
      </c>
      <c r="AU174" s="324">
        <v>0</v>
      </c>
      <c r="AV174" s="324">
        <v>0</v>
      </c>
      <c r="AW174" s="324">
        <v>0</v>
      </c>
      <c r="AX174" s="324">
        <v>0</v>
      </c>
      <c r="AY174" s="324">
        <v>0</v>
      </c>
      <c r="AZ174" s="324">
        <v>0</v>
      </c>
      <c r="BA174" s="329">
        <v>1</v>
      </c>
      <c r="BB174" s="329">
        <v>1</v>
      </c>
      <c r="BC174" s="329">
        <v>1</v>
      </c>
      <c r="BD174" s="329">
        <v>1</v>
      </c>
      <c r="BE174" s="329">
        <v>1</v>
      </c>
      <c r="BF174" s="329">
        <v>1</v>
      </c>
      <c r="BG174" s="329">
        <v>1</v>
      </c>
      <c r="BH174" s="329">
        <v>1</v>
      </c>
      <c r="BI174" s="329">
        <v>1</v>
      </c>
      <c r="BJ174" s="329">
        <v>1</v>
      </c>
      <c r="BK174" s="329">
        <v>1</v>
      </c>
      <c r="BL174" s="329">
        <v>1</v>
      </c>
      <c r="BM174" s="329">
        <v>1</v>
      </c>
    </row>
    <row r="175" spans="3:65">
      <c r="C175" s="408" t="s">
        <v>403</v>
      </c>
      <c r="D175" s="329">
        <v>1</v>
      </c>
      <c r="E175" s="329">
        <v>1</v>
      </c>
      <c r="F175" s="329">
        <v>1</v>
      </c>
      <c r="G175" s="329">
        <v>1</v>
      </c>
      <c r="H175" s="329">
        <v>1</v>
      </c>
      <c r="I175" s="329">
        <v>1</v>
      </c>
      <c r="J175" s="329">
        <v>1</v>
      </c>
      <c r="K175" s="329">
        <v>1</v>
      </c>
      <c r="L175" s="329">
        <v>1</v>
      </c>
      <c r="M175" s="329">
        <v>1</v>
      </c>
      <c r="N175" s="329">
        <v>1</v>
      </c>
      <c r="O175" s="329">
        <v>1</v>
      </c>
      <c r="P175" s="329">
        <v>1</v>
      </c>
      <c r="Q175" s="329">
        <v>1</v>
      </c>
      <c r="R175" s="329">
        <v>1</v>
      </c>
      <c r="S175" s="329">
        <v>1</v>
      </c>
      <c r="T175" s="329">
        <v>1</v>
      </c>
      <c r="U175" s="329">
        <v>1</v>
      </c>
      <c r="V175" s="329">
        <v>1</v>
      </c>
      <c r="W175" s="329">
        <v>1</v>
      </c>
      <c r="X175" s="329">
        <v>1</v>
      </c>
      <c r="Y175" s="329">
        <v>1</v>
      </c>
      <c r="Z175" s="329">
        <v>1</v>
      </c>
      <c r="AA175" s="329">
        <v>1</v>
      </c>
      <c r="AB175" s="329">
        <v>1</v>
      </c>
      <c r="AC175" s="329">
        <v>1</v>
      </c>
      <c r="AD175" s="329">
        <v>1</v>
      </c>
      <c r="AE175" s="52">
        <f>'User Add-in Location'!B181</f>
        <v>0</v>
      </c>
      <c r="AF175" s="52">
        <f>'User Add-in Location'!C181</f>
        <v>0</v>
      </c>
      <c r="AG175" s="329">
        <v>1</v>
      </c>
      <c r="AH175" s="329">
        <v>1</v>
      </c>
      <c r="AI175" s="329">
        <v>1</v>
      </c>
      <c r="AJ175" s="329">
        <v>1</v>
      </c>
      <c r="AK175" s="329">
        <v>1</v>
      </c>
      <c r="AL175" s="329">
        <v>1</v>
      </c>
      <c r="AM175" s="329">
        <v>1</v>
      </c>
      <c r="AN175" s="329">
        <v>1</v>
      </c>
      <c r="AO175" s="329">
        <v>1</v>
      </c>
      <c r="AP175" s="329">
        <v>1</v>
      </c>
      <c r="AQ175" s="329">
        <v>1</v>
      </c>
      <c r="AR175" s="329">
        <v>1</v>
      </c>
      <c r="AS175" s="324">
        <v>0</v>
      </c>
      <c r="AT175" s="324">
        <v>0</v>
      </c>
      <c r="AU175" s="324">
        <v>0</v>
      </c>
      <c r="AV175" s="324">
        <v>0</v>
      </c>
      <c r="AW175" s="324">
        <v>0</v>
      </c>
      <c r="AX175" s="324">
        <v>0</v>
      </c>
      <c r="AY175" s="324">
        <v>0</v>
      </c>
      <c r="AZ175" s="324">
        <v>0</v>
      </c>
      <c r="BA175" s="329">
        <v>1</v>
      </c>
      <c r="BB175" s="329">
        <v>1</v>
      </c>
      <c r="BC175" s="329">
        <v>1</v>
      </c>
      <c r="BD175" s="329">
        <v>1</v>
      </c>
      <c r="BE175" s="329">
        <v>1</v>
      </c>
      <c r="BF175" s="329">
        <v>1</v>
      </c>
      <c r="BG175" s="329">
        <v>1</v>
      </c>
      <c r="BH175" s="329">
        <v>1</v>
      </c>
      <c r="BI175" s="329">
        <v>1</v>
      </c>
      <c r="BJ175" s="329">
        <v>1</v>
      </c>
      <c r="BK175" s="329">
        <v>1</v>
      </c>
      <c r="BL175" s="329">
        <v>1</v>
      </c>
      <c r="BM175" s="329">
        <v>1</v>
      </c>
    </row>
    <row r="176" spans="3:65">
      <c r="C176" s="408" t="s">
        <v>404</v>
      </c>
      <c r="D176" s="329">
        <v>1</v>
      </c>
      <c r="E176" s="329">
        <v>1</v>
      </c>
      <c r="F176" s="329">
        <v>1</v>
      </c>
      <c r="G176" s="329">
        <v>1</v>
      </c>
      <c r="H176" s="329">
        <v>1</v>
      </c>
      <c r="I176" s="329">
        <v>1</v>
      </c>
      <c r="J176" s="329">
        <v>1</v>
      </c>
      <c r="K176" s="329">
        <v>1</v>
      </c>
      <c r="L176" s="329">
        <v>1</v>
      </c>
      <c r="M176" s="329">
        <v>1</v>
      </c>
      <c r="N176" s="329">
        <v>1</v>
      </c>
      <c r="O176" s="329">
        <v>1</v>
      </c>
      <c r="P176" s="329">
        <v>1</v>
      </c>
      <c r="Q176" s="329">
        <v>1</v>
      </c>
      <c r="R176" s="329">
        <v>1</v>
      </c>
      <c r="S176" s="329">
        <v>1</v>
      </c>
      <c r="T176" s="329">
        <v>1</v>
      </c>
      <c r="U176" s="329">
        <v>1</v>
      </c>
      <c r="V176" s="329">
        <v>1</v>
      </c>
      <c r="W176" s="329">
        <v>1</v>
      </c>
      <c r="X176" s="329">
        <v>1</v>
      </c>
      <c r="Y176" s="329">
        <v>1</v>
      </c>
      <c r="Z176" s="329">
        <v>1</v>
      </c>
      <c r="AA176" s="329">
        <v>1</v>
      </c>
      <c r="AB176" s="329">
        <v>1</v>
      </c>
      <c r="AC176" s="329">
        <v>1</v>
      </c>
      <c r="AD176" s="329">
        <v>1</v>
      </c>
      <c r="AE176" s="52">
        <f>'User Add-in Location'!B182</f>
        <v>0</v>
      </c>
      <c r="AF176" s="52">
        <f>'User Add-in Location'!C182</f>
        <v>0</v>
      </c>
      <c r="AG176" s="329">
        <v>1</v>
      </c>
      <c r="AH176" s="329">
        <v>1</v>
      </c>
      <c r="AI176" s="329">
        <v>1</v>
      </c>
      <c r="AJ176" s="329">
        <v>1</v>
      </c>
      <c r="AK176" s="329">
        <v>1</v>
      </c>
      <c r="AL176" s="329">
        <v>1</v>
      </c>
      <c r="AM176" s="329">
        <v>1</v>
      </c>
      <c r="AN176" s="329">
        <v>1</v>
      </c>
      <c r="AO176" s="329">
        <v>1</v>
      </c>
      <c r="AP176" s="329">
        <v>1</v>
      </c>
      <c r="AQ176" s="329">
        <v>1</v>
      </c>
      <c r="AR176" s="329">
        <v>1</v>
      </c>
      <c r="AS176" s="324">
        <v>0</v>
      </c>
      <c r="AT176" s="324">
        <v>0</v>
      </c>
      <c r="AU176" s="324">
        <v>0</v>
      </c>
      <c r="AV176" s="324">
        <v>0</v>
      </c>
      <c r="AW176" s="324">
        <v>0</v>
      </c>
      <c r="AX176" s="324">
        <v>0</v>
      </c>
      <c r="AY176" s="324">
        <v>0</v>
      </c>
      <c r="AZ176" s="324">
        <v>0</v>
      </c>
      <c r="BA176" s="329">
        <v>1</v>
      </c>
      <c r="BB176" s="329">
        <v>1</v>
      </c>
      <c r="BC176" s="329">
        <v>1</v>
      </c>
      <c r="BD176" s="329">
        <v>1</v>
      </c>
      <c r="BE176" s="329">
        <v>1</v>
      </c>
      <c r="BF176" s="329">
        <v>1</v>
      </c>
      <c r="BG176" s="329">
        <v>1</v>
      </c>
      <c r="BH176" s="329">
        <v>1</v>
      </c>
      <c r="BI176" s="329">
        <v>1</v>
      </c>
      <c r="BJ176" s="329">
        <v>1</v>
      </c>
      <c r="BK176" s="329">
        <v>1</v>
      </c>
      <c r="BL176" s="329">
        <v>1</v>
      </c>
      <c r="BM176" s="329">
        <v>1</v>
      </c>
    </row>
    <row r="177" spans="3:65">
      <c r="C177" s="349"/>
      <c r="D177" s="329"/>
      <c r="E177" s="329"/>
      <c r="F177" s="329"/>
      <c r="G177" s="329"/>
      <c r="H177" s="329"/>
      <c r="I177" s="329"/>
      <c r="J177" s="329"/>
      <c r="K177" s="329"/>
      <c r="L177" s="329"/>
      <c r="M177" s="329"/>
      <c r="N177" s="329"/>
      <c r="O177" s="329"/>
      <c r="P177" s="329"/>
      <c r="Q177" s="329"/>
      <c r="R177" s="329"/>
      <c r="S177" s="329"/>
      <c r="T177" s="329"/>
      <c r="U177" s="329"/>
      <c r="V177" s="329"/>
      <c r="W177" s="329"/>
      <c r="X177" s="329"/>
      <c r="Y177" s="329"/>
      <c r="Z177" s="329"/>
      <c r="AA177" s="329"/>
      <c r="AB177" s="329"/>
      <c r="AC177" s="329"/>
      <c r="AD177" s="329"/>
      <c r="AG177" s="329"/>
      <c r="AH177" s="329"/>
      <c r="AI177" s="329"/>
      <c r="AJ177" s="329"/>
      <c r="AK177" s="329"/>
      <c r="AL177" s="329"/>
      <c r="AM177" s="329"/>
      <c r="AN177" s="329"/>
      <c r="AO177" s="329"/>
      <c r="AP177" s="329"/>
      <c r="AQ177" s="329"/>
      <c r="AR177" s="329"/>
      <c r="AS177" s="324"/>
      <c r="AT177" s="324"/>
      <c r="AU177" s="324"/>
      <c r="AV177" s="324"/>
      <c r="AW177" s="324"/>
      <c r="AX177" s="324"/>
      <c r="AY177" s="324"/>
      <c r="AZ177" s="324"/>
      <c r="BA177" s="329"/>
      <c r="BB177" s="329"/>
      <c r="BC177" s="329"/>
      <c r="BD177" s="329"/>
      <c r="BE177" s="329"/>
      <c r="BF177" s="329"/>
      <c r="BG177" s="329"/>
      <c r="BH177" s="329"/>
      <c r="BI177" s="329"/>
      <c r="BJ177" s="329"/>
      <c r="BK177" s="329"/>
      <c r="BL177" s="329"/>
      <c r="BM177" s="329"/>
    </row>
    <row r="178" spans="3:65" ht="15.75" customHeight="1">
      <c r="C178" s="330" t="s">
        <v>411</v>
      </c>
      <c r="AS178" s="324"/>
      <c r="AT178" s="324"/>
      <c r="AU178" s="324"/>
      <c r="AV178" s="324"/>
      <c r="AW178" s="324"/>
      <c r="AX178" s="324"/>
      <c r="AY178" s="324"/>
      <c r="AZ178" s="324"/>
    </row>
    <row r="179" spans="3:65" ht="14.25" customHeight="1">
      <c r="C179" s="352" t="s">
        <v>413</v>
      </c>
      <c r="D179" s="52" t="s">
        <v>219</v>
      </c>
      <c r="E179" s="52" t="s">
        <v>222</v>
      </c>
      <c r="F179" s="52" t="s">
        <v>231</v>
      </c>
      <c r="G179" s="52" t="s">
        <v>221</v>
      </c>
      <c r="H179" s="52" t="s">
        <v>223</v>
      </c>
      <c r="I179" s="52" t="s">
        <v>240</v>
      </c>
      <c r="J179" s="52" t="s">
        <v>216</v>
      </c>
      <c r="K179" s="52" t="s">
        <v>217</v>
      </c>
      <c r="L179" s="52" t="s">
        <v>218</v>
      </c>
      <c r="M179" s="52" t="s">
        <v>228</v>
      </c>
      <c r="N179" s="52" t="s">
        <v>237</v>
      </c>
      <c r="O179" s="52" t="s">
        <v>232</v>
      </c>
      <c r="P179" s="52" t="s">
        <v>248</v>
      </c>
      <c r="Q179" s="52" t="s">
        <v>220</v>
      </c>
      <c r="R179" s="52" t="s">
        <v>229</v>
      </c>
      <c r="S179" s="52" t="s">
        <v>238</v>
      </c>
      <c r="T179" s="52" t="s">
        <v>254</v>
      </c>
      <c r="U179" s="52" t="s">
        <v>245</v>
      </c>
      <c r="V179" s="52" t="s">
        <v>230</v>
      </c>
      <c r="W179" s="52" t="s">
        <v>225</v>
      </c>
      <c r="X179" s="52" t="s">
        <v>227</v>
      </c>
      <c r="Y179" s="52" t="s">
        <v>234</v>
      </c>
      <c r="Z179" s="52" t="s">
        <v>246</v>
      </c>
      <c r="AA179" s="52" t="s">
        <v>252</v>
      </c>
      <c r="AB179" s="52" t="s">
        <v>251</v>
      </c>
      <c r="AC179" s="52" t="s">
        <v>239</v>
      </c>
      <c r="AD179" s="52" t="s">
        <v>260</v>
      </c>
      <c r="AE179" s="52" t="s">
        <v>381</v>
      </c>
      <c r="AF179" s="52" t="s">
        <v>382</v>
      </c>
      <c r="AG179" s="52" t="s">
        <v>264</v>
      </c>
      <c r="AH179" s="52" t="s">
        <v>266</v>
      </c>
      <c r="AI179" s="52" t="s">
        <v>242</v>
      </c>
      <c r="AJ179" s="52" t="s">
        <v>489</v>
      </c>
      <c r="AK179" s="52" t="s">
        <v>247</v>
      </c>
      <c r="AL179" s="52" t="s">
        <v>250</v>
      </c>
      <c r="AM179" s="52" t="s">
        <v>236</v>
      </c>
      <c r="AN179" s="52" t="s">
        <v>268</v>
      </c>
      <c r="AO179" s="52" t="s">
        <v>258</v>
      </c>
      <c r="AP179" s="52" t="s">
        <v>253</v>
      </c>
      <c r="AQ179" s="52" t="s">
        <v>270</v>
      </c>
      <c r="AR179" s="52" t="s">
        <v>235</v>
      </c>
      <c r="AS179" s="407" t="s">
        <v>207</v>
      </c>
      <c r="AT179" s="407" t="s">
        <v>208</v>
      </c>
      <c r="AU179" s="407" t="s">
        <v>209</v>
      </c>
      <c r="AV179" s="407" t="s">
        <v>210</v>
      </c>
      <c r="AW179" s="407" t="s">
        <v>211</v>
      </c>
      <c r="AX179" s="407" t="s">
        <v>212</v>
      </c>
      <c r="AY179" s="407" t="s">
        <v>213</v>
      </c>
      <c r="AZ179" s="407" t="s">
        <v>214</v>
      </c>
      <c r="BA179" s="52" t="s">
        <v>256</v>
      </c>
      <c r="BB179" s="52" t="s">
        <v>490</v>
      </c>
      <c r="BC179" s="52" t="s">
        <v>272</v>
      </c>
      <c r="BD179" s="52" t="s">
        <v>491</v>
      </c>
      <c r="BE179" s="52" t="s">
        <v>492</v>
      </c>
      <c r="BF179" s="321" t="s">
        <v>604</v>
      </c>
      <c r="BG179" s="52" t="s">
        <v>274</v>
      </c>
      <c r="BH179" s="52" t="s">
        <v>262</v>
      </c>
      <c r="BI179" s="52" t="s">
        <v>244</v>
      </c>
      <c r="BJ179" s="52" t="s">
        <v>275</v>
      </c>
      <c r="BK179" s="52" t="s">
        <v>243</v>
      </c>
      <c r="BL179" s="52" t="s">
        <v>263</v>
      </c>
      <c r="BM179" s="52" t="s">
        <v>493</v>
      </c>
    </row>
    <row r="180" spans="3:65">
      <c r="C180" s="408" t="s">
        <v>383</v>
      </c>
      <c r="D180" s="329">
        <v>0.64003299999999996</v>
      </c>
      <c r="E180" s="329">
        <v>0.30921599999999999</v>
      </c>
      <c r="F180" s="329">
        <v>0.32013799999999998</v>
      </c>
      <c r="G180" s="329">
        <v>0.88859699999999997</v>
      </c>
      <c r="H180" s="329">
        <v>0.36699500000000002</v>
      </c>
      <c r="I180" s="329">
        <v>0.68263399999999996</v>
      </c>
      <c r="J180" s="329">
        <v>0.29584300000000002</v>
      </c>
      <c r="K180" s="329">
        <v>0.56499299999999997</v>
      </c>
      <c r="L180" s="329">
        <v>7.4205999999999994E-2</v>
      </c>
      <c r="M180" s="329">
        <v>0.308286</v>
      </c>
      <c r="N180" s="329">
        <v>0.66938399999999998</v>
      </c>
      <c r="O180" s="329">
        <v>0.25577699999999998</v>
      </c>
      <c r="P180" s="329">
        <v>0.62297599999999997</v>
      </c>
      <c r="Q180" s="329">
        <v>0.63281299999999996</v>
      </c>
      <c r="R180" s="329">
        <v>0.678068</v>
      </c>
      <c r="S180" s="329">
        <v>0.80306100000000002</v>
      </c>
      <c r="T180" s="329">
        <v>1.0073909999999999</v>
      </c>
      <c r="U180" s="329">
        <v>0.47724</v>
      </c>
      <c r="V180" s="329">
        <v>0.66833200000000004</v>
      </c>
      <c r="W180" s="329">
        <v>0.238173</v>
      </c>
      <c r="X180" s="329">
        <v>0.40741500000000003</v>
      </c>
      <c r="Y180" s="329">
        <v>0.161167</v>
      </c>
      <c r="Z180" s="329">
        <v>0.50974600000000003</v>
      </c>
      <c r="AA180" s="329">
        <v>0.83108700000000002</v>
      </c>
      <c r="AB180" s="329">
        <v>0.79712899999999998</v>
      </c>
      <c r="AC180" s="329">
        <v>0.80067699999999997</v>
      </c>
      <c r="AD180" s="329">
        <v>0.52898999999999996</v>
      </c>
      <c r="AE180" s="52">
        <f>'User Add-in Location'!B186</f>
        <v>0</v>
      </c>
      <c r="AF180" s="52">
        <f>'User Add-in Location'!C186</f>
        <v>0</v>
      </c>
      <c r="AG180" s="329">
        <v>0.93139499999999997</v>
      </c>
      <c r="AH180" s="329">
        <v>0.35334599999999999</v>
      </c>
      <c r="AI180" s="329">
        <v>0.34191899999999997</v>
      </c>
      <c r="AJ180" s="329">
        <v>0.29061799999999999</v>
      </c>
      <c r="AK180" s="329">
        <v>0.55350200000000005</v>
      </c>
      <c r="AL180" s="329">
        <v>0.38524999999999998</v>
      </c>
      <c r="AM180" s="329">
        <v>0.76078199999999996</v>
      </c>
      <c r="AN180" s="329">
        <v>0.53892200000000001</v>
      </c>
      <c r="AO180" s="329">
        <v>0.45997199999999999</v>
      </c>
      <c r="AP180" s="329">
        <v>0.80841600000000002</v>
      </c>
      <c r="AQ180" s="329">
        <v>0.417383</v>
      </c>
      <c r="AR180" s="329">
        <v>0.60237200000000002</v>
      </c>
      <c r="AS180" s="324">
        <v>0</v>
      </c>
      <c r="AT180" s="324">
        <v>0</v>
      </c>
      <c r="AU180" s="324">
        <v>0</v>
      </c>
      <c r="AV180" s="324">
        <v>0</v>
      </c>
      <c r="AW180" s="324">
        <v>0</v>
      </c>
      <c r="AX180" s="324">
        <v>0</v>
      </c>
      <c r="AY180" s="324">
        <v>0</v>
      </c>
      <c r="AZ180" s="324">
        <v>0</v>
      </c>
      <c r="BA180" s="329">
        <v>0.105561</v>
      </c>
      <c r="BB180" s="329">
        <v>0.47084999999999999</v>
      </c>
      <c r="BC180" s="329">
        <v>0.75853800000000005</v>
      </c>
      <c r="BD180" s="329">
        <v>0.54046700000000003</v>
      </c>
      <c r="BE180" s="329">
        <v>0.76982799999999996</v>
      </c>
      <c r="BF180" s="329">
        <v>0.91716600000000004</v>
      </c>
      <c r="BG180" s="329">
        <v>0.54627400000000004</v>
      </c>
      <c r="BH180" s="329">
        <v>0.52781500000000003</v>
      </c>
      <c r="BI180" s="329">
        <v>0.48579899999999998</v>
      </c>
      <c r="BJ180" s="329">
        <v>0.25944800000000001</v>
      </c>
      <c r="BK180" s="329">
        <v>0.25875500000000001</v>
      </c>
      <c r="BL180" s="329">
        <v>0.54414499999999999</v>
      </c>
      <c r="BM180" s="329">
        <v>0.26898100000000003</v>
      </c>
    </row>
    <row r="181" spans="3:65">
      <c r="C181" s="408" t="s">
        <v>384</v>
      </c>
      <c r="D181" s="329">
        <v>0.39763100000000001</v>
      </c>
      <c r="E181" s="329">
        <v>0.26151600000000003</v>
      </c>
      <c r="F181" s="329">
        <v>0.44608199999999998</v>
      </c>
      <c r="G181" s="329">
        <v>0.694635</v>
      </c>
      <c r="H181" s="329">
        <v>0.55766499999999997</v>
      </c>
      <c r="I181" s="329">
        <v>0.54316900000000001</v>
      </c>
      <c r="J181" s="329">
        <v>0.54718699999999998</v>
      </c>
      <c r="K181" s="329">
        <v>0.69966700000000004</v>
      </c>
      <c r="L181" s="329">
        <v>0.33921099999999998</v>
      </c>
      <c r="M181" s="329">
        <v>0.73236400000000001</v>
      </c>
      <c r="N181" s="329">
        <v>0.51921300000000004</v>
      </c>
      <c r="O181" s="329">
        <v>0.44203500000000001</v>
      </c>
      <c r="P181" s="329">
        <v>0.73666699999999996</v>
      </c>
      <c r="Q181" s="329">
        <v>0.80786999999999998</v>
      </c>
      <c r="R181" s="329">
        <v>0.656752</v>
      </c>
      <c r="S181" s="329">
        <v>0.61927100000000002</v>
      </c>
      <c r="T181" s="329">
        <v>1.0887830000000001</v>
      </c>
      <c r="U181" s="329">
        <v>0.60911700000000002</v>
      </c>
      <c r="V181" s="329">
        <v>0.65932199999999996</v>
      </c>
      <c r="W181" s="329">
        <v>0.63953000000000004</v>
      </c>
      <c r="X181" s="329">
        <v>0.592418</v>
      </c>
      <c r="Y181" s="329">
        <v>0.64885700000000002</v>
      </c>
      <c r="Z181" s="329">
        <v>0.63257300000000005</v>
      </c>
      <c r="AA181" s="329">
        <v>0.54141700000000004</v>
      </c>
      <c r="AB181" s="329">
        <v>0.81120099999999995</v>
      </c>
      <c r="AC181" s="329">
        <v>0.72284400000000004</v>
      </c>
      <c r="AD181" s="329">
        <v>0.54506600000000005</v>
      </c>
      <c r="AE181" s="52">
        <f>'User Add-in Location'!B187</f>
        <v>0</v>
      </c>
      <c r="AF181" s="52">
        <f>'User Add-in Location'!C187</f>
        <v>0</v>
      </c>
      <c r="AG181" s="329">
        <v>0.83392999999999995</v>
      </c>
      <c r="AH181" s="329">
        <v>0.47231299999999998</v>
      </c>
      <c r="AI181" s="329">
        <v>0.62539500000000003</v>
      </c>
      <c r="AJ181" s="329">
        <v>0.64549699999999999</v>
      </c>
      <c r="AK181" s="329">
        <v>0.37934400000000001</v>
      </c>
      <c r="AL181" s="329">
        <v>0.64163300000000001</v>
      </c>
      <c r="AM181" s="329">
        <v>0.67559599999999997</v>
      </c>
      <c r="AN181" s="329">
        <v>0.43249199999999999</v>
      </c>
      <c r="AO181" s="329">
        <v>0.35380200000000001</v>
      </c>
      <c r="AP181" s="329">
        <v>0.62858800000000004</v>
      </c>
      <c r="AQ181" s="329">
        <v>0.72474400000000005</v>
      </c>
      <c r="AR181" s="329">
        <v>0.43571700000000002</v>
      </c>
      <c r="AS181" s="324">
        <v>0</v>
      </c>
      <c r="AT181" s="324">
        <v>0</v>
      </c>
      <c r="AU181" s="324">
        <v>0</v>
      </c>
      <c r="AV181" s="324">
        <v>0</v>
      </c>
      <c r="AW181" s="324">
        <v>0</v>
      </c>
      <c r="AX181" s="324">
        <v>0</v>
      </c>
      <c r="AY181" s="324">
        <v>0</v>
      </c>
      <c r="AZ181" s="324">
        <v>0</v>
      </c>
      <c r="BA181" s="329">
        <v>0.414522</v>
      </c>
      <c r="BB181" s="329">
        <v>0.490477</v>
      </c>
      <c r="BC181" s="329">
        <v>0.80572900000000003</v>
      </c>
      <c r="BD181" s="329">
        <v>0.60551200000000005</v>
      </c>
      <c r="BE181" s="329">
        <v>0.53278199999999998</v>
      </c>
      <c r="BF181" s="329">
        <v>0.77354299999999998</v>
      </c>
      <c r="BG181" s="329">
        <v>0.57609500000000002</v>
      </c>
      <c r="BH181" s="329">
        <v>0.47391100000000003</v>
      </c>
      <c r="BI181" s="329">
        <v>0.55499799999999999</v>
      </c>
      <c r="BJ181" s="329">
        <v>0.658416</v>
      </c>
      <c r="BK181" s="329">
        <v>0.31773499999999999</v>
      </c>
      <c r="BL181" s="329">
        <v>0.34108699999999997</v>
      </c>
      <c r="BM181" s="329">
        <v>0.277341</v>
      </c>
    </row>
    <row r="182" spans="3:65">
      <c r="C182" s="408" t="s">
        <v>385</v>
      </c>
      <c r="D182" s="329">
        <v>0.41091299999999997</v>
      </c>
      <c r="E182" s="329">
        <v>0.28701700000000002</v>
      </c>
      <c r="F182" s="329">
        <v>0.27562599999999998</v>
      </c>
      <c r="G182" s="329">
        <v>0.49032500000000001</v>
      </c>
      <c r="H182" s="329">
        <v>0.41391699999999998</v>
      </c>
      <c r="I182" s="329">
        <v>0.40637400000000001</v>
      </c>
      <c r="J182" s="329">
        <v>0.41239500000000001</v>
      </c>
      <c r="K182" s="329">
        <v>0.35780600000000001</v>
      </c>
      <c r="L182" s="329">
        <v>0.145485</v>
      </c>
      <c r="M182" s="329">
        <v>0.37138199999999999</v>
      </c>
      <c r="N182" s="329">
        <v>0.419547</v>
      </c>
      <c r="O182" s="329">
        <v>0.213756</v>
      </c>
      <c r="P182" s="329">
        <v>0.45832099999999998</v>
      </c>
      <c r="Q182" s="329">
        <v>0.474109</v>
      </c>
      <c r="R182" s="329">
        <v>0.51154200000000005</v>
      </c>
      <c r="S182" s="329">
        <v>0.51375099999999996</v>
      </c>
      <c r="T182" s="329">
        <v>0.60362300000000002</v>
      </c>
      <c r="U182" s="329">
        <v>0.42987999999999998</v>
      </c>
      <c r="V182" s="329">
        <v>0.62411099999999997</v>
      </c>
      <c r="W182" s="329">
        <v>0.406748</v>
      </c>
      <c r="X182" s="329">
        <v>0.33235799999999999</v>
      </c>
      <c r="Y182" s="329">
        <v>0.38014199999999998</v>
      </c>
      <c r="Z182" s="329">
        <v>0.4017</v>
      </c>
      <c r="AA182" s="329">
        <v>0.50370099999999995</v>
      </c>
      <c r="AB182" s="329">
        <v>0.61985299999999999</v>
      </c>
      <c r="AC182" s="329">
        <v>0.55388800000000005</v>
      </c>
      <c r="AD182" s="329">
        <v>0.44275700000000001</v>
      </c>
      <c r="AE182" s="52">
        <f>'User Add-in Location'!B188</f>
        <v>0</v>
      </c>
      <c r="AF182" s="52">
        <f>'User Add-in Location'!C188</f>
        <v>0</v>
      </c>
      <c r="AG182" s="329">
        <v>0.65988400000000003</v>
      </c>
      <c r="AH182" s="329">
        <v>0.30042799999999997</v>
      </c>
      <c r="AI182" s="329">
        <v>0.49176999999999998</v>
      </c>
      <c r="AJ182" s="329">
        <v>0.388322</v>
      </c>
      <c r="AK182" s="329">
        <v>0.40919699999999998</v>
      </c>
      <c r="AL182" s="329">
        <v>0.32852900000000002</v>
      </c>
      <c r="AM182" s="329">
        <v>0.51485400000000003</v>
      </c>
      <c r="AN182" s="329">
        <v>0.38745299999999999</v>
      </c>
      <c r="AO182" s="329">
        <v>0.38157400000000002</v>
      </c>
      <c r="AP182" s="329">
        <v>0.57903300000000002</v>
      </c>
      <c r="AQ182" s="329">
        <v>0.40077299999999999</v>
      </c>
      <c r="AR182" s="329">
        <v>0.46945700000000001</v>
      </c>
      <c r="AS182" s="324">
        <v>0</v>
      </c>
      <c r="AT182" s="324">
        <v>0</v>
      </c>
      <c r="AU182" s="324">
        <v>0</v>
      </c>
      <c r="AV182" s="324">
        <v>0</v>
      </c>
      <c r="AW182" s="324">
        <v>0</v>
      </c>
      <c r="AX182" s="324">
        <v>0</v>
      </c>
      <c r="AY182" s="324">
        <v>0</v>
      </c>
      <c r="AZ182" s="324">
        <v>0</v>
      </c>
      <c r="BA182" s="329">
        <v>0.25711400000000001</v>
      </c>
      <c r="BB182" s="329">
        <v>0.33099899999999999</v>
      </c>
      <c r="BC182" s="329">
        <v>0.54665900000000001</v>
      </c>
      <c r="BD182" s="329">
        <v>0.39735500000000001</v>
      </c>
      <c r="BE182" s="329">
        <v>0.57955699999999999</v>
      </c>
      <c r="BF182" s="329">
        <v>0.65975200000000001</v>
      </c>
      <c r="BG182" s="329">
        <v>0.46994399999999997</v>
      </c>
      <c r="BH182" s="329">
        <v>0.48496600000000001</v>
      </c>
      <c r="BI182" s="329">
        <v>0.40004000000000001</v>
      </c>
      <c r="BJ182" s="329">
        <v>0.26150600000000002</v>
      </c>
      <c r="BK182" s="329">
        <v>0.19730800000000001</v>
      </c>
      <c r="BL182" s="329">
        <v>0.29677199999999998</v>
      </c>
      <c r="BM182" s="329">
        <v>0.20244599999999999</v>
      </c>
    </row>
    <row r="183" spans="3:65">
      <c r="C183" s="408" t="s">
        <v>386</v>
      </c>
      <c r="D183" s="329">
        <v>0.53881299999999999</v>
      </c>
      <c r="E183" s="329">
        <v>0.41103400000000001</v>
      </c>
      <c r="F183" s="329">
        <v>0.34255600000000003</v>
      </c>
      <c r="G183" s="329">
        <v>0.63251299999999999</v>
      </c>
      <c r="H183" s="329">
        <v>0.54390700000000003</v>
      </c>
      <c r="I183" s="329">
        <v>0.52456100000000006</v>
      </c>
      <c r="J183" s="329">
        <v>0.59121900000000005</v>
      </c>
      <c r="K183" s="329">
        <v>0.46646900000000002</v>
      </c>
      <c r="L183" s="329">
        <v>0.182005</v>
      </c>
      <c r="M183" s="329">
        <v>0.45225399999999999</v>
      </c>
      <c r="N183" s="329">
        <v>0.52373899999999995</v>
      </c>
      <c r="O183" s="329">
        <v>0.27791100000000002</v>
      </c>
      <c r="P183" s="329">
        <v>0.566797</v>
      </c>
      <c r="Q183" s="329">
        <v>0.617174</v>
      </c>
      <c r="R183" s="329">
        <v>0.67361599999999999</v>
      </c>
      <c r="S183" s="329">
        <v>0.6865</v>
      </c>
      <c r="T183" s="329">
        <v>0.78698599999999996</v>
      </c>
      <c r="U183" s="329">
        <v>0.55359100000000006</v>
      </c>
      <c r="V183" s="329">
        <v>0.82939200000000002</v>
      </c>
      <c r="W183" s="329">
        <v>0.55150500000000002</v>
      </c>
      <c r="X183" s="329">
        <v>0.430813</v>
      </c>
      <c r="Y183" s="329">
        <v>0.52532900000000005</v>
      </c>
      <c r="Z183" s="329">
        <v>0.51457799999999998</v>
      </c>
      <c r="AA183" s="329">
        <v>0.670207</v>
      </c>
      <c r="AB183" s="329">
        <v>0.79654700000000001</v>
      </c>
      <c r="AC183" s="329">
        <v>0.729966</v>
      </c>
      <c r="AD183" s="329">
        <v>0.58344600000000002</v>
      </c>
      <c r="AE183" s="52">
        <f>'User Add-in Location'!B189</f>
        <v>0</v>
      </c>
      <c r="AF183" s="52">
        <f>'User Add-in Location'!C189</f>
        <v>0</v>
      </c>
      <c r="AG183" s="329">
        <v>0.90008600000000005</v>
      </c>
      <c r="AH183" s="329">
        <v>0.39040599999999998</v>
      </c>
      <c r="AI183" s="329">
        <v>0.75856199999999996</v>
      </c>
      <c r="AJ183" s="329">
        <v>0.51593299999999997</v>
      </c>
      <c r="AK183" s="329">
        <v>0.53483599999999998</v>
      </c>
      <c r="AL183" s="329">
        <v>0.43143300000000001</v>
      </c>
      <c r="AM183" s="329">
        <v>0.67425599999999997</v>
      </c>
      <c r="AN183" s="329">
        <v>0.52170000000000005</v>
      </c>
      <c r="AO183" s="329">
        <v>0.50380899999999995</v>
      </c>
      <c r="AP183" s="329">
        <v>0.77597300000000002</v>
      </c>
      <c r="AQ183" s="329">
        <v>0.52741800000000005</v>
      </c>
      <c r="AR183" s="329">
        <v>0.62025600000000003</v>
      </c>
      <c r="AS183" s="324">
        <v>0</v>
      </c>
      <c r="AT183" s="324">
        <v>0</v>
      </c>
      <c r="AU183" s="324">
        <v>0</v>
      </c>
      <c r="AV183" s="324">
        <v>0</v>
      </c>
      <c r="AW183" s="324">
        <v>0</v>
      </c>
      <c r="AX183" s="324">
        <v>0</v>
      </c>
      <c r="AY183" s="324">
        <v>0</v>
      </c>
      <c r="AZ183" s="324">
        <v>0</v>
      </c>
      <c r="BA183" s="329">
        <v>0.33612199999999998</v>
      </c>
      <c r="BB183" s="329">
        <v>0.41273799999999999</v>
      </c>
      <c r="BC183" s="329">
        <v>0.72548500000000005</v>
      </c>
      <c r="BD183" s="329">
        <v>0.53941300000000003</v>
      </c>
      <c r="BE183" s="329">
        <v>0.77029999999999998</v>
      </c>
      <c r="BF183" s="329">
        <v>0.85237200000000002</v>
      </c>
      <c r="BG183" s="329">
        <v>0.59575</v>
      </c>
      <c r="BH183" s="329">
        <v>0.68438699999999997</v>
      </c>
      <c r="BI183" s="329">
        <v>0.51509899999999997</v>
      </c>
      <c r="BJ183" s="329">
        <v>0.32962200000000003</v>
      </c>
      <c r="BK183" s="329">
        <v>0.26002999999999998</v>
      </c>
      <c r="BL183" s="329">
        <v>0.380019</v>
      </c>
      <c r="BM183" s="329">
        <v>0.28275800000000001</v>
      </c>
    </row>
    <row r="184" spans="3:65">
      <c r="C184" s="408" t="s">
        <v>387</v>
      </c>
      <c r="D184" s="329">
        <v>0.56303700000000001</v>
      </c>
      <c r="E184" s="329">
        <v>0.43157200000000001</v>
      </c>
      <c r="F184" s="329">
        <v>0.37175000000000002</v>
      </c>
      <c r="G184" s="329">
        <v>0.65809399999999996</v>
      </c>
      <c r="H184" s="329">
        <v>0.56793899999999997</v>
      </c>
      <c r="I184" s="329">
        <v>0.55322400000000005</v>
      </c>
      <c r="J184" s="329">
        <v>0.59886700000000004</v>
      </c>
      <c r="K184" s="329">
        <v>0.503583</v>
      </c>
      <c r="L184" s="329">
        <v>0.20730199999999999</v>
      </c>
      <c r="M184" s="329">
        <v>0.49032399999999998</v>
      </c>
      <c r="N184" s="329">
        <v>0.56412700000000005</v>
      </c>
      <c r="O184" s="329">
        <v>0.31520700000000001</v>
      </c>
      <c r="P184" s="329">
        <v>0.60522500000000001</v>
      </c>
      <c r="Q184" s="329">
        <v>0.64499099999999998</v>
      </c>
      <c r="R184" s="329">
        <v>0.70332799999999995</v>
      </c>
      <c r="S184" s="329">
        <v>0.71830000000000005</v>
      </c>
      <c r="T184" s="329">
        <v>0.80408100000000005</v>
      </c>
      <c r="U184" s="329">
        <v>0.58934600000000004</v>
      </c>
      <c r="V184" s="329">
        <v>0.82945400000000002</v>
      </c>
      <c r="W184" s="329">
        <v>0.57131299999999996</v>
      </c>
      <c r="X184" s="329">
        <v>0.46454400000000001</v>
      </c>
      <c r="Y184" s="329">
        <v>0.54370099999999999</v>
      </c>
      <c r="Z184" s="329">
        <v>0.55530500000000005</v>
      </c>
      <c r="AA184" s="329">
        <v>0.70328599999999997</v>
      </c>
      <c r="AB184" s="329">
        <v>0.80811599999999995</v>
      </c>
      <c r="AC184" s="329">
        <v>0.75604800000000005</v>
      </c>
      <c r="AD184" s="329">
        <v>0.60098200000000002</v>
      </c>
      <c r="AE184" s="52">
        <f>'User Add-in Location'!B190</f>
        <v>0</v>
      </c>
      <c r="AF184" s="52">
        <f>'User Add-in Location'!C190</f>
        <v>0</v>
      </c>
      <c r="AG184" s="329">
        <v>0.90412199999999998</v>
      </c>
      <c r="AH184" s="329">
        <v>0.417213</v>
      </c>
      <c r="AI184" s="329">
        <v>0.73871299999999995</v>
      </c>
      <c r="AJ184" s="329">
        <v>0.54192600000000002</v>
      </c>
      <c r="AK184" s="329">
        <v>0.56132899999999997</v>
      </c>
      <c r="AL184" s="329">
        <v>0.46089200000000002</v>
      </c>
      <c r="AM184" s="329">
        <v>0.70158799999999999</v>
      </c>
      <c r="AN184" s="329">
        <v>0.54935999999999996</v>
      </c>
      <c r="AO184" s="329">
        <v>0.53895700000000002</v>
      </c>
      <c r="AP184" s="329">
        <v>0.79159000000000002</v>
      </c>
      <c r="AQ184" s="329">
        <v>0.56407700000000005</v>
      </c>
      <c r="AR184" s="329">
        <v>0.64869699999999997</v>
      </c>
      <c r="AS184" s="324">
        <v>0</v>
      </c>
      <c r="AT184" s="324">
        <v>0</v>
      </c>
      <c r="AU184" s="324">
        <v>0</v>
      </c>
      <c r="AV184" s="324">
        <v>0</v>
      </c>
      <c r="AW184" s="324">
        <v>0</v>
      </c>
      <c r="AX184" s="324">
        <v>0</v>
      </c>
      <c r="AY184" s="324">
        <v>0</v>
      </c>
      <c r="AZ184" s="324">
        <v>0</v>
      </c>
      <c r="BA184" s="329">
        <v>0.35949300000000001</v>
      </c>
      <c r="BB184" s="329">
        <v>0.45979100000000001</v>
      </c>
      <c r="BC184" s="329">
        <v>0.73971600000000004</v>
      </c>
      <c r="BD184" s="329">
        <v>0.56276099999999996</v>
      </c>
      <c r="BE184" s="329">
        <v>0.78311399999999998</v>
      </c>
      <c r="BF184" s="329">
        <v>0.85538999999999998</v>
      </c>
      <c r="BG184" s="329">
        <v>0.62955700000000003</v>
      </c>
      <c r="BH184" s="329">
        <v>0.68308000000000002</v>
      </c>
      <c r="BI184" s="329">
        <v>0.55200300000000002</v>
      </c>
      <c r="BJ184" s="329">
        <v>0.34347100000000003</v>
      </c>
      <c r="BK184" s="329">
        <v>0.29184399999999999</v>
      </c>
      <c r="BL184" s="329">
        <v>0.42404399999999998</v>
      </c>
      <c r="BM184" s="329">
        <v>0.31706600000000001</v>
      </c>
    </row>
    <row r="185" spans="3:65">
      <c r="C185" s="408" t="s">
        <v>388</v>
      </c>
      <c r="D185" s="329">
        <v>0.57659400000000005</v>
      </c>
      <c r="E185" s="329">
        <v>0.48061900000000002</v>
      </c>
      <c r="F185" s="329">
        <v>0.38645800000000002</v>
      </c>
      <c r="G185" s="329">
        <v>0.73372400000000004</v>
      </c>
      <c r="H185" s="329">
        <v>0.65403500000000003</v>
      </c>
      <c r="I185" s="329">
        <v>0.65376699999999999</v>
      </c>
      <c r="J185" s="329">
        <v>0.52944899999999995</v>
      </c>
      <c r="K185" s="329">
        <v>0.62028300000000003</v>
      </c>
      <c r="L185" s="329">
        <v>0.148535</v>
      </c>
      <c r="M185" s="329">
        <v>0.49239899999999998</v>
      </c>
      <c r="N185" s="329">
        <v>0.61052399999999996</v>
      </c>
      <c r="O185" s="329">
        <v>0.34717100000000001</v>
      </c>
      <c r="P185" s="329">
        <v>0.75128700000000004</v>
      </c>
      <c r="Q185" s="329">
        <v>0.75057700000000005</v>
      </c>
      <c r="R185" s="329">
        <v>0.75086600000000003</v>
      </c>
      <c r="S185" s="329">
        <v>0.79833399999999999</v>
      </c>
      <c r="T185" s="329">
        <v>1.036743</v>
      </c>
      <c r="U185" s="329">
        <v>0.67746499999999998</v>
      </c>
      <c r="V185" s="329">
        <v>0.96474800000000005</v>
      </c>
      <c r="W185" s="329">
        <v>0.45337899999999998</v>
      </c>
      <c r="X185" s="329">
        <v>0.39094400000000001</v>
      </c>
      <c r="Y185" s="329">
        <v>0.47804000000000002</v>
      </c>
      <c r="Z185" s="329">
        <v>0.60216700000000001</v>
      </c>
      <c r="AA185" s="329">
        <v>0.78986100000000004</v>
      </c>
      <c r="AB185" s="329">
        <v>0.93723999999999996</v>
      </c>
      <c r="AC185" s="329">
        <v>0.83092200000000005</v>
      </c>
      <c r="AD185" s="329">
        <v>0.74888299999999997</v>
      </c>
      <c r="AE185" s="52">
        <f>'User Add-in Location'!B191</f>
        <v>0</v>
      </c>
      <c r="AF185" s="52">
        <f>'User Add-in Location'!C191</f>
        <v>0</v>
      </c>
      <c r="AG185" s="329">
        <v>0.92302200000000001</v>
      </c>
      <c r="AH185" s="329">
        <v>0.44494899999999998</v>
      </c>
      <c r="AI185" s="329">
        <v>0.57321200000000005</v>
      </c>
      <c r="AJ185" s="329">
        <v>0.57584999999999997</v>
      </c>
      <c r="AK185" s="329">
        <v>0.69899100000000003</v>
      </c>
      <c r="AL185" s="329">
        <v>0.50507500000000005</v>
      </c>
      <c r="AM185" s="329">
        <v>0.67773300000000003</v>
      </c>
      <c r="AN185" s="329">
        <v>0.76762600000000003</v>
      </c>
      <c r="AO185" s="329">
        <v>0.57079000000000002</v>
      </c>
      <c r="AP185" s="329">
        <v>0.91323399999999999</v>
      </c>
      <c r="AQ185" s="329">
        <v>0.64102400000000004</v>
      </c>
      <c r="AR185" s="329">
        <v>0.78252600000000005</v>
      </c>
      <c r="AS185" s="324">
        <v>0</v>
      </c>
      <c r="AT185" s="324">
        <v>0</v>
      </c>
      <c r="AU185" s="324">
        <v>0</v>
      </c>
      <c r="AV185" s="324">
        <v>0</v>
      </c>
      <c r="AW185" s="324">
        <v>0</v>
      </c>
      <c r="AX185" s="324">
        <v>0</v>
      </c>
      <c r="AY185" s="324">
        <v>0</v>
      </c>
      <c r="AZ185" s="324">
        <v>0</v>
      </c>
      <c r="BA185" s="329">
        <v>0.34049499999999999</v>
      </c>
      <c r="BB185" s="329">
        <v>0.47928900000000002</v>
      </c>
      <c r="BC185" s="329">
        <v>0.854406</v>
      </c>
      <c r="BD185" s="329">
        <v>0.53491200000000005</v>
      </c>
      <c r="BE185" s="329">
        <v>0.97811800000000004</v>
      </c>
      <c r="BF185" s="329">
        <v>1.071644</v>
      </c>
      <c r="BG185" s="329">
        <v>0.81795300000000004</v>
      </c>
      <c r="BH185" s="329">
        <v>0.63695500000000005</v>
      </c>
      <c r="BI185" s="329">
        <v>0.53411299999999995</v>
      </c>
      <c r="BJ185" s="329">
        <v>0.37303199999999997</v>
      </c>
      <c r="BK185" s="329">
        <v>0.29530299999999998</v>
      </c>
      <c r="BL185" s="329">
        <v>0.41169299999999998</v>
      </c>
      <c r="BM185" s="329">
        <v>0.34720499999999999</v>
      </c>
    </row>
    <row r="186" spans="3:65">
      <c r="C186" s="408" t="s">
        <v>389</v>
      </c>
      <c r="D186" s="329">
        <v>0.50061800000000001</v>
      </c>
      <c r="E186" s="329">
        <v>0.468358</v>
      </c>
      <c r="F186" s="329">
        <v>0.34324300000000002</v>
      </c>
      <c r="G186" s="329">
        <v>0.54796999999999996</v>
      </c>
      <c r="H186" s="329">
        <v>0.67322800000000005</v>
      </c>
      <c r="I186" s="329">
        <v>0.57614299999999996</v>
      </c>
      <c r="J186" s="329">
        <v>0.55603000000000002</v>
      </c>
      <c r="K186" s="329">
        <v>0.64483500000000005</v>
      </c>
      <c r="L186" s="329">
        <v>0</v>
      </c>
      <c r="M186" s="329">
        <v>0.490593</v>
      </c>
      <c r="N186" s="329">
        <v>0.57456200000000002</v>
      </c>
      <c r="O186" s="329">
        <v>0.34678300000000001</v>
      </c>
      <c r="P186" s="329">
        <v>0.65917000000000003</v>
      </c>
      <c r="Q186" s="329">
        <v>0.733568</v>
      </c>
      <c r="R186" s="329">
        <v>0.70682999999999996</v>
      </c>
      <c r="S186" s="329">
        <v>0.76428399999999996</v>
      </c>
      <c r="T186" s="329">
        <v>0.87556699999999998</v>
      </c>
      <c r="U186" s="329">
        <v>0.60164099999999998</v>
      </c>
      <c r="V186" s="329">
        <v>0.92110199999999998</v>
      </c>
      <c r="W186" s="329">
        <v>0.41555399999999998</v>
      </c>
      <c r="X186" s="329">
        <v>0.46268300000000001</v>
      </c>
      <c r="Y186" s="329">
        <v>0.49079600000000001</v>
      </c>
      <c r="Z186" s="329">
        <v>0.58301599999999998</v>
      </c>
      <c r="AA186" s="329">
        <v>0.79544000000000004</v>
      </c>
      <c r="AB186" s="329">
        <v>0.83566200000000002</v>
      </c>
      <c r="AC186" s="329">
        <v>0.75104499999999996</v>
      </c>
      <c r="AD186" s="329">
        <v>0.63751199999999997</v>
      </c>
      <c r="AE186" s="52">
        <f>'User Add-in Location'!B192</f>
        <v>0</v>
      </c>
      <c r="AF186" s="52">
        <f>'User Add-in Location'!C192</f>
        <v>0</v>
      </c>
      <c r="AG186" s="329">
        <v>0.79799699999999996</v>
      </c>
      <c r="AH186" s="329">
        <v>0.37489499999999998</v>
      </c>
      <c r="AI186" s="329">
        <v>0.59425799999999995</v>
      </c>
      <c r="AJ186" s="329">
        <v>0.62018600000000002</v>
      </c>
      <c r="AK186" s="329">
        <v>0.57258399999999998</v>
      </c>
      <c r="AL186" s="329">
        <v>0.48166399999999998</v>
      </c>
      <c r="AM186" s="329">
        <v>0.72046900000000003</v>
      </c>
      <c r="AN186" s="329">
        <v>0.65149699999999999</v>
      </c>
      <c r="AO186" s="329">
        <v>0.55348600000000003</v>
      </c>
      <c r="AP186" s="329">
        <v>0.73219299999999998</v>
      </c>
      <c r="AQ186" s="329">
        <v>0.56501800000000002</v>
      </c>
      <c r="AR186" s="329">
        <v>0.72916300000000001</v>
      </c>
      <c r="AS186" s="324">
        <v>0</v>
      </c>
      <c r="AT186" s="324">
        <v>0</v>
      </c>
      <c r="AU186" s="324">
        <v>0</v>
      </c>
      <c r="AV186" s="324">
        <v>0</v>
      </c>
      <c r="AW186" s="324">
        <v>0</v>
      </c>
      <c r="AX186" s="324">
        <v>0</v>
      </c>
      <c r="AY186" s="324">
        <v>0</v>
      </c>
      <c r="AZ186" s="324">
        <v>0</v>
      </c>
      <c r="BA186" s="329">
        <v>0.422792</v>
      </c>
      <c r="BB186" s="329">
        <v>0.44011699999999998</v>
      </c>
      <c r="BC186" s="329">
        <v>0.72052700000000003</v>
      </c>
      <c r="BD186" s="329">
        <v>0.48925099999999999</v>
      </c>
      <c r="BE186" s="329">
        <v>0.87784499999999999</v>
      </c>
      <c r="BF186" s="329">
        <v>1.060765</v>
      </c>
      <c r="BG186" s="329">
        <v>0.72892800000000002</v>
      </c>
      <c r="BH186" s="329">
        <v>0.54231799999999997</v>
      </c>
      <c r="BI186" s="329">
        <v>0.48219299999999998</v>
      </c>
      <c r="BJ186" s="329">
        <v>0.405505</v>
      </c>
      <c r="BK186" s="329">
        <v>0.258517</v>
      </c>
      <c r="BL186" s="329">
        <v>0.38589000000000001</v>
      </c>
      <c r="BM186" s="329">
        <v>0.23613999999999999</v>
      </c>
    </row>
    <row r="187" spans="3:65">
      <c r="C187" s="408" t="s">
        <v>390</v>
      </c>
      <c r="D187" s="329">
        <v>0.54642500000000005</v>
      </c>
      <c r="E187" s="329">
        <v>0.41235300000000003</v>
      </c>
      <c r="F187" s="329">
        <v>0.40306599999999998</v>
      </c>
      <c r="G187" s="329">
        <v>0.61226999999999998</v>
      </c>
      <c r="H187" s="329">
        <v>0.65934199999999998</v>
      </c>
      <c r="I187" s="329">
        <v>0.71735099999999996</v>
      </c>
      <c r="J187" s="329">
        <v>0.59203099999999997</v>
      </c>
      <c r="K187" s="329">
        <v>0.500973</v>
      </c>
      <c r="L187" s="329">
        <v>0</v>
      </c>
      <c r="M187" s="329">
        <v>0.60933999999999999</v>
      </c>
      <c r="N187" s="329">
        <v>0.56625999999999999</v>
      </c>
      <c r="O187" s="329">
        <v>0</v>
      </c>
      <c r="P187" s="329">
        <v>0.70464099999999996</v>
      </c>
      <c r="Q187" s="329">
        <v>0.69579599999999997</v>
      </c>
      <c r="R187" s="329">
        <v>0.723908</v>
      </c>
      <c r="S187" s="329">
        <v>0.75573000000000001</v>
      </c>
      <c r="T187" s="329">
        <v>0.83420099999999997</v>
      </c>
      <c r="U187" s="329">
        <v>0.59129900000000002</v>
      </c>
      <c r="V187" s="329">
        <v>0.82639799999999997</v>
      </c>
      <c r="W187" s="329">
        <v>0.52919000000000005</v>
      </c>
      <c r="X187" s="329">
        <v>0.45628000000000002</v>
      </c>
      <c r="Y187" s="329">
        <v>0.57284299999999999</v>
      </c>
      <c r="Z187" s="329">
        <v>0.55576800000000004</v>
      </c>
      <c r="AA187" s="329">
        <v>0.72647600000000001</v>
      </c>
      <c r="AB187" s="329">
        <v>0.76644800000000002</v>
      </c>
      <c r="AC187" s="329">
        <v>0.77746999999999999</v>
      </c>
      <c r="AD187" s="329">
        <v>0.63404499999999997</v>
      </c>
      <c r="AE187" s="52">
        <f>'User Add-in Location'!B193</f>
        <v>0</v>
      </c>
      <c r="AF187" s="52">
        <f>'User Add-in Location'!C193</f>
        <v>0</v>
      </c>
      <c r="AG187" s="329">
        <v>0.79488899999999996</v>
      </c>
      <c r="AH187" s="329">
        <v>0.40520499999999998</v>
      </c>
      <c r="AI187" s="329">
        <v>0.54530100000000004</v>
      </c>
      <c r="AJ187" s="329">
        <v>0.60377099999999995</v>
      </c>
      <c r="AK187" s="329">
        <v>0.59590399999999999</v>
      </c>
      <c r="AL187" s="329">
        <v>0.521231</v>
      </c>
      <c r="AM187" s="329">
        <v>0.70227200000000001</v>
      </c>
      <c r="AN187" s="329">
        <v>0.67312399999999994</v>
      </c>
      <c r="AO187" s="329">
        <v>0.50859799999999999</v>
      </c>
      <c r="AP187" s="329">
        <v>0.67410999999999999</v>
      </c>
      <c r="AQ187" s="329">
        <v>0.59359600000000001</v>
      </c>
      <c r="AR187" s="329">
        <v>0.711198</v>
      </c>
      <c r="AS187" s="324">
        <v>0</v>
      </c>
      <c r="AT187" s="324">
        <v>0</v>
      </c>
      <c r="AU187" s="324">
        <v>0</v>
      </c>
      <c r="AV187" s="324">
        <v>0</v>
      </c>
      <c r="AW187" s="324">
        <v>0</v>
      </c>
      <c r="AX187" s="324">
        <v>0</v>
      </c>
      <c r="AY187" s="324">
        <v>0</v>
      </c>
      <c r="AZ187" s="324">
        <v>0</v>
      </c>
      <c r="BA187" s="329">
        <v>0.34704200000000002</v>
      </c>
      <c r="BB187" s="329">
        <v>0.44354700000000002</v>
      </c>
      <c r="BC187" s="329">
        <v>0.86298900000000001</v>
      </c>
      <c r="BD187" s="329">
        <v>0.52528900000000001</v>
      </c>
      <c r="BE187" s="329">
        <v>0.82689900000000005</v>
      </c>
      <c r="BF187" s="329">
        <v>0.96802900000000003</v>
      </c>
      <c r="BG187" s="329">
        <v>0.67740199999999995</v>
      </c>
      <c r="BH187" s="329">
        <v>0.50080800000000003</v>
      </c>
      <c r="BI187" s="329">
        <v>0.56847599999999998</v>
      </c>
      <c r="BJ187" s="329">
        <v>0.41887799999999997</v>
      </c>
      <c r="BK187" s="329">
        <v>0.2863</v>
      </c>
      <c r="BL187" s="329">
        <v>0.37671700000000002</v>
      </c>
      <c r="BM187" s="329">
        <v>0.26000400000000001</v>
      </c>
    </row>
    <row r="188" spans="3:65">
      <c r="C188" s="408" t="s">
        <v>391</v>
      </c>
      <c r="D188" s="329">
        <v>0.48271799999999998</v>
      </c>
      <c r="E188" s="329">
        <v>0.51338499999999998</v>
      </c>
      <c r="F188" s="329">
        <v>0.32897300000000002</v>
      </c>
      <c r="G188" s="329">
        <v>0.60784300000000002</v>
      </c>
      <c r="H188" s="329">
        <v>0.64948099999999998</v>
      </c>
      <c r="I188" s="329">
        <v>0.54193499999999994</v>
      </c>
      <c r="J188" s="329">
        <v>0.55336399999999997</v>
      </c>
      <c r="K188" s="329">
        <v>0.45886500000000002</v>
      </c>
      <c r="L188" s="329">
        <v>0.18451100000000001</v>
      </c>
      <c r="M188" s="329">
        <v>0.534493</v>
      </c>
      <c r="N188" s="329">
        <v>0.49033300000000002</v>
      </c>
      <c r="O188" s="329">
        <v>0</v>
      </c>
      <c r="P188" s="329">
        <v>0.66579500000000003</v>
      </c>
      <c r="Q188" s="329">
        <v>0.64967399999999997</v>
      </c>
      <c r="R188" s="329">
        <v>0.76356599999999997</v>
      </c>
      <c r="S188" s="329">
        <v>0.720912</v>
      </c>
      <c r="T188" s="329">
        <v>0.82888200000000001</v>
      </c>
      <c r="U188" s="329">
        <v>0.573797</v>
      </c>
      <c r="V188" s="329">
        <v>0.84287100000000004</v>
      </c>
      <c r="W188" s="329">
        <v>0.46891300000000002</v>
      </c>
      <c r="X188" s="329">
        <v>0.48469800000000002</v>
      </c>
      <c r="Y188" s="329">
        <v>0.49573400000000001</v>
      </c>
      <c r="Z188" s="329">
        <v>0.56160600000000005</v>
      </c>
      <c r="AA188" s="329">
        <v>0.71392999999999995</v>
      </c>
      <c r="AB188" s="329">
        <v>0.79728399999999999</v>
      </c>
      <c r="AC188" s="329">
        <v>0.64063499999999995</v>
      </c>
      <c r="AD188" s="329">
        <v>0.57655900000000004</v>
      </c>
      <c r="AE188" s="52">
        <f>'User Add-in Location'!B194</f>
        <v>0</v>
      </c>
      <c r="AF188" s="52">
        <f>'User Add-in Location'!C194</f>
        <v>0</v>
      </c>
      <c r="AG188" s="329">
        <v>0.62959200000000004</v>
      </c>
      <c r="AH188" s="329">
        <v>0.37187700000000001</v>
      </c>
      <c r="AI188" s="329">
        <v>0.44897399999999998</v>
      </c>
      <c r="AJ188" s="329">
        <v>0.56231600000000004</v>
      </c>
      <c r="AK188" s="329">
        <v>0.52058700000000002</v>
      </c>
      <c r="AL188" s="329">
        <v>0.52204700000000004</v>
      </c>
      <c r="AM188" s="329">
        <v>0.59391700000000003</v>
      </c>
      <c r="AN188" s="329">
        <v>0.64385899999999996</v>
      </c>
      <c r="AO188" s="329">
        <v>0.43193100000000001</v>
      </c>
      <c r="AP188" s="329">
        <v>0.68541200000000002</v>
      </c>
      <c r="AQ188" s="329">
        <v>0.55046300000000004</v>
      </c>
      <c r="AR188" s="329">
        <v>0.63130200000000003</v>
      </c>
      <c r="AS188" s="324">
        <v>0</v>
      </c>
      <c r="AT188" s="324">
        <v>0</v>
      </c>
      <c r="AU188" s="324">
        <v>0</v>
      </c>
      <c r="AV188" s="324">
        <v>0</v>
      </c>
      <c r="AW188" s="324">
        <v>0</v>
      </c>
      <c r="AX188" s="324">
        <v>0</v>
      </c>
      <c r="AY188" s="324">
        <v>0</v>
      </c>
      <c r="AZ188" s="324">
        <v>0</v>
      </c>
      <c r="BA188" s="329">
        <v>0.28906100000000001</v>
      </c>
      <c r="BB188" s="329">
        <v>0.37862299999999999</v>
      </c>
      <c r="BC188" s="329">
        <v>0.73937299999999995</v>
      </c>
      <c r="BD188" s="329">
        <v>0.45135999999999998</v>
      </c>
      <c r="BE188" s="329">
        <v>0.859765</v>
      </c>
      <c r="BF188" s="329">
        <v>0.93414600000000003</v>
      </c>
      <c r="BG188" s="329">
        <v>0.71056900000000001</v>
      </c>
      <c r="BH188" s="329">
        <v>0.52457299999999996</v>
      </c>
      <c r="BI188" s="329">
        <v>0.54647900000000005</v>
      </c>
      <c r="BJ188" s="329">
        <v>0.36460199999999998</v>
      </c>
      <c r="BK188" s="329">
        <v>0.23730200000000001</v>
      </c>
      <c r="BL188" s="329">
        <v>0.31520799999999999</v>
      </c>
      <c r="BM188" s="329">
        <v>0.229016</v>
      </c>
    </row>
    <row r="189" spans="3:65">
      <c r="C189" s="408" t="s">
        <v>392</v>
      </c>
      <c r="D189" s="329">
        <v>0.58382500000000004</v>
      </c>
      <c r="E189" s="329">
        <v>0</v>
      </c>
      <c r="F189" s="329">
        <v>0.29699799999999998</v>
      </c>
      <c r="G189" s="329">
        <v>0.67321200000000003</v>
      </c>
      <c r="H189" s="329">
        <v>0.71155800000000002</v>
      </c>
      <c r="I189" s="329">
        <v>0.50479600000000002</v>
      </c>
      <c r="J189" s="329">
        <v>0.62216499999999997</v>
      </c>
      <c r="K189" s="329">
        <v>0.61230200000000001</v>
      </c>
      <c r="L189" s="329">
        <v>0</v>
      </c>
      <c r="M189" s="329">
        <v>0.47710999999999998</v>
      </c>
      <c r="N189" s="329">
        <v>0.54727199999999998</v>
      </c>
      <c r="O189" s="329">
        <v>0</v>
      </c>
      <c r="P189" s="329">
        <v>0</v>
      </c>
      <c r="Q189" s="329">
        <v>0.72348000000000001</v>
      </c>
      <c r="R189" s="329">
        <v>0.80206100000000002</v>
      </c>
      <c r="S189" s="329">
        <v>0.79940900000000004</v>
      </c>
      <c r="T189" s="329">
        <v>0.897559</v>
      </c>
      <c r="U189" s="329">
        <v>0.66999900000000001</v>
      </c>
      <c r="V189" s="329">
        <v>0.92305099999999995</v>
      </c>
      <c r="W189" s="329">
        <v>0</v>
      </c>
      <c r="X189" s="329">
        <v>0.44920199999999999</v>
      </c>
      <c r="Y189" s="329">
        <v>0.56961200000000001</v>
      </c>
      <c r="Z189" s="329">
        <v>0.55757800000000002</v>
      </c>
      <c r="AA189" s="329">
        <v>0.93831900000000001</v>
      </c>
      <c r="AB189" s="329">
        <v>0.90515500000000004</v>
      </c>
      <c r="AC189" s="329">
        <v>0.75126999999999999</v>
      </c>
      <c r="AD189" s="329">
        <v>0</v>
      </c>
      <c r="AE189" s="52">
        <f>'User Add-in Location'!B195</f>
        <v>0</v>
      </c>
      <c r="AF189" s="52">
        <f>'User Add-in Location'!C195</f>
        <v>0</v>
      </c>
      <c r="AG189" s="329">
        <v>0</v>
      </c>
      <c r="AH189" s="329">
        <v>0.41150399999999998</v>
      </c>
      <c r="AI189" s="329">
        <v>0</v>
      </c>
      <c r="AJ189" s="329">
        <v>0.61632600000000004</v>
      </c>
      <c r="AK189" s="329">
        <v>0</v>
      </c>
      <c r="AL189" s="329">
        <v>0.52452100000000002</v>
      </c>
      <c r="AM189" s="329">
        <v>0.65701100000000001</v>
      </c>
      <c r="AN189" s="329">
        <v>0</v>
      </c>
      <c r="AO189" s="329">
        <v>0.52842999999999996</v>
      </c>
      <c r="AP189" s="329">
        <v>0.84565299999999999</v>
      </c>
      <c r="AQ189" s="329">
        <v>0.54320400000000002</v>
      </c>
      <c r="AR189" s="329">
        <v>0.74707900000000005</v>
      </c>
      <c r="AS189" s="324">
        <v>0</v>
      </c>
      <c r="AT189" s="324">
        <v>0</v>
      </c>
      <c r="AU189" s="324">
        <v>0</v>
      </c>
      <c r="AV189" s="324">
        <v>0</v>
      </c>
      <c r="AW189" s="324">
        <v>0</v>
      </c>
      <c r="AX189" s="324">
        <v>0</v>
      </c>
      <c r="AY189" s="324">
        <v>0</v>
      </c>
      <c r="AZ189" s="324">
        <v>0</v>
      </c>
      <c r="BA189" s="329">
        <v>0.33694099999999999</v>
      </c>
      <c r="BB189" s="329">
        <v>0.39783600000000002</v>
      </c>
      <c r="BC189" s="329">
        <v>0</v>
      </c>
      <c r="BD189" s="329">
        <v>0.41921000000000003</v>
      </c>
      <c r="BE189" s="329">
        <v>0.97396400000000005</v>
      </c>
      <c r="BF189" s="329">
        <v>0.99082899999999996</v>
      </c>
      <c r="BG189" s="329">
        <v>0.77124499999999996</v>
      </c>
      <c r="BH189" s="329">
        <v>0</v>
      </c>
      <c r="BI189" s="329">
        <v>0.58359499999999997</v>
      </c>
      <c r="BJ189" s="329">
        <v>0.43492799999999998</v>
      </c>
      <c r="BK189" s="329">
        <v>0.224606</v>
      </c>
      <c r="BL189" s="329">
        <v>0.321183</v>
      </c>
      <c r="BM189" s="329">
        <v>0</v>
      </c>
    </row>
    <row r="190" spans="3:65">
      <c r="C190" s="408" t="s">
        <v>393</v>
      </c>
      <c r="D190" s="329">
        <v>0.59060699999999999</v>
      </c>
      <c r="E190" s="329">
        <v>0</v>
      </c>
      <c r="F190" s="329">
        <v>0.27527099999999999</v>
      </c>
      <c r="G190" s="329">
        <v>0.71317600000000003</v>
      </c>
      <c r="H190" s="329">
        <v>0.80505499999999997</v>
      </c>
      <c r="I190" s="329">
        <v>0.55307899999999999</v>
      </c>
      <c r="J190" s="329">
        <v>0.67940599999999995</v>
      </c>
      <c r="K190" s="329">
        <v>0</v>
      </c>
      <c r="L190" s="329">
        <v>0.16761999999999999</v>
      </c>
      <c r="M190" s="329">
        <v>0.52507599999999999</v>
      </c>
      <c r="N190" s="329">
        <v>0.63934000000000002</v>
      </c>
      <c r="O190" s="329">
        <v>0</v>
      </c>
      <c r="P190" s="329">
        <v>0.71203399999999994</v>
      </c>
      <c r="Q190" s="329">
        <v>0.80316200000000004</v>
      </c>
      <c r="R190" s="329">
        <v>0.89154599999999995</v>
      </c>
      <c r="S190" s="329">
        <v>0</v>
      </c>
      <c r="T190" s="329">
        <v>1.0642799999999999</v>
      </c>
      <c r="U190" s="329">
        <v>0.69215800000000005</v>
      </c>
      <c r="V190" s="329">
        <v>1.002338</v>
      </c>
      <c r="W190" s="329">
        <v>0.481549</v>
      </c>
      <c r="X190" s="329">
        <v>0.446127</v>
      </c>
      <c r="Y190" s="329">
        <v>0.60975599999999996</v>
      </c>
      <c r="Z190" s="329">
        <v>0.66514799999999996</v>
      </c>
      <c r="AA190" s="329">
        <v>0.90603699999999998</v>
      </c>
      <c r="AB190" s="329">
        <v>0.92934000000000005</v>
      </c>
      <c r="AC190" s="329">
        <v>0</v>
      </c>
      <c r="AD190" s="329">
        <v>0.68887900000000002</v>
      </c>
      <c r="AE190" s="52">
        <f>'User Add-in Location'!B196</f>
        <v>0</v>
      </c>
      <c r="AF190" s="52">
        <f>'User Add-in Location'!C196</f>
        <v>0</v>
      </c>
      <c r="AG190" s="329">
        <v>0.78065899999999999</v>
      </c>
      <c r="AH190" s="329">
        <v>0.421518</v>
      </c>
      <c r="AI190" s="329">
        <v>0.633934</v>
      </c>
      <c r="AJ190" s="329">
        <v>0.66510599999999998</v>
      </c>
      <c r="AK190" s="329">
        <v>0.49602299999999999</v>
      </c>
      <c r="AL190" s="329">
        <v>0.55321100000000001</v>
      </c>
      <c r="AM190" s="329">
        <v>0.75791900000000001</v>
      </c>
      <c r="AN190" s="329">
        <v>0.81510000000000005</v>
      </c>
      <c r="AO190" s="329">
        <v>0.56855999999999995</v>
      </c>
      <c r="AP190" s="329">
        <v>0</v>
      </c>
      <c r="AQ190" s="329">
        <v>0</v>
      </c>
      <c r="AR190" s="329">
        <v>0.86922600000000005</v>
      </c>
      <c r="AS190" s="324">
        <v>0</v>
      </c>
      <c r="AT190" s="324">
        <v>0</v>
      </c>
      <c r="AU190" s="324">
        <v>0</v>
      </c>
      <c r="AV190" s="324">
        <v>0</v>
      </c>
      <c r="AW190" s="324">
        <v>0</v>
      </c>
      <c r="AX190" s="324">
        <v>0</v>
      </c>
      <c r="AY190" s="324">
        <v>0</v>
      </c>
      <c r="AZ190" s="324">
        <v>0</v>
      </c>
      <c r="BA190" s="329">
        <v>0.35828399999999999</v>
      </c>
      <c r="BB190" s="329">
        <v>0.45649099999999998</v>
      </c>
      <c r="BC190" s="329">
        <v>0</v>
      </c>
      <c r="BD190" s="329">
        <v>0.53955500000000001</v>
      </c>
      <c r="BE190" s="329">
        <v>1.033374</v>
      </c>
      <c r="BF190" s="329">
        <v>1.0789470000000001</v>
      </c>
      <c r="BG190" s="329">
        <v>0.86717900000000003</v>
      </c>
      <c r="BH190" s="329">
        <v>0.57359300000000002</v>
      </c>
      <c r="BI190" s="329">
        <v>0.62001200000000001</v>
      </c>
      <c r="BJ190" s="329">
        <v>0.35653099999999999</v>
      </c>
      <c r="BK190" s="329">
        <v>0.184309</v>
      </c>
      <c r="BL190" s="329">
        <v>0.32900400000000002</v>
      </c>
      <c r="BM190" s="329">
        <v>0.21426899999999999</v>
      </c>
    </row>
    <row r="191" spans="3:65">
      <c r="C191" s="408" t="s">
        <v>394</v>
      </c>
      <c r="D191" s="329">
        <v>0.35324499999999998</v>
      </c>
      <c r="E191" s="329">
        <v>0.29778399999999999</v>
      </c>
      <c r="F191" s="329">
        <v>0.419622</v>
      </c>
      <c r="G191" s="329">
        <v>0.36586600000000002</v>
      </c>
      <c r="H191" s="329">
        <v>0.395727</v>
      </c>
      <c r="I191" s="329">
        <v>0.45657799999999998</v>
      </c>
      <c r="J191" s="329">
        <v>0.36683500000000002</v>
      </c>
      <c r="K191" s="329">
        <v>0.35642600000000002</v>
      </c>
      <c r="L191" s="329">
        <v>0.237206</v>
      </c>
      <c r="M191" s="329">
        <v>0.450019</v>
      </c>
      <c r="N191" s="329">
        <v>0.38419300000000001</v>
      </c>
      <c r="O191" s="329">
        <v>0.40842800000000001</v>
      </c>
      <c r="P191" s="329">
        <v>0.45584599999999997</v>
      </c>
      <c r="Q191" s="329">
        <v>0.41566199999999998</v>
      </c>
      <c r="R191" s="329">
        <v>0.44693100000000002</v>
      </c>
      <c r="S191" s="329">
        <v>0.43377199999999999</v>
      </c>
      <c r="T191" s="329">
        <v>0.44408500000000001</v>
      </c>
      <c r="U191" s="329">
        <v>0.38192399999999999</v>
      </c>
      <c r="V191" s="329">
        <v>0.43286200000000002</v>
      </c>
      <c r="W191" s="329">
        <v>0.394399</v>
      </c>
      <c r="X191" s="329">
        <v>0.38772899999999999</v>
      </c>
      <c r="Y191" s="329">
        <v>0.39650400000000002</v>
      </c>
      <c r="Z191" s="329">
        <v>0.42667699999999997</v>
      </c>
      <c r="AA191" s="329">
        <v>0.462507</v>
      </c>
      <c r="AB191" s="329">
        <v>0.42491899999999999</v>
      </c>
      <c r="AC191" s="329">
        <v>0.50387499999999996</v>
      </c>
      <c r="AD191" s="329">
        <v>0.44177899999999998</v>
      </c>
      <c r="AE191" s="52">
        <f>'User Add-in Location'!B197</f>
        <v>0</v>
      </c>
      <c r="AF191" s="52">
        <f>'User Add-in Location'!C197</f>
        <v>0</v>
      </c>
      <c r="AG191" s="329">
        <v>0.44362400000000002</v>
      </c>
      <c r="AH191" s="329">
        <v>0.38480199999999998</v>
      </c>
      <c r="AI191" s="329">
        <v>0.34635700000000003</v>
      </c>
      <c r="AJ191" s="329">
        <v>0.39932099999999998</v>
      </c>
      <c r="AK191" s="329">
        <v>0.49096099999999998</v>
      </c>
      <c r="AL191" s="329">
        <v>0.38825599999999999</v>
      </c>
      <c r="AM191" s="329">
        <v>0.39208900000000002</v>
      </c>
      <c r="AN191" s="329">
        <v>0.387596</v>
      </c>
      <c r="AO191" s="329">
        <v>0.40286899999999998</v>
      </c>
      <c r="AP191" s="329">
        <v>0.462565</v>
      </c>
      <c r="AQ191" s="329">
        <v>0.45840799999999998</v>
      </c>
      <c r="AR191" s="329">
        <v>0.42316599999999999</v>
      </c>
      <c r="AS191" s="324">
        <v>0</v>
      </c>
      <c r="AT191" s="324">
        <v>0</v>
      </c>
      <c r="AU191" s="324">
        <v>0</v>
      </c>
      <c r="AV191" s="324">
        <v>0</v>
      </c>
      <c r="AW191" s="324">
        <v>0</v>
      </c>
      <c r="AX191" s="324">
        <v>0</v>
      </c>
      <c r="AY191" s="324">
        <v>0</v>
      </c>
      <c r="AZ191" s="324">
        <v>0</v>
      </c>
      <c r="BA191" s="329">
        <v>0.29500199999999999</v>
      </c>
      <c r="BB191" s="329">
        <v>0.298232</v>
      </c>
      <c r="BC191" s="329">
        <v>0.46610400000000002</v>
      </c>
      <c r="BD191" s="329">
        <v>0.42399399999999998</v>
      </c>
      <c r="BE191" s="329">
        <v>0.45369599999999999</v>
      </c>
      <c r="BF191" s="329">
        <v>0.61415699999999995</v>
      </c>
      <c r="BG191" s="329">
        <v>0.47632799999999997</v>
      </c>
      <c r="BH191" s="329">
        <v>0.44539000000000001</v>
      </c>
      <c r="BI191" s="329">
        <v>0.36851800000000001</v>
      </c>
      <c r="BJ191" s="329">
        <v>0.365149</v>
      </c>
      <c r="BK191" s="329">
        <v>0.31477300000000003</v>
      </c>
      <c r="BL191" s="329">
        <v>0.46367399999999998</v>
      </c>
      <c r="BM191" s="329">
        <v>0.291854</v>
      </c>
    </row>
    <row r="192" spans="3:65">
      <c r="C192" s="408" t="s">
        <v>395</v>
      </c>
      <c r="D192" s="329">
        <v>0.37942100000000001</v>
      </c>
      <c r="E192" s="329">
        <v>0.34476699999999999</v>
      </c>
      <c r="F192" s="329">
        <v>0.36543100000000001</v>
      </c>
      <c r="G192" s="329">
        <v>0.40667999999999999</v>
      </c>
      <c r="H192" s="329">
        <v>0.34227299999999999</v>
      </c>
      <c r="I192" s="329">
        <v>0.41458699999999998</v>
      </c>
      <c r="J192" s="329">
        <v>0.34903299999999998</v>
      </c>
      <c r="K192" s="329">
        <v>0.38255</v>
      </c>
      <c r="L192" s="329">
        <v>0.24992900000000001</v>
      </c>
      <c r="M192" s="329">
        <v>0.42330699999999999</v>
      </c>
      <c r="N192" s="329">
        <v>0.42647699999999999</v>
      </c>
      <c r="O192" s="329">
        <v>0.31289299999999998</v>
      </c>
      <c r="P192" s="329">
        <v>0.43633899999999998</v>
      </c>
      <c r="Q192" s="329">
        <v>0.412742</v>
      </c>
      <c r="R192" s="329">
        <v>0.43668600000000002</v>
      </c>
      <c r="S192" s="329">
        <v>0.45937800000000001</v>
      </c>
      <c r="T192" s="329">
        <v>0.43964900000000001</v>
      </c>
      <c r="U192" s="329">
        <v>0.41785099999999997</v>
      </c>
      <c r="V192" s="329">
        <v>0.42531200000000002</v>
      </c>
      <c r="W192" s="329">
        <v>0.38161600000000001</v>
      </c>
      <c r="X192" s="329">
        <v>0.38706299999999999</v>
      </c>
      <c r="Y192" s="329">
        <v>0.39319300000000001</v>
      </c>
      <c r="Z192" s="329">
        <v>0.41862300000000002</v>
      </c>
      <c r="AA192" s="329">
        <v>0.46776499999999999</v>
      </c>
      <c r="AB192" s="329">
        <v>0.41242099999999998</v>
      </c>
      <c r="AC192" s="329">
        <v>0.50371500000000002</v>
      </c>
      <c r="AD192" s="329">
        <v>0.47065099999999999</v>
      </c>
      <c r="AE192" s="52">
        <f>'User Add-in Location'!B198</f>
        <v>0</v>
      </c>
      <c r="AF192" s="52">
        <f>'User Add-in Location'!C198</f>
        <v>0</v>
      </c>
      <c r="AG192" s="329">
        <v>0.48394900000000002</v>
      </c>
      <c r="AH192" s="329">
        <v>0.33988200000000002</v>
      </c>
      <c r="AI192" s="329">
        <v>0.40323900000000001</v>
      </c>
      <c r="AJ192" s="329">
        <v>0.36088500000000001</v>
      </c>
      <c r="AK192" s="329">
        <v>0.42688100000000001</v>
      </c>
      <c r="AL192" s="329">
        <v>0.33714100000000002</v>
      </c>
      <c r="AM192" s="329">
        <v>0.411775</v>
      </c>
      <c r="AN192" s="329">
        <v>0.43057499999999999</v>
      </c>
      <c r="AO192" s="329">
        <v>0.39156200000000002</v>
      </c>
      <c r="AP192" s="329">
        <v>0.48084900000000003</v>
      </c>
      <c r="AQ192" s="329">
        <v>0.45446999999999999</v>
      </c>
      <c r="AR192" s="329">
        <v>0.46138899999999999</v>
      </c>
      <c r="AS192" s="324">
        <v>0</v>
      </c>
      <c r="AT192" s="324">
        <v>0</v>
      </c>
      <c r="AU192" s="324">
        <v>0</v>
      </c>
      <c r="AV192" s="324">
        <v>0</v>
      </c>
      <c r="AW192" s="324">
        <v>0</v>
      </c>
      <c r="AX192" s="324">
        <v>0</v>
      </c>
      <c r="AY192" s="324">
        <v>0</v>
      </c>
      <c r="AZ192" s="324">
        <v>0</v>
      </c>
      <c r="BA192" s="329">
        <v>0.31216500000000003</v>
      </c>
      <c r="BB192" s="329">
        <v>0.343447</v>
      </c>
      <c r="BC192" s="329">
        <v>0.45657300000000001</v>
      </c>
      <c r="BD192" s="329">
        <v>0.39469599999999999</v>
      </c>
      <c r="BE192" s="329">
        <v>0.46350999999999998</v>
      </c>
      <c r="BF192" s="329">
        <v>0.59755899999999995</v>
      </c>
      <c r="BG192" s="329">
        <v>0.43472499999999997</v>
      </c>
      <c r="BH192" s="329">
        <v>0.41311799999999999</v>
      </c>
      <c r="BI192" s="329">
        <v>0.41095799999999999</v>
      </c>
      <c r="BJ192" s="329">
        <v>0.286997</v>
      </c>
      <c r="BK192" s="329">
        <v>0.342059</v>
      </c>
      <c r="BL192" s="329">
        <v>0.45979700000000001</v>
      </c>
      <c r="BM192" s="329">
        <v>0.312054</v>
      </c>
    </row>
    <row r="193" spans="3:65">
      <c r="C193" s="408" t="s">
        <v>396</v>
      </c>
      <c r="D193" s="329">
        <v>0.49580400000000002</v>
      </c>
      <c r="E193" s="329">
        <v>0.31033100000000002</v>
      </c>
      <c r="F193" s="329">
        <v>0.40234900000000001</v>
      </c>
      <c r="G193" s="329">
        <v>0.57415000000000005</v>
      </c>
      <c r="H193" s="329">
        <v>0.41413800000000001</v>
      </c>
      <c r="I193" s="329">
        <v>0.457978</v>
      </c>
      <c r="J193" s="329">
        <v>0.378494</v>
      </c>
      <c r="K193" s="329">
        <v>0.56579000000000002</v>
      </c>
      <c r="L193" s="329">
        <v>0.29399399999999998</v>
      </c>
      <c r="M193" s="329">
        <v>0.459843</v>
      </c>
      <c r="N193" s="329">
        <v>0.48822599999999999</v>
      </c>
      <c r="O193" s="329">
        <v>0.30734299999999998</v>
      </c>
      <c r="P193" s="329">
        <v>0.51867099999999999</v>
      </c>
      <c r="Q193" s="329">
        <v>0.51380899999999996</v>
      </c>
      <c r="R193" s="329">
        <v>0.55913199999999996</v>
      </c>
      <c r="S193" s="329">
        <v>0.492892</v>
      </c>
      <c r="T193" s="329">
        <v>0.56582900000000003</v>
      </c>
      <c r="U193" s="329">
        <v>0.521872</v>
      </c>
      <c r="V193" s="329">
        <v>0.68808100000000005</v>
      </c>
      <c r="W193" s="329">
        <v>0.47462300000000002</v>
      </c>
      <c r="X193" s="329">
        <v>0.41864099999999999</v>
      </c>
      <c r="Y193" s="329">
        <v>0.42860999999999999</v>
      </c>
      <c r="Z193" s="329">
        <v>0.48579499999999998</v>
      </c>
      <c r="AA193" s="329">
        <v>0.53636399999999995</v>
      </c>
      <c r="AB193" s="329">
        <v>0.62533000000000005</v>
      </c>
      <c r="AC193" s="329">
        <v>0.58888700000000005</v>
      </c>
      <c r="AD193" s="329">
        <v>0.58514699999999997</v>
      </c>
      <c r="AE193" s="52">
        <f>'User Add-in Location'!B199</f>
        <v>0</v>
      </c>
      <c r="AF193" s="52">
        <f>'User Add-in Location'!C199</f>
        <v>0</v>
      </c>
      <c r="AG193" s="329">
        <v>0.34686400000000001</v>
      </c>
      <c r="AH193" s="329">
        <v>0.39932000000000001</v>
      </c>
      <c r="AI193" s="329">
        <v>0.42515799999999998</v>
      </c>
      <c r="AJ193" s="329">
        <v>0.40520299999999998</v>
      </c>
      <c r="AK193" s="329">
        <v>0.53577799999999998</v>
      </c>
      <c r="AL193" s="329">
        <v>0.46057700000000001</v>
      </c>
      <c r="AM193" s="329">
        <v>0.50097000000000003</v>
      </c>
      <c r="AN193" s="329">
        <v>0.52540900000000001</v>
      </c>
      <c r="AO193" s="329">
        <v>0.464339</v>
      </c>
      <c r="AP193" s="329">
        <v>0.44899800000000001</v>
      </c>
      <c r="AQ193" s="329">
        <v>0.46054</v>
      </c>
      <c r="AR193" s="329">
        <v>0.49587199999999998</v>
      </c>
      <c r="AS193" s="324">
        <v>0</v>
      </c>
      <c r="AT193" s="324">
        <v>0</v>
      </c>
      <c r="AU193" s="324">
        <v>0</v>
      </c>
      <c r="AV193" s="324">
        <v>0</v>
      </c>
      <c r="AW193" s="324">
        <v>0</v>
      </c>
      <c r="AX193" s="324">
        <v>0</v>
      </c>
      <c r="AY193" s="324">
        <v>0</v>
      </c>
      <c r="AZ193" s="324">
        <v>0</v>
      </c>
      <c r="BA193" s="329">
        <v>0.34437000000000001</v>
      </c>
      <c r="BB193" s="329">
        <v>0.39973399999999998</v>
      </c>
      <c r="BC193" s="329">
        <v>0.61885500000000004</v>
      </c>
      <c r="BD193" s="329">
        <v>0.48725400000000002</v>
      </c>
      <c r="BE193" s="329">
        <v>0.57924500000000001</v>
      </c>
      <c r="BF193" s="329">
        <v>0.77581199999999995</v>
      </c>
      <c r="BG193" s="329">
        <v>0.495647</v>
      </c>
      <c r="BH193" s="329">
        <v>0.58280299999999996</v>
      </c>
      <c r="BI193" s="329">
        <v>0.43483500000000003</v>
      </c>
      <c r="BJ193" s="329">
        <v>0.41627700000000001</v>
      </c>
      <c r="BK193" s="329">
        <v>0.45921699999999999</v>
      </c>
      <c r="BL193" s="329">
        <v>0.44633099999999998</v>
      </c>
      <c r="BM193" s="329">
        <v>0.314475</v>
      </c>
    </row>
    <row r="194" spans="3:65">
      <c r="C194" s="408" t="s">
        <v>397</v>
      </c>
      <c r="D194" s="329">
        <v>0.44132300000000002</v>
      </c>
      <c r="E194" s="329">
        <v>0.316187</v>
      </c>
      <c r="F194" s="329">
        <v>0.45621699999999998</v>
      </c>
      <c r="G194" s="329">
        <v>0.44744699999999998</v>
      </c>
      <c r="H194" s="329">
        <v>0.370973</v>
      </c>
      <c r="I194" s="329">
        <v>0.49034499999999998</v>
      </c>
      <c r="J194" s="329">
        <v>0.31329000000000001</v>
      </c>
      <c r="K194" s="329">
        <v>0.26890599999999998</v>
      </c>
      <c r="L194" s="329">
        <v>0.317855</v>
      </c>
      <c r="M194" s="329">
        <v>0.52169900000000002</v>
      </c>
      <c r="N194" s="329">
        <v>0.47686600000000001</v>
      </c>
      <c r="O194" s="329">
        <v>0.32584099999999999</v>
      </c>
      <c r="P194" s="329">
        <v>0.510436</v>
      </c>
      <c r="Q194" s="329">
        <v>0.41512399999999999</v>
      </c>
      <c r="R194" s="329">
        <v>0.39441599999999999</v>
      </c>
      <c r="S194" s="329">
        <v>0.37342999999999998</v>
      </c>
      <c r="T194" s="329">
        <v>0.50342799999999999</v>
      </c>
      <c r="U194" s="329">
        <v>0.44161400000000001</v>
      </c>
      <c r="V194" s="329">
        <v>0.48246800000000001</v>
      </c>
      <c r="W194" s="329">
        <v>0.37886700000000001</v>
      </c>
      <c r="X194" s="329">
        <v>0.35506799999999999</v>
      </c>
      <c r="Y194" s="329">
        <v>0.36572700000000002</v>
      </c>
      <c r="Z194" s="329">
        <v>0.43636900000000001</v>
      </c>
      <c r="AA194" s="329">
        <v>0.46310899999999999</v>
      </c>
      <c r="AB194" s="329">
        <v>0.45255200000000001</v>
      </c>
      <c r="AC194" s="329">
        <v>0.52745600000000004</v>
      </c>
      <c r="AD194" s="329">
        <v>0.50646500000000005</v>
      </c>
      <c r="AE194" s="52">
        <f>'User Add-in Location'!B200</f>
        <v>0</v>
      </c>
      <c r="AF194" s="52">
        <f>'User Add-in Location'!C200</f>
        <v>0</v>
      </c>
      <c r="AG194" s="329">
        <v>0.43726300000000001</v>
      </c>
      <c r="AH194" s="329">
        <v>0.41284399999999999</v>
      </c>
      <c r="AI194" s="329">
        <v>0.36008600000000002</v>
      </c>
      <c r="AJ194" s="329">
        <v>0.39654099999999998</v>
      </c>
      <c r="AK194" s="329">
        <v>0.40560000000000002</v>
      </c>
      <c r="AL194" s="329">
        <v>0.35063</v>
      </c>
      <c r="AM194" s="329">
        <v>0.43877100000000002</v>
      </c>
      <c r="AN194" s="329">
        <v>0.46949099999999999</v>
      </c>
      <c r="AO194" s="329">
        <v>0.42412300000000003</v>
      </c>
      <c r="AP194" s="329">
        <v>0.51181399999999999</v>
      </c>
      <c r="AQ194" s="329">
        <v>0.40750799999999998</v>
      </c>
      <c r="AR194" s="329">
        <v>0.46063799999999999</v>
      </c>
      <c r="AS194" s="324">
        <v>0</v>
      </c>
      <c r="AT194" s="324">
        <v>0</v>
      </c>
      <c r="AU194" s="324">
        <v>0</v>
      </c>
      <c r="AV194" s="324">
        <v>0</v>
      </c>
      <c r="AW194" s="324">
        <v>0</v>
      </c>
      <c r="AX194" s="324">
        <v>0</v>
      </c>
      <c r="AY194" s="324">
        <v>0</v>
      </c>
      <c r="AZ194" s="324">
        <v>0</v>
      </c>
      <c r="BA194" s="329">
        <v>0.37940000000000002</v>
      </c>
      <c r="BB194" s="329">
        <v>0.41375000000000001</v>
      </c>
      <c r="BC194" s="329">
        <v>0.47231499999999998</v>
      </c>
      <c r="BD194" s="329">
        <v>0.44692599999999999</v>
      </c>
      <c r="BE194" s="329">
        <v>0.52033300000000005</v>
      </c>
      <c r="BF194" s="329">
        <v>0.64327100000000004</v>
      </c>
      <c r="BG194" s="329">
        <v>0.512436</v>
      </c>
      <c r="BH194" s="329">
        <v>0.383465</v>
      </c>
      <c r="BI194" s="329">
        <v>0.406775</v>
      </c>
      <c r="BJ194" s="329">
        <v>0.39967200000000003</v>
      </c>
      <c r="BK194" s="329">
        <v>0.36196</v>
      </c>
      <c r="BL194" s="329">
        <v>0.46485399999999999</v>
      </c>
      <c r="BM194" s="329">
        <v>0.43028699999999998</v>
      </c>
    </row>
    <row r="195" spans="3:65">
      <c r="C195" s="408" t="s">
        <v>398</v>
      </c>
      <c r="D195" s="329">
        <v>0.45012799999999997</v>
      </c>
      <c r="E195" s="329">
        <v>0.39379799999999998</v>
      </c>
      <c r="F195" s="329">
        <v>0.504633</v>
      </c>
      <c r="G195" s="329">
        <v>0.48893599999999998</v>
      </c>
      <c r="H195" s="329">
        <v>0.417352</v>
      </c>
      <c r="I195" s="329">
        <v>0.56867900000000005</v>
      </c>
      <c r="J195" s="329">
        <v>0.36739699999999997</v>
      </c>
      <c r="K195" s="329">
        <v>0.18326500000000001</v>
      </c>
      <c r="L195" s="329">
        <v>0.32236199999999998</v>
      </c>
      <c r="M195" s="329">
        <v>0.65332199999999996</v>
      </c>
      <c r="N195" s="329">
        <v>0.353354</v>
      </c>
      <c r="O195" s="329">
        <v>0.47294900000000001</v>
      </c>
      <c r="P195" s="329">
        <v>0.60031999999999996</v>
      </c>
      <c r="Q195" s="329">
        <v>0.46889700000000001</v>
      </c>
      <c r="R195" s="329">
        <v>0.55721900000000002</v>
      </c>
      <c r="S195" s="329">
        <v>0.48857699999999998</v>
      </c>
      <c r="T195" s="329">
        <v>0.64268899999999995</v>
      </c>
      <c r="U195" s="329">
        <v>0.49878499999999998</v>
      </c>
      <c r="V195" s="329">
        <v>0.56672</v>
      </c>
      <c r="W195" s="329">
        <v>0.45328200000000002</v>
      </c>
      <c r="X195" s="329">
        <v>0.50020699999999996</v>
      </c>
      <c r="Y195" s="329">
        <v>0.36768800000000001</v>
      </c>
      <c r="Z195" s="329">
        <v>0.57528900000000005</v>
      </c>
      <c r="AA195" s="329">
        <v>0.503772</v>
      </c>
      <c r="AB195" s="329">
        <v>0.51930900000000002</v>
      </c>
      <c r="AC195" s="329">
        <v>0.517428</v>
      </c>
      <c r="AD195" s="329">
        <v>0.50728799999999996</v>
      </c>
      <c r="AE195" s="52">
        <f>'User Add-in Location'!B201</f>
        <v>0</v>
      </c>
      <c r="AF195" s="52">
        <f>'User Add-in Location'!C201</f>
        <v>0</v>
      </c>
      <c r="AG195" s="329">
        <v>0.57484100000000005</v>
      </c>
      <c r="AH195" s="329">
        <v>0.46063799999999999</v>
      </c>
      <c r="AI195" s="329">
        <v>0.40476800000000002</v>
      </c>
      <c r="AJ195" s="329">
        <v>0.47883500000000001</v>
      </c>
      <c r="AK195" s="329">
        <v>0.56736500000000001</v>
      </c>
      <c r="AL195" s="329">
        <v>0.197549</v>
      </c>
      <c r="AM195" s="329">
        <v>0.31341200000000002</v>
      </c>
      <c r="AN195" s="329">
        <v>0.52610699999999999</v>
      </c>
      <c r="AO195" s="329">
        <v>0.37051200000000001</v>
      </c>
      <c r="AP195" s="329">
        <v>0.66530400000000001</v>
      </c>
      <c r="AQ195" s="329">
        <v>0.54737100000000005</v>
      </c>
      <c r="AR195" s="329">
        <v>0.59235199999999999</v>
      </c>
      <c r="AS195" s="324">
        <v>0</v>
      </c>
      <c r="AT195" s="324">
        <v>0</v>
      </c>
      <c r="AU195" s="324">
        <v>0</v>
      </c>
      <c r="AV195" s="324">
        <v>0</v>
      </c>
      <c r="AW195" s="324">
        <v>0</v>
      </c>
      <c r="AX195" s="324">
        <v>0</v>
      </c>
      <c r="AY195" s="324">
        <v>0</v>
      </c>
      <c r="AZ195" s="324">
        <v>0</v>
      </c>
      <c r="BA195" s="329">
        <v>0.405609</v>
      </c>
      <c r="BB195" s="329">
        <v>0.445021</v>
      </c>
      <c r="BC195" s="329">
        <v>0.24929899999999999</v>
      </c>
      <c r="BD195" s="329">
        <v>0.51596699999999995</v>
      </c>
      <c r="BE195" s="329">
        <v>0.61965300000000001</v>
      </c>
      <c r="BF195" s="329">
        <v>0.65883899999999995</v>
      </c>
      <c r="BG195" s="329">
        <v>0.46941500000000003</v>
      </c>
      <c r="BH195" s="329">
        <v>0.52973999999999999</v>
      </c>
      <c r="BI195" s="329">
        <v>0.430529</v>
      </c>
      <c r="BJ195" s="329">
        <v>0.50658599999999998</v>
      </c>
      <c r="BK195" s="329">
        <v>0.45916400000000002</v>
      </c>
      <c r="BL195" s="329">
        <v>0.58889599999999998</v>
      </c>
      <c r="BM195" s="329">
        <v>0.47949599999999998</v>
      </c>
    </row>
    <row r="196" spans="3:65">
      <c r="C196" s="408" t="s">
        <v>399</v>
      </c>
      <c r="D196" s="329">
        <v>0.37227900000000003</v>
      </c>
      <c r="E196" s="329">
        <v>0.33771000000000001</v>
      </c>
      <c r="F196" s="329">
        <v>0.40954499999999999</v>
      </c>
      <c r="G196" s="329">
        <v>0.35471900000000001</v>
      </c>
      <c r="H196" s="329">
        <v>0.34009699999999998</v>
      </c>
      <c r="I196" s="329">
        <v>0.39542100000000002</v>
      </c>
      <c r="J196" s="329">
        <v>0.33582400000000001</v>
      </c>
      <c r="K196" s="329">
        <v>0.247308</v>
      </c>
      <c r="L196" s="329">
        <v>0.179338</v>
      </c>
      <c r="M196" s="329">
        <v>0.45068900000000001</v>
      </c>
      <c r="N196" s="329">
        <v>0.38509700000000002</v>
      </c>
      <c r="O196" s="329">
        <v>0.35532399999999997</v>
      </c>
      <c r="P196" s="329">
        <v>0.49259900000000001</v>
      </c>
      <c r="Q196" s="329">
        <v>0.35434900000000003</v>
      </c>
      <c r="R196" s="329">
        <v>0.36761899999999997</v>
      </c>
      <c r="S196" s="329">
        <v>0.42238900000000001</v>
      </c>
      <c r="T196" s="329">
        <v>0.42435400000000001</v>
      </c>
      <c r="U196" s="329">
        <v>0.40332200000000001</v>
      </c>
      <c r="V196" s="329">
        <v>0.443685</v>
      </c>
      <c r="W196" s="329">
        <v>0.38473299999999999</v>
      </c>
      <c r="X196" s="329">
        <v>0.38711200000000001</v>
      </c>
      <c r="Y196" s="329">
        <v>0.34144400000000003</v>
      </c>
      <c r="Z196" s="329">
        <v>0.40673799999999999</v>
      </c>
      <c r="AA196" s="329">
        <v>0.40450199999999997</v>
      </c>
      <c r="AB196" s="329">
        <v>0.43814599999999998</v>
      </c>
      <c r="AC196" s="329">
        <v>0.447052</v>
      </c>
      <c r="AD196" s="329">
        <v>0.45914700000000003</v>
      </c>
      <c r="AE196" s="52">
        <f>'User Add-in Location'!B202</f>
        <v>0</v>
      </c>
      <c r="AF196" s="52">
        <f>'User Add-in Location'!C202</f>
        <v>0</v>
      </c>
      <c r="AG196" s="329">
        <v>0.44296600000000003</v>
      </c>
      <c r="AH196" s="329">
        <v>0.36833700000000003</v>
      </c>
      <c r="AI196" s="329">
        <v>0.36738199999999999</v>
      </c>
      <c r="AJ196" s="329">
        <v>0.33704099999999998</v>
      </c>
      <c r="AK196" s="329">
        <v>0.50244999999999995</v>
      </c>
      <c r="AL196" s="329">
        <v>0.30110999999999999</v>
      </c>
      <c r="AM196" s="329">
        <v>0.33438000000000001</v>
      </c>
      <c r="AN196" s="329">
        <v>0.39389400000000002</v>
      </c>
      <c r="AO196" s="329">
        <v>0.38822400000000001</v>
      </c>
      <c r="AP196" s="329">
        <v>0.45960000000000001</v>
      </c>
      <c r="AQ196" s="329">
        <v>0.38155899999999998</v>
      </c>
      <c r="AR196" s="329">
        <v>0.39183000000000001</v>
      </c>
      <c r="AS196" s="324">
        <v>0</v>
      </c>
      <c r="AT196" s="324">
        <v>0</v>
      </c>
      <c r="AU196" s="324">
        <v>0</v>
      </c>
      <c r="AV196" s="324">
        <v>0</v>
      </c>
      <c r="AW196" s="324">
        <v>0</v>
      </c>
      <c r="AX196" s="324">
        <v>0</v>
      </c>
      <c r="AY196" s="324">
        <v>0</v>
      </c>
      <c r="AZ196" s="324">
        <v>0</v>
      </c>
      <c r="BA196" s="329">
        <v>0.30859799999999998</v>
      </c>
      <c r="BB196" s="329">
        <v>0.32812200000000002</v>
      </c>
      <c r="BC196" s="329">
        <v>0.429178</v>
      </c>
      <c r="BD196" s="329">
        <v>0.40479500000000002</v>
      </c>
      <c r="BE196" s="329">
        <v>0.41964499999999999</v>
      </c>
      <c r="BF196" s="329">
        <v>0.55843600000000004</v>
      </c>
      <c r="BG196" s="329">
        <v>0.49732599999999999</v>
      </c>
      <c r="BH196" s="329">
        <v>0.43397200000000002</v>
      </c>
      <c r="BI196" s="329">
        <v>0.35289300000000001</v>
      </c>
      <c r="BJ196" s="329">
        <v>0.35799399999999998</v>
      </c>
      <c r="BK196" s="329">
        <v>0.31206</v>
      </c>
      <c r="BL196" s="329">
        <v>0.43554700000000002</v>
      </c>
      <c r="BM196" s="329">
        <v>0.31904700000000003</v>
      </c>
    </row>
    <row r="197" spans="3:65">
      <c r="C197" s="408" t="s">
        <v>400</v>
      </c>
      <c r="D197" s="329">
        <v>0.295877</v>
      </c>
      <c r="E197" s="329">
        <v>0.28914600000000001</v>
      </c>
      <c r="F197" s="329">
        <v>0.32628800000000002</v>
      </c>
      <c r="G197" s="329">
        <v>0.36416599999999999</v>
      </c>
      <c r="H197" s="329">
        <v>0.23521900000000001</v>
      </c>
      <c r="I197" s="329">
        <v>0.29668800000000001</v>
      </c>
      <c r="J197" s="329">
        <v>0.23274900000000001</v>
      </c>
      <c r="K197" s="329">
        <v>0.23532400000000001</v>
      </c>
      <c r="L197" s="329">
        <v>0.15155199999999999</v>
      </c>
      <c r="M197" s="329">
        <v>0.33859899999999998</v>
      </c>
      <c r="N197" s="329">
        <v>0.30143799999999998</v>
      </c>
      <c r="O197" s="329">
        <v>0.30784600000000001</v>
      </c>
      <c r="P197" s="329">
        <v>0.395092</v>
      </c>
      <c r="Q197" s="329">
        <v>0.30213099999999998</v>
      </c>
      <c r="R197" s="329">
        <v>0.29796299999999998</v>
      </c>
      <c r="S197" s="329">
        <v>0.32156699999999999</v>
      </c>
      <c r="T197" s="329">
        <v>0.33168599999999998</v>
      </c>
      <c r="U197" s="329">
        <v>0.32667000000000002</v>
      </c>
      <c r="V197" s="329">
        <v>0.40309899999999999</v>
      </c>
      <c r="W197" s="329">
        <v>0.29477999999999999</v>
      </c>
      <c r="X197" s="329">
        <v>0.24543100000000001</v>
      </c>
      <c r="Y197" s="329">
        <v>0.19265399999999999</v>
      </c>
      <c r="Z197" s="329">
        <v>0.33302999999999999</v>
      </c>
      <c r="AA197" s="329">
        <v>0.31868299999999999</v>
      </c>
      <c r="AB197" s="329">
        <v>0.38516499999999998</v>
      </c>
      <c r="AC197" s="329">
        <v>0.34229100000000001</v>
      </c>
      <c r="AD197" s="329">
        <v>0.39021400000000001</v>
      </c>
      <c r="AE197" s="52">
        <f>'User Add-in Location'!B203</f>
        <v>0</v>
      </c>
      <c r="AF197" s="52">
        <f>'User Add-in Location'!C203</f>
        <v>0</v>
      </c>
      <c r="AG197" s="329">
        <v>0.36786200000000002</v>
      </c>
      <c r="AH197" s="329">
        <v>0.31093199999999999</v>
      </c>
      <c r="AI197" s="329">
        <v>0.23810200000000001</v>
      </c>
      <c r="AJ197" s="329">
        <v>0.23455799999999999</v>
      </c>
      <c r="AK197" s="329">
        <v>0.31795699999999999</v>
      </c>
      <c r="AL197" s="329">
        <v>0.237486</v>
      </c>
      <c r="AM197" s="329">
        <v>0.25446400000000002</v>
      </c>
      <c r="AN197" s="329">
        <v>0.32924599999999998</v>
      </c>
      <c r="AO197" s="329">
        <v>0.30948700000000001</v>
      </c>
      <c r="AP197" s="329">
        <v>0.36665900000000001</v>
      </c>
      <c r="AQ197" s="329">
        <v>0.34223199999999998</v>
      </c>
      <c r="AR197" s="329">
        <v>0.31706499999999999</v>
      </c>
      <c r="AS197" s="324">
        <v>0</v>
      </c>
      <c r="AT197" s="324">
        <v>0</v>
      </c>
      <c r="AU197" s="324">
        <v>0</v>
      </c>
      <c r="AV197" s="324">
        <v>0</v>
      </c>
      <c r="AW197" s="324">
        <v>0</v>
      </c>
      <c r="AX197" s="324">
        <v>0</v>
      </c>
      <c r="AY197" s="324">
        <v>0</v>
      </c>
      <c r="AZ197" s="324">
        <v>0</v>
      </c>
      <c r="BA197" s="329">
        <v>0.25226399999999999</v>
      </c>
      <c r="BB197" s="329">
        <v>0.27278999999999998</v>
      </c>
      <c r="BC197" s="329">
        <v>0.36303600000000003</v>
      </c>
      <c r="BD197" s="329">
        <v>0.27124300000000001</v>
      </c>
      <c r="BE197" s="329">
        <v>0.324569</v>
      </c>
      <c r="BF197" s="329">
        <v>0.42248400000000003</v>
      </c>
      <c r="BG197" s="329">
        <v>0.38489899999999999</v>
      </c>
      <c r="BH197" s="329">
        <v>0.28822599999999998</v>
      </c>
      <c r="BI197" s="329">
        <v>0.229823</v>
      </c>
      <c r="BJ197" s="329">
        <v>0.28233799999999998</v>
      </c>
      <c r="BK197" s="329">
        <v>0.343416</v>
      </c>
      <c r="BL197" s="329">
        <v>0.34340900000000002</v>
      </c>
      <c r="BM197" s="329">
        <v>0.26869399999999999</v>
      </c>
    </row>
    <row r="198" spans="3:65">
      <c r="C198" s="408" t="s">
        <v>401</v>
      </c>
      <c r="D198" s="329">
        <v>0.339061</v>
      </c>
      <c r="E198" s="329">
        <v>0.32994600000000002</v>
      </c>
      <c r="F198" s="329">
        <v>0.38095299999999999</v>
      </c>
      <c r="G198" s="329">
        <v>0.431172</v>
      </c>
      <c r="H198" s="329">
        <v>0.35392800000000002</v>
      </c>
      <c r="I198" s="329">
        <v>0.39463900000000002</v>
      </c>
      <c r="J198" s="329">
        <v>0.36369600000000002</v>
      </c>
      <c r="K198" s="329">
        <v>0.31193100000000001</v>
      </c>
      <c r="L198" s="329">
        <v>0.197736</v>
      </c>
      <c r="M198" s="329">
        <v>0.44950600000000002</v>
      </c>
      <c r="N198" s="329">
        <v>0.41050500000000001</v>
      </c>
      <c r="O198" s="329">
        <v>0.33886699999999997</v>
      </c>
      <c r="P198" s="329">
        <v>0.46689900000000001</v>
      </c>
      <c r="Q198" s="329">
        <v>0.42682399999999998</v>
      </c>
      <c r="R198" s="329">
        <v>0.40495900000000001</v>
      </c>
      <c r="S198" s="329">
        <v>0.41213699999999998</v>
      </c>
      <c r="T198" s="329">
        <v>0.433587</v>
      </c>
      <c r="U198" s="329">
        <v>0.39862300000000001</v>
      </c>
      <c r="V198" s="329">
        <v>0.48072799999999999</v>
      </c>
      <c r="W198" s="329">
        <v>0.35851899999999998</v>
      </c>
      <c r="X198" s="329">
        <v>0.35306300000000002</v>
      </c>
      <c r="Y198" s="329">
        <v>0.31535999999999997</v>
      </c>
      <c r="Z198" s="329">
        <v>0.38483600000000001</v>
      </c>
      <c r="AA198" s="329">
        <v>0.44740799999999997</v>
      </c>
      <c r="AB198" s="329">
        <v>0.47180800000000001</v>
      </c>
      <c r="AC198" s="329">
        <v>0.443052</v>
      </c>
      <c r="AD198" s="329">
        <v>0.44452799999999998</v>
      </c>
      <c r="AE198" s="52">
        <f>'User Add-in Location'!B204</f>
        <v>0</v>
      </c>
      <c r="AF198" s="52">
        <f>'User Add-in Location'!C204</f>
        <v>0</v>
      </c>
      <c r="AG198" s="329">
        <v>0.47012100000000001</v>
      </c>
      <c r="AH198" s="329">
        <v>0.37705699999999998</v>
      </c>
      <c r="AI198" s="329">
        <v>0.35305799999999998</v>
      </c>
      <c r="AJ198" s="329">
        <v>0.37734099999999998</v>
      </c>
      <c r="AK198" s="329">
        <v>0.39071299999999998</v>
      </c>
      <c r="AL198" s="329">
        <v>0.32691199999999998</v>
      </c>
      <c r="AM198" s="329">
        <v>0.36920399999999998</v>
      </c>
      <c r="AN198" s="329">
        <v>0.36896899999999999</v>
      </c>
      <c r="AO198" s="329">
        <v>0.39075399999999999</v>
      </c>
      <c r="AP198" s="329">
        <v>0.47553099999999998</v>
      </c>
      <c r="AQ198" s="329">
        <v>0.42967100000000003</v>
      </c>
      <c r="AR198" s="329">
        <v>0.44031999999999999</v>
      </c>
      <c r="AS198" s="324">
        <v>0</v>
      </c>
      <c r="AT198" s="324">
        <v>0</v>
      </c>
      <c r="AU198" s="324">
        <v>0</v>
      </c>
      <c r="AV198" s="324">
        <v>0</v>
      </c>
      <c r="AW198" s="324">
        <v>0</v>
      </c>
      <c r="AX198" s="324">
        <v>0</v>
      </c>
      <c r="AY198" s="324">
        <v>0</v>
      </c>
      <c r="AZ198" s="324">
        <v>0</v>
      </c>
      <c r="BA198" s="329">
        <v>0.303701</v>
      </c>
      <c r="BB198" s="329">
        <v>0.318631</v>
      </c>
      <c r="BC198" s="329">
        <v>0.45355400000000001</v>
      </c>
      <c r="BD198" s="329">
        <v>0.38973099999999999</v>
      </c>
      <c r="BE198" s="329">
        <v>0.44416499999999998</v>
      </c>
      <c r="BF198" s="329">
        <v>0.58304299999999998</v>
      </c>
      <c r="BG198" s="329">
        <v>0.47212999999999999</v>
      </c>
      <c r="BH198" s="329">
        <v>0.40290399999999998</v>
      </c>
      <c r="BI198" s="329">
        <v>0.33547300000000002</v>
      </c>
      <c r="BJ198" s="329">
        <v>0.36530899999999999</v>
      </c>
      <c r="BK198" s="329">
        <v>0.30957099999999999</v>
      </c>
      <c r="BL198" s="329">
        <v>0.40025100000000002</v>
      </c>
      <c r="BM198" s="329">
        <v>0.27434399999999998</v>
      </c>
    </row>
    <row r="199" spans="3:65">
      <c r="C199" s="408" t="s">
        <v>402</v>
      </c>
      <c r="D199" s="329">
        <v>0.39322499999999999</v>
      </c>
      <c r="E199" s="329">
        <v>0.32460699999999998</v>
      </c>
      <c r="F199" s="329">
        <v>0.37344500000000003</v>
      </c>
      <c r="G199" s="329">
        <v>0.431143</v>
      </c>
      <c r="H199" s="329">
        <v>0.365257</v>
      </c>
      <c r="I199" s="329">
        <v>0.40895599999999999</v>
      </c>
      <c r="J199" s="329">
        <v>0.34095199999999998</v>
      </c>
      <c r="K199" s="329">
        <v>0.30279400000000001</v>
      </c>
      <c r="L199" s="329">
        <v>0.233207</v>
      </c>
      <c r="M199" s="329">
        <v>0.43312699999999998</v>
      </c>
      <c r="N199" s="329">
        <v>0.406947</v>
      </c>
      <c r="O199" s="329">
        <v>0.29957299999999998</v>
      </c>
      <c r="P199" s="329">
        <v>0.46459800000000001</v>
      </c>
      <c r="Q199" s="329">
        <v>0.437473</v>
      </c>
      <c r="R199" s="329">
        <v>0.45135599999999998</v>
      </c>
      <c r="S199" s="329">
        <v>0.44147399999999998</v>
      </c>
      <c r="T199" s="329">
        <v>0.44034400000000001</v>
      </c>
      <c r="U199" s="329">
        <v>0.41589799999999999</v>
      </c>
      <c r="V199" s="329">
        <v>0.490506</v>
      </c>
      <c r="W199" s="329">
        <v>0.36141099999999998</v>
      </c>
      <c r="X199" s="329">
        <v>0.35287499999999999</v>
      </c>
      <c r="Y199" s="329">
        <v>0.349769</v>
      </c>
      <c r="Z199" s="329">
        <v>0.429174</v>
      </c>
      <c r="AA199" s="329">
        <v>0.458486</v>
      </c>
      <c r="AB199" s="329">
        <v>0.48653200000000002</v>
      </c>
      <c r="AC199" s="329">
        <v>0.49747599999999997</v>
      </c>
      <c r="AD199" s="329">
        <v>0.44695600000000002</v>
      </c>
      <c r="AE199" s="52">
        <f>'User Add-in Location'!B205</f>
        <v>0</v>
      </c>
      <c r="AF199" s="52">
        <f>'User Add-in Location'!C205</f>
        <v>0</v>
      </c>
      <c r="AG199" s="329">
        <v>0.47717999999999999</v>
      </c>
      <c r="AH199" s="329">
        <v>0.32434400000000002</v>
      </c>
      <c r="AI199" s="329">
        <v>0.34788000000000002</v>
      </c>
      <c r="AJ199" s="329">
        <v>0.36658299999999999</v>
      </c>
      <c r="AK199" s="329">
        <v>0.43997000000000003</v>
      </c>
      <c r="AL199" s="329">
        <v>0.31465900000000002</v>
      </c>
      <c r="AM199" s="329">
        <v>0.40323500000000001</v>
      </c>
      <c r="AN199" s="329">
        <v>0.39589600000000003</v>
      </c>
      <c r="AO199" s="329">
        <v>0.40264100000000003</v>
      </c>
      <c r="AP199" s="329">
        <v>0.483929</v>
      </c>
      <c r="AQ199" s="329">
        <v>0.39997500000000002</v>
      </c>
      <c r="AR199" s="329">
        <v>0.40581099999999998</v>
      </c>
      <c r="AS199" s="324">
        <v>0</v>
      </c>
      <c r="AT199" s="324">
        <v>0</v>
      </c>
      <c r="AU199" s="324">
        <v>0</v>
      </c>
      <c r="AV199" s="324">
        <v>0</v>
      </c>
      <c r="AW199" s="324">
        <v>0</v>
      </c>
      <c r="AX199" s="324">
        <v>0</v>
      </c>
      <c r="AY199" s="324">
        <v>0</v>
      </c>
      <c r="AZ199" s="324">
        <v>0</v>
      </c>
      <c r="BA199" s="329">
        <v>0.30251899999999998</v>
      </c>
      <c r="BB199" s="329">
        <v>0.34006900000000001</v>
      </c>
      <c r="BC199" s="329">
        <v>0.45305600000000001</v>
      </c>
      <c r="BD199" s="329">
        <v>0.388849</v>
      </c>
      <c r="BE199" s="329">
        <v>0.48738799999999999</v>
      </c>
      <c r="BF199" s="329">
        <v>0.59823899999999997</v>
      </c>
      <c r="BG199" s="329">
        <v>0.44544400000000001</v>
      </c>
      <c r="BH199" s="329">
        <v>0.40105000000000002</v>
      </c>
      <c r="BI199" s="329">
        <v>0.38083</v>
      </c>
      <c r="BJ199" s="329">
        <v>0.34947400000000001</v>
      </c>
      <c r="BK199" s="329">
        <v>0.31887199999999999</v>
      </c>
      <c r="BL199" s="329">
        <v>0.39789400000000003</v>
      </c>
      <c r="BM199" s="329">
        <v>0.27805000000000002</v>
      </c>
    </row>
    <row r="200" spans="3:65">
      <c r="C200" s="408" t="s">
        <v>403</v>
      </c>
      <c r="D200" s="329">
        <v>7.3938000000000004E-2</v>
      </c>
      <c r="E200" s="329">
        <v>1.5381000000000001E-2</v>
      </c>
      <c r="F200" s="329">
        <v>9.8234000000000002E-2</v>
      </c>
      <c r="G200" s="329">
        <v>0.103159</v>
      </c>
      <c r="H200" s="329">
        <v>9.6611000000000002E-2</v>
      </c>
      <c r="I200" s="329">
        <v>6.1249999999999999E-2</v>
      </c>
      <c r="J200" s="329">
        <v>9.2214000000000004E-2</v>
      </c>
      <c r="K200" s="329">
        <v>2.8500999999999999E-2</v>
      </c>
      <c r="L200" s="329">
        <v>1.5679999999999999E-2</v>
      </c>
      <c r="M200" s="329">
        <v>7.5072E-2</v>
      </c>
      <c r="N200" s="329">
        <v>2.7434E-2</v>
      </c>
      <c r="O200" s="329">
        <v>4.1818000000000001E-2</v>
      </c>
      <c r="P200" s="329">
        <v>0.12519</v>
      </c>
      <c r="Q200" s="329">
        <v>4.2848999999999998E-2</v>
      </c>
      <c r="R200" s="329">
        <v>7.2916999999999996E-2</v>
      </c>
      <c r="S200" s="329">
        <v>5.5197000000000003E-2</v>
      </c>
      <c r="T200" s="329">
        <v>9.2566999999999997E-2</v>
      </c>
      <c r="U200" s="329">
        <v>8.7497000000000005E-2</v>
      </c>
      <c r="V200" s="329">
        <v>0.109227</v>
      </c>
      <c r="W200" s="329">
        <v>7.0148000000000002E-2</v>
      </c>
      <c r="X200" s="329">
        <v>1.8331E-2</v>
      </c>
      <c r="Y200" s="329">
        <v>2.5950999999999998E-2</v>
      </c>
      <c r="Z200" s="329">
        <v>6.3115000000000004E-2</v>
      </c>
      <c r="AA200" s="329">
        <v>0.119981</v>
      </c>
      <c r="AB200" s="329">
        <v>7.2939000000000004E-2</v>
      </c>
      <c r="AC200" s="329">
        <v>8.4217E-2</v>
      </c>
      <c r="AD200" s="329">
        <v>8.2157999999999995E-2</v>
      </c>
      <c r="AE200" s="52">
        <f>'User Add-in Location'!B206</f>
        <v>0</v>
      </c>
      <c r="AF200" s="52">
        <f>'User Add-in Location'!C206</f>
        <v>0</v>
      </c>
      <c r="AG200" s="329">
        <v>5.5195000000000001E-2</v>
      </c>
      <c r="AH200" s="329">
        <v>4.0947999999999998E-2</v>
      </c>
      <c r="AI200" s="329">
        <v>4.3936999999999997E-2</v>
      </c>
      <c r="AJ200" s="329">
        <v>6.1290999999999998E-2</v>
      </c>
      <c r="AK200" s="329">
        <v>8.0696000000000004E-2</v>
      </c>
      <c r="AL200" s="329">
        <v>6.7908999999999997E-2</v>
      </c>
      <c r="AM200" s="329">
        <v>3.8394999999999999E-2</v>
      </c>
      <c r="AN200" s="329">
        <v>0.16544600000000001</v>
      </c>
      <c r="AO200" s="329">
        <v>5.1497000000000001E-2</v>
      </c>
      <c r="AP200" s="329">
        <v>0.19367699999999999</v>
      </c>
      <c r="AQ200" s="329">
        <v>0.101795</v>
      </c>
      <c r="AR200" s="329">
        <v>0.10501000000000001</v>
      </c>
      <c r="AS200" s="324">
        <v>0</v>
      </c>
      <c r="AT200" s="324">
        <v>0</v>
      </c>
      <c r="AU200" s="324">
        <v>0</v>
      </c>
      <c r="AV200" s="324">
        <v>0</v>
      </c>
      <c r="AW200" s="324">
        <v>0</v>
      </c>
      <c r="AX200" s="324">
        <v>0</v>
      </c>
      <c r="AY200" s="324">
        <v>0</v>
      </c>
      <c r="AZ200" s="324">
        <v>0</v>
      </c>
      <c r="BA200" s="329">
        <v>2.9693000000000001E-2</v>
      </c>
      <c r="BB200" s="329">
        <v>4.1738999999999998E-2</v>
      </c>
      <c r="BC200" s="329">
        <v>0.18682000000000001</v>
      </c>
      <c r="BD200" s="329">
        <v>8.2511000000000001E-2</v>
      </c>
      <c r="BE200" s="329">
        <v>9.2313999999999993E-2</v>
      </c>
      <c r="BF200" s="329">
        <v>0.11237800000000001</v>
      </c>
      <c r="BG200" s="329">
        <v>7.5969999999999996E-2</v>
      </c>
      <c r="BH200" s="329">
        <v>3.4749000000000002E-2</v>
      </c>
      <c r="BI200" s="329">
        <v>8.3946000000000007E-2</v>
      </c>
      <c r="BJ200" s="329">
        <v>0.104314</v>
      </c>
      <c r="BK200" s="329">
        <v>5.5150999999999999E-2</v>
      </c>
      <c r="BL200" s="329">
        <v>6.4765000000000003E-2</v>
      </c>
      <c r="BM200" s="329">
        <v>5.6557000000000003E-2</v>
      </c>
    </row>
    <row r="201" spans="3:65">
      <c r="C201" s="408" t="s">
        <v>404</v>
      </c>
      <c r="D201" s="329">
        <v>0.469439</v>
      </c>
      <c r="E201" s="329">
        <v>0.32870100000000002</v>
      </c>
      <c r="F201" s="329">
        <v>0.45556799999999997</v>
      </c>
      <c r="G201" s="329">
        <v>0.46029999999999999</v>
      </c>
      <c r="H201" s="329">
        <v>0.47006900000000001</v>
      </c>
      <c r="I201" s="329">
        <v>0.67918100000000003</v>
      </c>
      <c r="J201" s="329">
        <v>0.55801299999999998</v>
      </c>
      <c r="K201" s="329">
        <v>0.56467999999999996</v>
      </c>
      <c r="L201" s="329">
        <v>0.20294999999999999</v>
      </c>
      <c r="M201" s="329">
        <v>0.62539100000000003</v>
      </c>
      <c r="N201" s="329">
        <v>0.44045600000000001</v>
      </c>
      <c r="O201" s="329">
        <v>0.48051500000000003</v>
      </c>
      <c r="P201" s="329">
        <v>0.58680600000000005</v>
      </c>
      <c r="Q201" s="329">
        <v>0.62137900000000001</v>
      </c>
      <c r="R201" s="329">
        <v>0.49832100000000001</v>
      </c>
      <c r="S201" s="329">
        <v>0.55504399999999998</v>
      </c>
      <c r="T201" s="329">
        <v>0.69896499999999995</v>
      </c>
      <c r="U201" s="329">
        <v>0.50470700000000002</v>
      </c>
      <c r="V201" s="329">
        <v>0.86569099999999999</v>
      </c>
      <c r="W201" s="329">
        <v>0.435166</v>
      </c>
      <c r="X201" s="329">
        <v>0.52074600000000004</v>
      </c>
      <c r="Y201" s="329">
        <v>0.57567500000000005</v>
      </c>
      <c r="Z201" s="329">
        <v>0.60992100000000005</v>
      </c>
      <c r="AA201" s="329">
        <v>0.71853199999999995</v>
      </c>
      <c r="AB201" s="329">
        <v>0.78672299999999995</v>
      </c>
      <c r="AC201" s="329">
        <v>0.61777599999999999</v>
      </c>
      <c r="AD201" s="329">
        <v>0.46596700000000002</v>
      </c>
      <c r="AE201" s="52">
        <f>'User Add-in Location'!B207</f>
        <v>0</v>
      </c>
      <c r="AF201" s="52">
        <f>'User Add-in Location'!C207</f>
        <v>0</v>
      </c>
      <c r="AG201" s="329">
        <v>0.62027100000000002</v>
      </c>
      <c r="AH201" s="329">
        <v>0.47940500000000003</v>
      </c>
      <c r="AI201" s="329">
        <v>0.56494</v>
      </c>
      <c r="AJ201" s="329">
        <v>0.65967299999999995</v>
      </c>
      <c r="AK201" s="329">
        <v>0.625888</v>
      </c>
      <c r="AL201" s="329">
        <v>0.63107199999999997</v>
      </c>
      <c r="AM201" s="329">
        <v>0.48549100000000001</v>
      </c>
      <c r="AN201" s="329">
        <v>0.53494600000000003</v>
      </c>
      <c r="AO201" s="329">
        <v>0.58616900000000005</v>
      </c>
      <c r="AP201" s="329">
        <v>0.53556499999999996</v>
      </c>
      <c r="AQ201" s="329">
        <v>0.46515600000000001</v>
      </c>
      <c r="AR201" s="329">
        <v>0.55860699999999996</v>
      </c>
      <c r="AS201" s="324">
        <v>0</v>
      </c>
      <c r="AT201" s="324">
        <v>0</v>
      </c>
      <c r="AU201" s="324">
        <v>0</v>
      </c>
      <c r="AV201" s="324">
        <v>0</v>
      </c>
      <c r="AW201" s="324">
        <v>0</v>
      </c>
      <c r="AX201" s="324">
        <v>0</v>
      </c>
      <c r="AY201" s="324">
        <v>0</v>
      </c>
      <c r="AZ201" s="324">
        <v>0</v>
      </c>
      <c r="BA201" s="329">
        <v>0.31601699999999999</v>
      </c>
      <c r="BB201" s="329">
        <v>0.28885499999999997</v>
      </c>
      <c r="BC201" s="329">
        <v>0.812809</v>
      </c>
      <c r="BD201" s="329">
        <v>0.53740399999999999</v>
      </c>
      <c r="BE201" s="329">
        <v>0.60103300000000004</v>
      </c>
      <c r="BF201" s="329">
        <v>0.78574999999999995</v>
      </c>
      <c r="BG201" s="329">
        <v>0.75003200000000003</v>
      </c>
      <c r="BH201" s="329">
        <v>0.67209700000000006</v>
      </c>
      <c r="BI201" s="329">
        <v>0.57345299999999999</v>
      </c>
      <c r="BJ201" s="329">
        <v>0.52041099999999996</v>
      </c>
      <c r="BK201" s="329">
        <v>0.413937</v>
      </c>
      <c r="BL201" s="329">
        <v>0.43457499999999999</v>
      </c>
      <c r="BM201" s="329">
        <v>0</v>
      </c>
    </row>
    <row r="202" spans="3:65">
      <c r="D202" s="329"/>
      <c r="E202" s="329"/>
      <c r="F202" s="329"/>
      <c r="G202" s="329"/>
      <c r="H202" s="329"/>
      <c r="I202" s="329"/>
      <c r="J202" s="329"/>
      <c r="K202" s="329"/>
      <c r="L202" s="329"/>
      <c r="M202" s="329"/>
      <c r="N202" s="329"/>
      <c r="O202" s="329"/>
      <c r="P202" s="329"/>
      <c r="Q202" s="329"/>
      <c r="R202" s="329"/>
      <c r="S202" s="329"/>
      <c r="T202" s="329"/>
      <c r="U202" s="329"/>
      <c r="V202" s="329"/>
      <c r="W202" s="329"/>
      <c r="X202" s="329"/>
      <c r="Y202" s="329"/>
      <c r="Z202" s="329"/>
      <c r="AA202" s="329"/>
      <c r="AB202" s="329"/>
      <c r="AC202" s="329"/>
      <c r="AD202" s="329"/>
      <c r="AG202" s="329"/>
      <c r="AH202" s="329"/>
      <c r="AI202" s="329"/>
      <c r="AJ202" s="329"/>
      <c r="AK202" s="329"/>
      <c r="AL202" s="329"/>
      <c r="AM202" s="329"/>
      <c r="AN202" s="329"/>
      <c r="AO202" s="329"/>
      <c r="AP202" s="329"/>
      <c r="AQ202" s="329"/>
      <c r="AR202" s="329"/>
      <c r="AS202" s="324"/>
      <c r="AT202" s="324"/>
      <c r="AU202" s="324"/>
      <c r="AV202" s="324"/>
      <c r="AW202" s="324"/>
      <c r="AX202" s="324"/>
      <c r="AY202" s="324"/>
      <c r="AZ202" s="324"/>
      <c r="BA202" s="329"/>
      <c r="BB202" s="329"/>
      <c r="BC202" s="329"/>
      <c r="BD202" s="329"/>
      <c r="BE202" s="329"/>
      <c r="BF202" s="329"/>
      <c r="BG202" s="329"/>
      <c r="BH202" s="329"/>
      <c r="BI202" s="329"/>
      <c r="BJ202" s="329"/>
      <c r="BK202" s="329"/>
      <c r="BL202" s="329"/>
      <c r="BM202" s="329"/>
    </row>
    <row r="203" spans="3:65" ht="12.75" customHeight="1">
      <c r="C203" s="330" t="s">
        <v>411</v>
      </c>
      <c r="AS203" s="324"/>
      <c r="AT203" s="324"/>
      <c r="AU203" s="324"/>
      <c r="AV203" s="324"/>
      <c r="AW203" s="324"/>
      <c r="AX203" s="324"/>
      <c r="AY203" s="324"/>
      <c r="AZ203" s="324"/>
    </row>
    <row r="204" spans="3:65">
      <c r="C204" s="352" t="s">
        <v>414</v>
      </c>
      <c r="D204" s="52" t="s">
        <v>219</v>
      </c>
      <c r="E204" s="52" t="s">
        <v>222</v>
      </c>
      <c r="F204" s="52" t="s">
        <v>231</v>
      </c>
      <c r="G204" s="52" t="s">
        <v>221</v>
      </c>
      <c r="H204" s="52" t="s">
        <v>223</v>
      </c>
      <c r="I204" s="52" t="s">
        <v>240</v>
      </c>
      <c r="J204" s="52" t="s">
        <v>216</v>
      </c>
      <c r="K204" s="52" t="s">
        <v>217</v>
      </c>
      <c r="L204" s="52" t="s">
        <v>218</v>
      </c>
      <c r="M204" s="52" t="s">
        <v>228</v>
      </c>
      <c r="N204" s="52" t="s">
        <v>237</v>
      </c>
      <c r="O204" s="52" t="s">
        <v>232</v>
      </c>
      <c r="P204" s="52" t="s">
        <v>248</v>
      </c>
      <c r="Q204" s="52" t="s">
        <v>220</v>
      </c>
      <c r="R204" s="52" t="s">
        <v>229</v>
      </c>
      <c r="S204" s="52" t="s">
        <v>238</v>
      </c>
      <c r="T204" s="52" t="s">
        <v>254</v>
      </c>
      <c r="U204" s="52" t="s">
        <v>245</v>
      </c>
      <c r="V204" s="52" t="s">
        <v>230</v>
      </c>
      <c r="W204" s="52" t="s">
        <v>225</v>
      </c>
      <c r="X204" s="52" t="s">
        <v>227</v>
      </c>
      <c r="Y204" s="52" t="s">
        <v>234</v>
      </c>
      <c r="Z204" s="52" t="s">
        <v>246</v>
      </c>
      <c r="AA204" s="52" t="s">
        <v>252</v>
      </c>
      <c r="AB204" s="52" t="s">
        <v>251</v>
      </c>
      <c r="AC204" s="52" t="s">
        <v>239</v>
      </c>
      <c r="AD204" s="52" t="s">
        <v>260</v>
      </c>
      <c r="AE204" s="52" t="s">
        <v>381</v>
      </c>
      <c r="AF204" s="52" t="s">
        <v>382</v>
      </c>
      <c r="AG204" s="52" t="s">
        <v>264</v>
      </c>
      <c r="AH204" s="52" t="s">
        <v>266</v>
      </c>
      <c r="AI204" s="52" t="s">
        <v>242</v>
      </c>
      <c r="AJ204" s="52" t="s">
        <v>489</v>
      </c>
      <c r="AK204" s="52" t="s">
        <v>247</v>
      </c>
      <c r="AL204" s="52" t="s">
        <v>250</v>
      </c>
      <c r="AM204" s="52" t="s">
        <v>236</v>
      </c>
      <c r="AN204" s="52" t="s">
        <v>268</v>
      </c>
      <c r="AO204" s="52" t="s">
        <v>258</v>
      </c>
      <c r="AP204" s="52" t="s">
        <v>253</v>
      </c>
      <c r="AQ204" s="52" t="s">
        <v>270</v>
      </c>
      <c r="AR204" s="52" t="s">
        <v>235</v>
      </c>
      <c r="AS204" s="407" t="s">
        <v>207</v>
      </c>
      <c r="AT204" s="407" t="s">
        <v>208</v>
      </c>
      <c r="AU204" s="407" t="s">
        <v>209</v>
      </c>
      <c r="AV204" s="407" t="s">
        <v>210</v>
      </c>
      <c r="AW204" s="407" t="s">
        <v>211</v>
      </c>
      <c r="AX204" s="407" t="s">
        <v>212</v>
      </c>
      <c r="AY204" s="407" t="s">
        <v>213</v>
      </c>
      <c r="AZ204" s="407" t="s">
        <v>214</v>
      </c>
      <c r="BA204" s="52" t="s">
        <v>256</v>
      </c>
      <c r="BB204" s="52" t="s">
        <v>490</v>
      </c>
      <c r="BC204" s="52" t="s">
        <v>272</v>
      </c>
      <c r="BD204" s="52" t="s">
        <v>491</v>
      </c>
      <c r="BE204" s="52" t="s">
        <v>492</v>
      </c>
      <c r="BF204" s="321" t="s">
        <v>604</v>
      </c>
      <c r="BG204" s="52" t="s">
        <v>274</v>
      </c>
      <c r="BH204" s="52" t="s">
        <v>262</v>
      </c>
      <c r="BI204" s="52" t="s">
        <v>244</v>
      </c>
      <c r="BJ204" s="52" t="s">
        <v>275</v>
      </c>
      <c r="BK204" s="52" t="s">
        <v>243</v>
      </c>
      <c r="BL204" s="52" t="s">
        <v>263</v>
      </c>
      <c r="BM204" s="52" t="s">
        <v>493</v>
      </c>
    </row>
    <row r="205" spans="3:65">
      <c r="C205" s="408" t="s">
        <v>383</v>
      </c>
      <c r="D205" s="329">
        <v>0.33216299999999999</v>
      </c>
      <c r="E205" s="329">
        <v>0.26991199999999999</v>
      </c>
      <c r="F205" s="329">
        <v>0.33063399999999998</v>
      </c>
      <c r="G205" s="329">
        <v>0.34967700000000002</v>
      </c>
      <c r="H205" s="329">
        <v>0.43931100000000001</v>
      </c>
      <c r="I205" s="329">
        <v>0.28809699999999999</v>
      </c>
      <c r="J205" s="329">
        <v>0.39227800000000002</v>
      </c>
      <c r="K205" s="329">
        <v>0.439583</v>
      </c>
      <c r="L205" s="329">
        <v>0.34619299999999997</v>
      </c>
      <c r="M205" s="329">
        <v>0.43380999999999997</v>
      </c>
      <c r="N205" s="329">
        <v>0.38535999999999998</v>
      </c>
      <c r="O205" s="329">
        <v>0.40268900000000002</v>
      </c>
      <c r="P205" s="329">
        <v>0.34409099999999998</v>
      </c>
      <c r="Q205" s="329">
        <v>0.416792</v>
      </c>
      <c r="R205" s="329">
        <v>0.39958100000000002</v>
      </c>
      <c r="S205" s="329">
        <v>0.314301</v>
      </c>
      <c r="T205" s="329">
        <v>0.29448999999999997</v>
      </c>
      <c r="U205" s="329">
        <v>0.37778099999999998</v>
      </c>
      <c r="V205" s="329">
        <v>0.41907699999999998</v>
      </c>
      <c r="W205" s="329">
        <v>0.535887</v>
      </c>
      <c r="X205" s="329">
        <v>0.28268300000000002</v>
      </c>
      <c r="Y205" s="329">
        <v>0.552315</v>
      </c>
      <c r="Z205" s="329">
        <v>0.32508300000000001</v>
      </c>
      <c r="AA205" s="329">
        <v>0.38580100000000001</v>
      </c>
      <c r="AB205" s="329">
        <v>0.45100400000000002</v>
      </c>
      <c r="AC205" s="329">
        <v>0.27747100000000002</v>
      </c>
      <c r="AD205" s="329">
        <v>0.28649599999999997</v>
      </c>
      <c r="AE205" s="52">
        <f>'User Add-in Location'!B211</f>
        <v>0</v>
      </c>
      <c r="AF205" s="52">
        <f>'User Add-in Location'!C211</f>
        <v>0</v>
      </c>
      <c r="AG205" s="329">
        <v>0.31269599999999997</v>
      </c>
      <c r="AH205" s="329">
        <v>0.19611400000000001</v>
      </c>
      <c r="AI205" s="329">
        <v>0.56658900000000001</v>
      </c>
      <c r="AJ205" s="329">
        <v>0.44067000000000001</v>
      </c>
      <c r="AK205" s="329">
        <v>0.356763</v>
      </c>
      <c r="AL205" s="329">
        <v>0.26815800000000001</v>
      </c>
      <c r="AM205" s="329">
        <v>0.35134199999999999</v>
      </c>
      <c r="AN205" s="329">
        <v>0.27039099999999999</v>
      </c>
      <c r="AO205" s="329">
        <v>0.314836</v>
      </c>
      <c r="AP205" s="329">
        <v>0.29134700000000002</v>
      </c>
      <c r="AQ205" s="329">
        <v>0.45417400000000002</v>
      </c>
      <c r="AR205" s="329">
        <v>0.41478999999999999</v>
      </c>
      <c r="AS205" s="324">
        <v>0</v>
      </c>
      <c r="AT205" s="324">
        <v>0</v>
      </c>
      <c r="AU205" s="324">
        <v>0</v>
      </c>
      <c r="AV205" s="324">
        <v>0</v>
      </c>
      <c r="AW205" s="324">
        <v>0</v>
      </c>
      <c r="AX205" s="324">
        <v>0</v>
      </c>
      <c r="AY205" s="324">
        <v>0</v>
      </c>
      <c r="AZ205" s="324">
        <v>0</v>
      </c>
      <c r="BA205" s="329">
        <v>0.50858499999999995</v>
      </c>
      <c r="BB205" s="329">
        <v>0.189831</v>
      </c>
      <c r="BC205" s="329">
        <v>0.39787299999999998</v>
      </c>
      <c r="BD205" s="329">
        <v>0.13489300000000001</v>
      </c>
      <c r="BE205" s="329">
        <v>0.33894800000000003</v>
      </c>
      <c r="BF205" s="329">
        <v>0.75106600000000001</v>
      </c>
      <c r="BG205" s="329">
        <v>0.27410699999999999</v>
      </c>
      <c r="BH205" s="329">
        <v>0.39576699999999998</v>
      </c>
      <c r="BI205" s="329">
        <v>0.25511400000000001</v>
      </c>
      <c r="BJ205" s="329">
        <v>0.45557599999999998</v>
      </c>
      <c r="BK205" s="329">
        <v>0.14896599999999999</v>
      </c>
      <c r="BL205" s="329">
        <v>0.24900800000000001</v>
      </c>
      <c r="BM205" s="329">
        <v>0.12531300000000001</v>
      </c>
    </row>
    <row r="206" spans="3:65">
      <c r="C206" s="408" t="s">
        <v>384</v>
      </c>
      <c r="D206" s="329">
        <v>0.22579299999999999</v>
      </c>
      <c r="E206" s="329">
        <v>0.244419</v>
      </c>
      <c r="F206" s="329">
        <v>0.26102399999999998</v>
      </c>
      <c r="G206" s="329">
        <v>0.27217000000000002</v>
      </c>
      <c r="H206" s="329">
        <v>0.29196499999999997</v>
      </c>
      <c r="I206" s="329">
        <v>0.63356900000000005</v>
      </c>
      <c r="J206" s="329">
        <v>0.31150099999999997</v>
      </c>
      <c r="K206" s="329">
        <v>0.237679</v>
      </c>
      <c r="L206" s="329">
        <v>0.23985400000000001</v>
      </c>
      <c r="M206" s="329">
        <v>0.292435</v>
      </c>
      <c r="N206" s="329">
        <v>0.33518199999999998</v>
      </c>
      <c r="O206" s="329">
        <v>0.21845899999999999</v>
      </c>
      <c r="P206" s="329">
        <v>0.41228199999999998</v>
      </c>
      <c r="Q206" s="329">
        <v>0.42467700000000003</v>
      </c>
      <c r="R206" s="329">
        <v>0.34834700000000002</v>
      </c>
      <c r="S206" s="329">
        <v>0.29310399999999998</v>
      </c>
      <c r="T206" s="329">
        <v>0.38984400000000002</v>
      </c>
      <c r="U206" s="329">
        <v>0.256241</v>
      </c>
      <c r="V206" s="329">
        <v>0.45608799999999999</v>
      </c>
      <c r="W206" s="329">
        <v>0.26673999999999998</v>
      </c>
      <c r="X206" s="329">
        <v>0.25276100000000001</v>
      </c>
      <c r="Y206" s="329">
        <v>0.34046599999999999</v>
      </c>
      <c r="Z206" s="329">
        <v>0.31825399999999998</v>
      </c>
      <c r="AA206" s="329">
        <v>0.397368</v>
      </c>
      <c r="AB206" s="329">
        <v>0.32319100000000001</v>
      </c>
      <c r="AC206" s="329">
        <v>0.36702400000000002</v>
      </c>
      <c r="AD206" s="329">
        <v>0.37775900000000001</v>
      </c>
      <c r="AE206" s="52">
        <f>'User Add-in Location'!B212</f>
        <v>0</v>
      </c>
      <c r="AF206" s="52">
        <f>'User Add-in Location'!C212</f>
        <v>0</v>
      </c>
      <c r="AG206" s="329">
        <v>0.38511299999999998</v>
      </c>
      <c r="AH206" s="329">
        <v>0.29337299999999999</v>
      </c>
      <c r="AI206" s="329">
        <v>0.41045500000000001</v>
      </c>
      <c r="AJ206" s="329">
        <v>0.80039199999999999</v>
      </c>
      <c r="AK206" s="329">
        <v>0.24942900000000001</v>
      </c>
      <c r="AL206" s="329">
        <v>0.78909700000000005</v>
      </c>
      <c r="AM206" s="329">
        <v>0.269343</v>
      </c>
      <c r="AN206" s="329">
        <v>0.31317600000000001</v>
      </c>
      <c r="AO206" s="329">
        <v>0.20600499999999999</v>
      </c>
      <c r="AP206" s="329">
        <v>0.34198200000000001</v>
      </c>
      <c r="AQ206" s="329">
        <v>0.32137199999999999</v>
      </c>
      <c r="AR206" s="329">
        <v>0.338368</v>
      </c>
      <c r="AS206" s="324">
        <v>0</v>
      </c>
      <c r="AT206" s="324">
        <v>0</v>
      </c>
      <c r="AU206" s="324">
        <v>0</v>
      </c>
      <c r="AV206" s="324">
        <v>0</v>
      </c>
      <c r="AW206" s="324">
        <v>0</v>
      </c>
      <c r="AX206" s="324">
        <v>0</v>
      </c>
      <c r="AY206" s="324">
        <v>0</v>
      </c>
      <c r="AZ206" s="324">
        <v>0</v>
      </c>
      <c r="BA206" s="329">
        <v>0.237598</v>
      </c>
      <c r="BB206" s="329">
        <v>0.18049899999999999</v>
      </c>
      <c r="BC206" s="329">
        <v>0.428927</v>
      </c>
      <c r="BD206" s="329">
        <v>0.26812599999999998</v>
      </c>
      <c r="BE206" s="329">
        <v>0.49057600000000001</v>
      </c>
      <c r="BF206" s="329">
        <v>0.79134099999999996</v>
      </c>
      <c r="BG206" s="329">
        <v>0.29690100000000003</v>
      </c>
      <c r="BH206" s="329">
        <v>0.27672600000000003</v>
      </c>
      <c r="BI206" s="329">
        <v>0.29508800000000002</v>
      </c>
      <c r="BJ206" s="329">
        <v>0.347916</v>
      </c>
      <c r="BK206" s="329">
        <v>0.18058099999999999</v>
      </c>
      <c r="BL206" s="329">
        <v>0.20935300000000001</v>
      </c>
      <c r="BM206" s="329">
        <v>0.14818400000000001</v>
      </c>
    </row>
    <row r="207" spans="3:65">
      <c r="C207" s="408" t="s">
        <v>385</v>
      </c>
      <c r="D207" s="329">
        <v>0.410306</v>
      </c>
      <c r="E207" s="329">
        <v>0.49290299999999998</v>
      </c>
      <c r="F207" s="329">
        <v>0.38800099999999998</v>
      </c>
      <c r="G207" s="329">
        <v>0.42870399999999997</v>
      </c>
      <c r="H207" s="329">
        <v>0.477495</v>
      </c>
      <c r="I207" s="329">
        <v>0.48447899999999999</v>
      </c>
      <c r="J207" s="329">
        <v>0.55555900000000003</v>
      </c>
      <c r="K207" s="329">
        <v>0.39414300000000002</v>
      </c>
      <c r="L207" s="329">
        <v>0.135546</v>
      </c>
      <c r="M207" s="329">
        <v>0.46389200000000003</v>
      </c>
      <c r="N207" s="329">
        <v>0.450021</v>
      </c>
      <c r="O207" s="329">
        <v>0.440826</v>
      </c>
      <c r="P207" s="329">
        <v>0.45555600000000002</v>
      </c>
      <c r="Q207" s="329">
        <v>0.59636199999999995</v>
      </c>
      <c r="R207" s="329">
        <v>0.55459199999999997</v>
      </c>
      <c r="S207" s="329">
        <v>0.51836800000000005</v>
      </c>
      <c r="T207" s="329">
        <v>0.51355200000000001</v>
      </c>
      <c r="U207" s="329">
        <v>0.439942</v>
      </c>
      <c r="V207" s="329">
        <v>0.58865199999999995</v>
      </c>
      <c r="W207" s="329">
        <v>0.52680800000000005</v>
      </c>
      <c r="X207" s="329">
        <v>0.46704000000000001</v>
      </c>
      <c r="Y207" s="329">
        <v>0.544906</v>
      </c>
      <c r="Z207" s="329">
        <v>0.54386000000000001</v>
      </c>
      <c r="AA207" s="329">
        <v>0.67801</v>
      </c>
      <c r="AB207" s="329">
        <v>0.47059200000000001</v>
      </c>
      <c r="AC207" s="329">
        <v>0.665682</v>
      </c>
      <c r="AD207" s="329">
        <v>0.48380200000000001</v>
      </c>
      <c r="AE207" s="52">
        <f>'User Add-in Location'!B213</f>
        <v>0</v>
      </c>
      <c r="AF207" s="52">
        <f>'User Add-in Location'!C213</f>
        <v>0</v>
      </c>
      <c r="AG207" s="329">
        <v>0.59477400000000002</v>
      </c>
      <c r="AH207" s="329">
        <v>0.41836800000000002</v>
      </c>
      <c r="AI207" s="329">
        <v>0.74355099999999996</v>
      </c>
      <c r="AJ207" s="329">
        <v>0.57227899999999998</v>
      </c>
      <c r="AK207" s="329">
        <v>0.45529500000000001</v>
      </c>
      <c r="AL207" s="329">
        <v>0.42408099999999999</v>
      </c>
      <c r="AM207" s="329">
        <v>0.46284599999999998</v>
      </c>
      <c r="AN207" s="329">
        <v>0.46164500000000003</v>
      </c>
      <c r="AO207" s="329">
        <v>0.50581900000000002</v>
      </c>
      <c r="AP207" s="329">
        <v>0.54038600000000003</v>
      </c>
      <c r="AQ207" s="329">
        <v>0.54043699999999995</v>
      </c>
      <c r="AR207" s="329">
        <v>0.63134999999999997</v>
      </c>
      <c r="AS207" s="324">
        <v>0</v>
      </c>
      <c r="AT207" s="324">
        <v>0</v>
      </c>
      <c r="AU207" s="324">
        <v>0</v>
      </c>
      <c r="AV207" s="324">
        <v>0</v>
      </c>
      <c r="AW207" s="324">
        <v>0</v>
      </c>
      <c r="AX207" s="324">
        <v>0</v>
      </c>
      <c r="AY207" s="324">
        <v>0</v>
      </c>
      <c r="AZ207" s="324">
        <v>0</v>
      </c>
      <c r="BA207" s="329">
        <v>0.37624800000000003</v>
      </c>
      <c r="BB207" s="329">
        <v>0.32741700000000001</v>
      </c>
      <c r="BC207" s="329">
        <v>0.584588</v>
      </c>
      <c r="BD207" s="329">
        <v>0.51987899999999998</v>
      </c>
      <c r="BE207" s="329">
        <v>0.618367</v>
      </c>
      <c r="BF207" s="329">
        <v>0.98198099999999999</v>
      </c>
      <c r="BG207" s="329">
        <v>0.48880699999999999</v>
      </c>
      <c r="BH207" s="329">
        <v>0.637714</v>
      </c>
      <c r="BI207" s="329">
        <v>0.463389</v>
      </c>
      <c r="BJ207" s="329">
        <v>0.44217200000000001</v>
      </c>
      <c r="BK207" s="329">
        <v>0.32253199999999999</v>
      </c>
      <c r="BL207" s="329">
        <v>0.51443300000000003</v>
      </c>
      <c r="BM207" s="329">
        <v>0.221245</v>
      </c>
    </row>
    <row r="208" spans="3:65">
      <c r="C208" s="408" t="s">
        <v>386</v>
      </c>
      <c r="D208" s="329">
        <v>0.32235999999999998</v>
      </c>
      <c r="E208" s="329">
        <v>0.40136300000000003</v>
      </c>
      <c r="F208" s="329">
        <v>0.28765600000000002</v>
      </c>
      <c r="G208" s="329">
        <v>0.33721699999999999</v>
      </c>
      <c r="H208" s="329">
        <v>0.37902000000000002</v>
      </c>
      <c r="I208" s="329">
        <v>0.38563799999999998</v>
      </c>
      <c r="J208" s="329">
        <v>0.48191499999999998</v>
      </c>
      <c r="K208" s="329">
        <v>0.299535</v>
      </c>
      <c r="L208" s="329">
        <v>9.9773000000000001E-2</v>
      </c>
      <c r="M208" s="329">
        <v>0.35045300000000001</v>
      </c>
      <c r="N208" s="329">
        <v>0.34618500000000002</v>
      </c>
      <c r="O208" s="329">
        <v>0.32738699999999998</v>
      </c>
      <c r="P208" s="329">
        <v>0.349885</v>
      </c>
      <c r="Q208" s="329">
        <v>0.47756900000000002</v>
      </c>
      <c r="R208" s="329">
        <v>0.44450400000000001</v>
      </c>
      <c r="S208" s="329">
        <v>0.420626</v>
      </c>
      <c r="T208" s="329">
        <v>0.41472900000000001</v>
      </c>
      <c r="U208" s="329">
        <v>0.34015899999999999</v>
      </c>
      <c r="V208" s="329">
        <v>0.47387000000000001</v>
      </c>
      <c r="W208" s="329">
        <v>0.42867699999999997</v>
      </c>
      <c r="X208" s="329">
        <v>0.36269800000000002</v>
      </c>
      <c r="Y208" s="329">
        <v>0.45433499999999999</v>
      </c>
      <c r="Z208" s="329">
        <v>0.42206500000000002</v>
      </c>
      <c r="AA208" s="329">
        <v>0.56041300000000005</v>
      </c>
      <c r="AB208" s="329">
        <v>0.37360300000000002</v>
      </c>
      <c r="AC208" s="329">
        <v>0.54858099999999999</v>
      </c>
      <c r="AD208" s="329">
        <v>0.382191</v>
      </c>
      <c r="AE208" s="52">
        <f>'User Add-in Location'!B214</f>
        <v>0</v>
      </c>
      <c r="AF208" s="52">
        <f>'User Add-in Location'!C214</f>
        <v>0</v>
      </c>
      <c r="AG208" s="329">
        <v>0.50884799999999997</v>
      </c>
      <c r="AH208" s="329">
        <v>0.31722699999999998</v>
      </c>
      <c r="AI208" s="329">
        <v>0.69559599999999999</v>
      </c>
      <c r="AJ208" s="329">
        <v>0.462196</v>
      </c>
      <c r="AK208" s="329">
        <v>0.35105999999999998</v>
      </c>
      <c r="AL208" s="329">
        <v>0.33296700000000001</v>
      </c>
      <c r="AM208" s="329">
        <v>0.37098300000000001</v>
      </c>
      <c r="AN208" s="329">
        <v>0.35867300000000002</v>
      </c>
      <c r="AO208" s="329">
        <v>0.391592</v>
      </c>
      <c r="AP208" s="329">
        <v>0.44500499999999998</v>
      </c>
      <c r="AQ208" s="329">
        <v>0.43238900000000002</v>
      </c>
      <c r="AR208" s="329">
        <v>0.512575</v>
      </c>
      <c r="AS208" s="324">
        <v>0</v>
      </c>
      <c r="AT208" s="324">
        <v>0</v>
      </c>
      <c r="AU208" s="324">
        <v>0</v>
      </c>
      <c r="AV208" s="324">
        <v>0</v>
      </c>
      <c r="AW208" s="324">
        <v>0</v>
      </c>
      <c r="AX208" s="324">
        <v>0</v>
      </c>
      <c r="AY208" s="324">
        <v>0</v>
      </c>
      <c r="AZ208" s="324">
        <v>0</v>
      </c>
      <c r="BA208" s="329">
        <v>0.28421400000000002</v>
      </c>
      <c r="BB208" s="329">
        <v>0.24071200000000001</v>
      </c>
      <c r="BC208" s="329">
        <v>0.479128</v>
      </c>
      <c r="BD208" s="329">
        <v>0.42372100000000001</v>
      </c>
      <c r="BE208" s="329">
        <v>0.50975499999999996</v>
      </c>
      <c r="BF208" s="329">
        <v>0.82577100000000003</v>
      </c>
      <c r="BG208" s="329">
        <v>0.38024599999999997</v>
      </c>
      <c r="BH208" s="329">
        <v>0.54587699999999995</v>
      </c>
      <c r="BI208" s="329">
        <v>0.36025600000000002</v>
      </c>
      <c r="BJ208" s="329">
        <v>0.33267400000000003</v>
      </c>
      <c r="BK208" s="329">
        <v>0.23705699999999999</v>
      </c>
      <c r="BL208" s="329">
        <v>0.39540199999999998</v>
      </c>
      <c r="BM208" s="329">
        <v>0.163748</v>
      </c>
    </row>
    <row r="209" spans="3:65">
      <c r="C209" s="408" t="s">
        <v>387</v>
      </c>
      <c r="D209" s="329">
        <v>0.33273900000000001</v>
      </c>
      <c r="E209" s="329">
        <v>0.40541700000000003</v>
      </c>
      <c r="F209" s="329">
        <v>0.30531599999999998</v>
      </c>
      <c r="G209" s="329">
        <v>0.34980099999999997</v>
      </c>
      <c r="H209" s="329">
        <v>0.39709</v>
      </c>
      <c r="I209" s="329">
        <v>0.40170099999999997</v>
      </c>
      <c r="J209" s="329">
        <v>0.48213499999999998</v>
      </c>
      <c r="K209" s="329">
        <v>0.32006499999999999</v>
      </c>
      <c r="L209" s="329">
        <v>0.106735</v>
      </c>
      <c r="M209" s="329">
        <v>0.376274</v>
      </c>
      <c r="N209" s="329">
        <v>0.36916500000000002</v>
      </c>
      <c r="O209" s="329">
        <v>0.34589999999999999</v>
      </c>
      <c r="P209" s="329">
        <v>0.37511899999999998</v>
      </c>
      <c r="Q209" s="329">
        <v>0.49434600000000001</v>
      </c>
      <c r="R209" s="329">
        <v>0.46031</v>
      </c>
      <c r="S209" s="329">
        <v>0.433975</v>
      </c>
      <c r="T209" s="329">
        <v>0.42366599999999999</v>
      </c>
      <c r="U209" s="329">
        <v>0.358543</v>
      </c>
      <c r="V209" s="329">
        <v>0.48645300000000002</v>
      </c>
      <c r="W209" s="329">
        <v>0.43105599999999999</v>
      </c>
      <c r="X209" s="329">
        <v>0.38046099999999999</v>
      </c>
      <c r="Y209" s="329">
        <v>0.46680700000000003</v>
      </c>
      <c r="Z209" s="329">
        <v>0.444193</v>
      </c>
      <c r="AA209" s="329">
        <v>0.57637799999999995</v>
      </c>
      <c r="AB209" s="329">
        <v>0.38635900000000001</v>
      </c>
      <c r="AC209" s="329">
        <v>0.55887799999999999</v>
      </c>
      <c r="AD209" s="329">
        <v>0.401061</v>
      </c>
      <c r="AE209" s="52">
        <f>'User Add-in Location'!B215</f>
        <v>0</v>
      </c>
      <c r="AF209" s="52">
        <f>'User Add-in Location'!C215</f>
        <v>0</v>
      </c>
      <c r="AG209" s="329">
        <v>0.50858700000000001</v>
      </c>
      <c r="AH209" s="329">
        <v>0.332841</v>
      </c>
      <c r="AI209" s="329">
        <v>0.66168499999999997</v>
      </c>
      <c r="AJ209" s="329">
        <v>0.48214699999999999</v>
      </c>
      <c r="AK209" s="329">
        <v>0.367869</v>
      </c>
      <c r="AL209" s="329">
        <v>0.349879</v>
      </c>
      <c r="AM209" s="329">
        <v>0.38607599999999997</v>
      </c>
      <c r="AN209" s="329">
        <v>0.37555899999999998</v>
      </c>
      <c r="AO209" s="329">
        <v>0.40619300000000003</v>
      </c>
      <c r="AP209" s="329">
        <v>0.45399600000000001</v>
      </c>
      <c r="AQ209" s="329">
        <v>0.45420500000000003</v>
      </c>
      <c r="AR209" s="329">
        <v>0.53335399999999999</v>
      </c>
      <c r="AS209" s="324">
        <v>0</v>
      </c>
      <c r="AT209" s="324">
        <v>0</v>
      </c>
      <c r="AU209" s="324">
        <v>0</v>
      </c>
      <c r="AV209" s="324">
        <v>0</v>
      </c>
      <c r="AW209" s="324">
        <v>0</v>
      </c>
      <c r="AX209" s="324">
        <v>0</v>
      </c>
      <c r="AY209" s="324">
        <v>0</v>
      </c>
      <c r="AZ209" s="324">
        <v>0</v>
      </c>
      <c r="BA209" s="329">
        <v>0.29764200000000002</v>
      </c>
      <c r="BB209" s="329">
        <v>0.260048</v>
      </c>
      <c r="BC209" s="329">
        <v>0.48790800000000001</v>
      </c>
      <c r="BD209" s="329">
        <v>0.43254300000000001</v>
      </c>
      <c r="BE209" s="329">
        <v>0.52803900000000004</v>
      </c>
      <c r="BF209" s="329">
        <v>0.84648999999999996</v>
      </c>
      <c r="BG209" s="329">
        <v>0.40457799999999999</v>
      </c>
      <c r="BH209" s="329">
        <v>0.53873800000000005</v>
      </c>
      <c r="BI209" s="329">
        <v>0.378446</v>
      </c>
      <c r="BJ209" s="329">
        <v>0.35559000000000002</v>
      </c>
      <c r="BK209" s="329">
        <v>0.24820800000000001</v>
      </c>
      <c r="BL209" s="329">
        <v>0.41080299999999997</v>
      </c>
      <c r="BM209" s="329">
        <v>0.17272000000000001</v>
      </c>
    </row>
    <row r="210" spans="3:65">
      <c r="C210" s="408" t="s">
        <v>388</v>
      </c>
      <c r="D210" s="329">
        <v>0.20896600000000001</v>
      </c>
      <c r="E210" s="329">
        <v>0.191578</v>
      </c>
      <c r="F210" s="329">
        <v>0.238152</v>
      </c>
      <c r="G210" s="329">
        <v>0.24620900000000001</v>
      </c>
      <c r="H210" s="329">
        <v>0.298431</v>
      </c>
      <c r="I210" s="329">
        <v>0.31709599999999999</v>
      </c>
      <c r="J210" s="329">
        <v>0.34605799999999998</v>
      </c>
      <c r="K210" s="329">
        <v>0.20541400000000001</v>
      </c>
      <c r="L210" s="329">
        <v>5.8124000000000002E-2</v>
      </c>
      <c r="M210" s="329">
        <v>0.29691899999999999</v>
      </c>
      <c r="N210" s="329">
        <v>0.26809100000000002</v>
      </c>
      <c r="O210" s="329">
        <v>0.19098100000000001</v>
      </c>
      <c r="P210" s="329">
        <v>0.304506</v>
      </c>
      <c r="Q210" s="329">
        <v>0.36814200000000002</v>
      </c>
      <c r="R210" s="329">
        <v>0.30049500000000001</v>
      </c>
      <c r="S210" s="329">
        <v>0.291244</v>
      </c>
      <c r="T210" s="329">
        <v>0.30930299999999999</v>
      </c>
      <c r="U210" s="329">
        <v>0.235154</v>
      </c>
      <c r="V210" s="329">
        <v>0.25978400000000001</v>
      </c>
      <c r="W210" s="329">
        <v>0.27180799999999999</v>
      </c>
      <c r="X210" s="329">
        <v>0.24462400000000001</v>
      </c>
      <c r="Y210" s="329">
        <v>0.30143500000000001</v>
      </c>
      <c r="Z210" s="329">
        <v>0.31384499999999999</v>
      </c>
      <c r="AA210" s="329">
        <v>0.42927100000000001</v>
      </c>
      <c r="AB210" s="329">
        <v>0.26986300000000002</v>
      </c>
      <c r="AC210" s="329">
        <v>0.38016899999999998</v>
      </c>
      <c r="AD210" s="329">
        <v>0.22341</v>
      </c>
      <c r="AE210" s="52">
        <f>'User Add-in Location'!B216</f>
        <v>0</v>
      </c>
      <c r="AF210" s="52">
        <f>'User Add-in Location'!C216</f>
        <v>0</v>
      </c>
      <c r="AG210" s="329">
        <v>0.31790000000000002</v>
      </c>
      <c r="AH210" s="329">
        <v>0.238624</v>
      </c>
      <c r="AI210" s="329">
        <v>0.38903100000000002</v>
      </c>
      <c r="AJ210" s="329">
        <v>0.35623199999999999</v>
      </c>
      <c r="AK210" s="329">
        <v>0.209394</v>
      </c>
      <c r="AL210" s="329">
        <v>0.250467</v>
      </c>
      <c r="AM210" s="329">
        <v>0.240536</v>
      </c>
      <c r="AN210" s="329">
        <v>0.21882699999999999</v>
      </c>
      <c r="AO210" s="329">
        <v>0.26099499999999998</v>
      </c>
      <c r="AP210" s="329">
        <v>0.33080999999999999</v>
      </c>
      <c r="AQ210" s="329">
        <v>0.32267499999999999</v>
      </c>
      <c r="AR210" s="329">
        <v>0.39812500000000001</v>
      </c>
      <c r="AS210" s="324">
        <v>0</v>
      </c>
      <c r="AT210" s="324">
        <v>0</v>
      </c>
      <c r="AU210" s="324">
        <v>0</v>
      </c>
      <c r="AV210" s="324">
        <v>0</v>
      </c>
      <c r="AW210" s="324">
        <v>0</v>
      </c>
      <c r="AX210" s="324">
        <v>0</v>
      </c>
      <c r="AY210" s="324">
        <v>0</v>
      </c>
      <c r="AZ210" s="324">
        <v>0</v>
      </c>
      <c r="BA210" s="329">
        <v>0.20158599999999999</v>
      </c>
      <c r="BB210" s="329">
        <v>0.17190900000000001</v>
      </c>
      <c r="BC210" s="329">
        <v>0.34828500000000001</v>
      </c>
      <c r="BD210" s="329">
        <v>0.23899200000000001</v>
      </c>
      <c r="BE210" s="329">
        <v>0.35176299999999999</v>
      </c>
      <c r="BF210" s="329">
        <v>0.67939099999999997</v>
      </c>
      <c r="BG210" s="329">
        <v>0.31264999999999998</v>
      </c>
      <c r="BH210" s="329">
        <v>0.31614799999999998</v>
      </c>
      <c r="BI210" s="329">
        <v>0.24995200000000001</v>
      </c>
      <c r="BJ210" s="329">
        <v>0.21726100000000001</v>
      </c>
      <c r="BK210" s="329">
        <v>0.13603999999999999</v>
      </c>
      <c r="BL210" s="329">
        <v>0.26464500000000002</v>
      </c>
      <c r="BM210" s="329">
        <v>8.0432000000000003E-2</v>
      </c>
    </row>
    <row r="211" spans="3:65">
      <c r="C211" s="408" t="s">
        <v>389</v>
      </c>
      <c r="D211" s="329">
        <v>0.24981500000000001</v>
      </c>
      <c r="E211" s="329">
        <v>0.26693</v>
      </c>
      <c r="F211" s="329">
        <v>0.24541199999999999</v>
      </c>
      <c r="G211" s="329">
        <v>0.271874</v>
      </c>
      <c r="H211" s="329">
        <v>0.34395599999999998</v>
      </c>
      <c r="I211" s="329">
        <v>0.32851999999999998</v>
      </c>
      <c r="J211" s="329">
        <v>0.35891299999999998</v>
      </c>
      <c r="K211" s="329">
        <v>0.251836</v>
      </c>
      <c r="L211" s="329">
        <v>0</v>
      </c>
      <c r="M211" s="329">
        <v>0.34106900000000001</v>
      </c>
      <c r="N211" s="329">
        <v>0.302788</v>
      </c>
      <c r="O211" s="329">
        <v>0.26111200000000001</v>
      </c>
      <c r="P211" s="329">
        <v>0.32889000000000002</v>
      </c>
      <c r="Q211" s="329">
        <v>0.45055600000000001</v>
      </c>
      <c r="R211" s="329">
        <v>0.387851</v>
      </c>
      <c r="S211" s="329">
        <v>0.35248299999999999</v>
      </c>
      <c r="T211" s="329">
        <v>0.35027700000000001</v>
      </c>
      <c r="U211" s="329">
        <v>0.30155999999999999</v>
      </c>
      <c r="V211" s="329">
        <v>0.39194400000000001</v>
      </c>
      <c r="W211" s="329">
        <v>0.28761199999999998</v>
      </c>
      <c r="X211" s="329">
        <v>0.29069899999999999</v>
      </c>
      <c r="Y211" s="329">
        <v>0.34243800000000002</v>
      </c>
      <c r="Z211" s="329">
        <v>0.40317799999999998</v>
      </c>
      <c r="AA211" s="329">
        <v>0.50946499999999995</v>
      </c>
      <c r="AB211" s="329">
        <v>0.34864099999999998</v>
      </c>
      <c r="AC211" s="329">
        <v>0.459374</v>
      </c>
      <c r="AD211" s="329">
        <v>0.29788799999999999</v>
      </c>
      <c r="AE211" s="52">
        <f>'User Add-in Location'!B217</f>
        <v>0</v>
      </c>
      <c r="AF211" s="52">
        <f>'User Add-in Location'!C217</f>
        <v>0</v>
      </c>
      <c r="AG211" s="329">
        <v>0.391899</v>
      </c>
      <c r="AH211" s="329">
        <v>0.27524399999999999</v>
      </c>
      <c r="AI211" s="329">
        <v>0.37724800000000003</v>
      </c>
      <c r="AJ211" s="329">
        <v>0.418931</v>
      </c>
      <c r="AK211" s="329">
        <v>0.298767</v>
      </c>
      <c r="AL211" s="329">
        <v>0.29232599999999997</v>
      </c>
      <c r="AM211" s="329">
        <v>0.29995699999999997</v>
      </c>
      <c r="AN211" s="329">
        <v>0.32667499999999999</v>
      </c>
      <c r="AO211" s="329">
        <v>0.33568500000000001</v>
      </c>
      <c r="AP211" s="329">
        <v>0.38591199999999998</v>
      </c>
      <c r="AQ211" s="329">
        <v>0.38328899999999999</v>
      </c>
      <c r="AR211" s="329">
        <v>0.47536499999999998</v>
      </c>
      <c r="AS211" s="324">
        <v>0</v>
      </c>
      <c r="AT211" s="324">
        <v>0</v>
      </c>
      <c r="AU211" s="324">
        <v>0</v>
      </c>
      <c r="AV211" s="324">
        <v>0</v>
      </c>
      <c r="AW211" s="324">
        <v>0</v>
      </c>
      <c r="AX211" s="324">
        <v>0</v>
      </c>
      <c r="AY211" s="324">
        <v>0</v>
      </c>
      <c r="AZ211" s="324">
        <v>0</v>
      </c>
      <c r="BA211" s="329">
        <v>0.244646</v>
      </c>
      <c r="BB211" s="329">
        <v>0.23208100000000001</v>
      </c>
      <c r="BC211" s="329">
        <v>0.42343599999999998</v>
      </c>
      <c r="BD211" s="329">
        <v>0.33167799999999997</v>
      </c>
      <c r="BE211" s="329">
        <v>0.44782699999999998</v>
      </c>
      <c r="BF211" s="329">
        <v>0.799929</v>
      </c>
      <c r="BG211" s="329">
        <v>0.36724200000000001</v>
      </c>
      <c r="BH211" s="329">
        <v>0.37750899999999998</v>
      </c>
      <c r="BI211" s="329">
        <v>0.35993799999999998</v>
      </c>
      <c r="BJ211" s="329">
        <v>0.27755999999999997</v>
      </c>
      <c r="BK211" s="329">
        <v>0.18713299999999999</v>
      </c>
      <c r="BL211" s="329">
        <v>0.36917499999999998</v>
      </c>
      <c r="BM211" s="329">
        <v>0.124844</v>
      </c>
    </row>
    <row r="212" spans="3:65">
      <c r="C212" s="408" t="s">
        <v>390</v>
      </c>
      <c r="D212" s="329">
        <v>0.27987299999999998</v>
      </c>
      <c r="E212" s="329">
        <v>0.23466300000000001</v>
      </c>
      <c r="F212" s="329">
        <v>0.305894</v>
      </c>
      <c r="G212" s="329">
        <v>0.29113600000000001</v>
      </c>
      <c r="H212" s="329">
        <v>0.38034800000000002</v>
      </c>
      <c r="I212" s="329">
        <v>0.35788300000000001</v>
      </c>
      <c r="J212" s="329">
        <v>0.41019499999999998</v>
      </c>
      <c r="K212" s="329">
        <v>0.243037</v>
      </c>
      <c r="L212" s="329">
        <v>0</v>
      </c>
      <c r="M212" s="329">
        <v>0.36524800000000002</v>
      </c>
      <c r="N212" s="329">
        <v>0.324403</v>
      </c>
      <c r="O212" s="329">
        <v>0</v>
      </c>
      <c r="P212" s="329">
        <v>0.345084</v>
      </c>
      <c r="Q212" s="329">
        <v>0.48177900000000001</v>
      </c>
      <c r="R212" s="329">
        <v>0.41883700000000001</v>
      </c>
      <c r="S212" s="329">
        <v>0.356549</v>
      </c>
      <c r="T212" s="329">
        <v>0.42479699999999998</v>
      </c>
      <c r="U212" s="329">
        <v>0.36313099999999998</v>
      </c>
      <c r="V212" s="329">
        <v>0.44846999999999998</v>
      </c>
      <c r="W212" s="329">
        <v>0.30769800000000003</v>
      </c>
      <c r="X212" s="329">
        <v>0.32778499999999999</v>
      </c>
      <c r="Y212" s="329">
        <v>0.398453</v>
      </c>
      <c r="Z212" s="329">
        <v>0.45430199999999998</v>
      </c>
      <c r="AA212" s="329">
        <v>0.55840900000000004</v>
      </c>
      <c r="AB212" s="329">
        <v>0.335011</v>
      </c>
      <c r="AC212" s="329">
        <v>0.48886200000000002</v>
      </c>
      <c r="AD212" s="329">
        <v>0.34298800000000002</v>
      </c>
      <c r="AE212" s="52">
        <f>'User Add-in Location'!B218</f>
        <v>0</v>
      </c>
      <c r="AF212" s="52">
        <f>'User Add-in Location'!C218</f>
        <v>0</v>
      </c>
      <c r="AG212" s="329">
        <v>0.38017800000000002</v>
      </c>
      <c r="AH212" s="329">
        <v>0.30775000000000002</v>
      </c>
      <c r="AI212" s="329">
        <v>0.46054200000000001</v>
      </c>
      <c r="AJ212" s="329">
        <v>0.497581</v>
      </c>
      <c r="AK212" s="329">
        <v>0.30968600000000002</v>
      </c>
      <c r="AL212" s="329">
        <v>0.31229899999999999</v>
      </c>
      <c r="AM212" s="329">
        <v>0.335538</v>
      </c>
      <c r="AN212" s="329">
        <v>0.25998500000000002</v>
      </c>
      <c r="AO212" s="329">
        <v>0.37617400000000001</v>
      </c>
      <c r="AP212" s="329">
        <v>0.46371899999999999</v>
      </c>
      <c r="AQ212" s="329">
        <v>0.36857899999999999</v>
      </c>
      <c r="AR212" s="329">
        <v>0.51898500000000003</v>
      </c>
      <c r="AS212" s="324">
        <v>0</v>
      </c>
      <c r="AT212" s="324">
        <v>0</v>
      </c>
      <c r="AU212" s="324">
        <v>0</v>
      </c>
      <c r="AV212" s="324">
        <v>0</v>
      </c>
      <c r="AW212" s="324">
        <v>0</v>
      </c>
      <c r="AX212" s="324">
        <v>0</v>
      </c>
      <c r="AY212" s="324">
        <v>0</v>
      </c>
      <c r="AZ212" s="324">
        <v>0</v>
      </c>
      <c r="BA212" s="329">
        <v>0.24831500000000001</v>
      </c>
      <c r="BB212" s="329">
        <v>0.25042599999999998</v>
      </c>
      <c r="BC212" s="329">
        <v>0.37721900000000003</v>
      </c>
      <c r="BD212" s="329">
        <v>0.34216800000000003</v>
      </c>
      <c r="BE212" s="329">
        <v>0.493481</v>
      </c>
      <c r="BF212" s="329">
        <v>0.832731</v>
      </c>
      <c r="BG212" s="329">
        <v>0.40708100000000003</v>
      </c>
      <c r="BH212" s="329">
        <v>0.40672999999999998</v>
      </c>
      <c r="BI212" s="329">
        <v>0.36242000000000002</v>
      </c>
      <c r="BJ212" s="329">
        <v>0.33264899999999997</v>
      </c>
      <c r="BK212" s="329">
        <v>0.23427500000000001</v>
      </c>
      <c r="BL212" s="329">
        <v>0.368116</v>
      </c>
      <c r="BM212" s="329">
        <v>0.17877699999999999</v>
      </c>
    </row>
    <row r="213" spans="3:65">
      <c r="C213" s="408" t="s">
        <v>391</v>
      </c>
      <c r="D213" s="329">
        <v>0.259046</v>
      </c>
      <c r="E213" s="329">
        <v>0.43920599999999999</v>
      </c>
      <c r="F213" s="329">
        <v>0.30290499999999998</v>
      </c>
      <c r="G213" s="329">
        <v>0.27584799999999998</v>
      </c>
      <c r="H213" s="329">
        <v>0.377772</v>
      </c>
      <c r="I213" s="329">
        <v>0.27762900000000001</v>
      </c>
      <c r="J213" s="329">
        <v>0.368564</v>
      </c>
      <c r="K213" s="329">
        <v>0.32589899999999999</v>
      </c>
      <c r="L213" s="329">
        <v>0.16229299999999999</v>
      </c>
      <c r="M213" s="329">
        <v>0.33562700000000001</v>
      </c>
      <c r="N213" s="329">
        <v>0.333094</v>
      </c>
      <c r="O213" s="329">
        <v>0</v>
      </c>
      <c r="P213" s="329">
        <v>0.30593900000000002</v>
      </c>
      <c r="Q213" s="329">
        <v>0.44967600000000002</v>
      </c>
      <c r="R213" s="329">
        <v>0.36953799999999998</v>
      </c>
      <c r="S213" s="329">
        <v>0.35103299999999998</v>
      </c>
      <c r="T213" s="329">
        <v>0.35763299999999998</v>
      </c>
      <c r="U213" s="329">
        <v>0.328264</v>
      </c>
      <c r="V213" s="329">
        <v>0.38328000000000001</v>
      </c>
      <c r="W213" s="329">
        <v>0.328592</v>
      </c>
      <c r="X213" s="329">
        <v>0.29740800000000001</v>
      </c>
      <c r="Y213" s="329">
        <v>0.36725000000000002</v>
      </c>
      <c r="Z213" s="329">
        <v>0.38828200000000002</v>
      </c>
      <c r="AA213" s="329">
        <v>0.454708</v>
      </c>
      <c r="AB213" s="329">
        <v>0.30946699999999999</v>
      </c>
      <c r="AC213" s="329">
        <v>0.38589699999999999</v>
      </c>
      <c r="AD213" s="329">
        <v>0.28476200000000002</v>
      </c>
      <c r="AE213" s="52">
        <f>'User Add-in Location'!B219</f>
        <v>0</v>
      </c>
      <c r="AF213" s="52">
        <f>'User Add-in Location'!C219</f>
        <v>0</v>
      </c>
      <c r="AG213" s="329">
        <v>0.30710900000000002</v>
      </c>
      <c r="AH213" s="329">
        <v>0.282501</v>
      </c>
      <c r="AI213" s="329">
        <v>0.32963500000000001</v>
      </c>
      <c r="AJ213" s="329">
        <v>0.39650299999999999</v>
      </c>
      <c r="AK213" s="329">
        <v>0.25426399999999999</v>
      </c>
      <c r="AL213" s="329">
        <v>0.31811400000000001</v>
      </c>
      <c r="AM213" s="329">
        <v>0.299209</v>
      </c>
      <c r="AN213" s="329">
        <v>0.210984</v>
      </c>
      <c r="AO213" s="329">
        <v>0.305614</v>
      </c>
      <c r="AP213" s="329">
        <v>0.40178799999999998</v>
      </c>
      <c r="AQ213" s="329">
        <v>0.34372900000000001</v>
      </c>
      <c r="AR213" s="329">
        <v>0.46352199999999999</v>
      </c>
      <c r="AS213" s="324">
        <v>0</v>
      </c>
      <c r="AT213" s="324">
        <v>0</v>
      </c>
      <c r="AU213" s="324">
        <v>0</v>
      </c>
      <c r="AV213" s="324">
        <v>0</v>
      </c>
      <c r="AW213" s="324">
        <v>0</v>
      </c>
      <c r="AX213" s="324">
        <v>0</v>
      </c>
      <c r="AY213" s="324">
        <v>0</v>
      </c>
      <c r="AZ213" s="324">
        <v>0</v>
      </c>
      <c r="BA213" s="329">
        <v>0.25457800000000003</v>
      </c>
      <c r="BB213" s="329">
        <v>0.19184300000000001</v>
      </c>
      <c r="BC213" s="329">
        <v>0.33455099999999999</v>
      </c>
      <c r="BD213" s="329">
        <v>0.27447500000000002</v>
      </c>
      <c r="BE213" s="329">
        <v>0.457681</v>
      </c>
      <c r="BF213" s="329">
        <v>0.76475599999999999</v>
      </c>
      <c r="BG213" s="329">
        <v>0.405221</v>
      </c>
      <c r="BH213" s="329">
        <v>0.39461600000000002</v>
      </c>
      <c r="BI213" s="329">
        <v>0.32236599999999999</v>
      </c>
      <c r="BJ213" s="329">
        <v>0.30964000000000003</v>
      </c>
      <c r="BK213" s="329">
        <v>0.21715100000000001</v>
      </c>
      <c r="BL213" s="329">
        <v>0.354161</v>
      </c>
      <c r="BM213" s="329">
        <v>0.14946599999999999</v>
      </c>
    </row>
    <row r="214" spans="3:65">
      <c r="C214" s="408" t="s">
        <v>392</v>
      </c>
      <c r="D214" s="329">
        <v>0.24834600000000001</v>
      </c>
      <c r="E214" s="329">
        <v>0</v>
      </c>
      <c r="F214" s="329">
        <v>0.24879799999999999</v>
      </c>
      <c r="G214" s="329">
        <v>0.32525300000000001</v>
      </c>
      <c r="H214" s="329">
        <v>0.36342999999999998</v>
      </c>
      <c r="I214" s="329">
        <v>0.29477500000000001</v>
      </c>
      <c r="J214" s="329">
        <v>0.37607699999999999</v>
      </c>
      <c r="K214" s="329">
        <v>0.305701</v>
      </c>
      <c r="L214" s="329">
        <v>0</v>
      </c>
      <c r="M214" s="329">
        <v>0.35340899999999997</v>
      </c>
      <c r="N214" s="329">
        <v>0.338339</v>
      </c>
      <c r="O214" s="329">
        <v>0</v>
      </c>
      <c r="P214" s="329">
        <v>0</v>
      </c>
      <c r="Q214" s="329">
        <v>0.48079300000000003</v>
      </c>
      <c r="R214" s="329">
        <v>0.41109499999999999</v>
      </c>
      <c r="S214" s="329">
        <v>0.36668800000000001</v>
      </c>
      <c r="T214" s="329">
        <v>0.38479799999999997</v>
      </c>
      <c r="U214" s="329">
        <v>0.33679500000000001</v>
      </c>
      <c r="V214" s="329">
        <v>0.43653399999999998</v>
      </c>
      <c r="W214" s="329">
        <v>0</v>
      </c>
      <c r="X214" s="329">
        <v>0.34953099999999998</v>
      </c>
      <c r="Y214" s="329">
        <v>0.32285399999999997</v>
      </c>
      <c r="Z214" s="329">
        <v>0.42657200000000001</v>
      </c>
      <c r="AA214" s="329">
        <v>0.44609500000000002</v>
      </c>
      <c r="AB214" s="329">
        <v>0.32976800000000001</v>
      </c>
      <c r="AC214" s="329">
        <v>0.42702200000000001</v>
      </c>
      <c r="AD214" s="329">
        <v>0</v>
      </c>
      <c r="AE214" s="52">
        <f>'User Add-in Location'!B220</f>
        <v>0</v>
      </c>
      <c r="AF214" s="52">
        <f>'User Add-in Location'!C220</f>
        <v>0</v>
      </c>
      <c r="AG214" s="329">
        <v>0</v>
      </c>
      <c r="AH214" s="329">
        <v>0.29372300000000001</v>
      </c>
      <c r="AI214" s="329">
        <v>0</v>
      </c>
      <c r="AJ214" s="329">
        <v>0.40767500000000001</v>
      </c>
      <c r="AK214" s="329">
        <v>0</v>
      </c>
      <c r="AL214" s="329">
        <v>0.30842399999999998</v>
      </c>
      <c r="AM214" s="329">
        <v>0.329677</v>
      </c>
      <c r="AN214" s="329">
        <v>0</v>
      </c>
      <c r="AO214" s="329">
        <v>0.33397500000000002</v>
      </c>
      <c r="AP214" s="329">
        <v>0.39086100000000001</v>
      </c>
      <c r="AQ214" s="329">
        <v>0.33332499999999998</v>
      </c>
      <c r="AR214" s="329">
        <v>0.48336200000000001</v>
      </c>
      <c r="AS214" s="324">
        <v>0</v>
      </c>
      <c r="AT214" s="324">
        <v>0</v>
      </c>
      <c r="AU214" s="324">
        <v>0</v>
      </c>
      <c r="AV214" s="324">
        <v>0</v>
      </c>
      <c r="AW214" s="324">
        <v>0</v>
      </c>
      <c r="AX214" s="324">
        <v>0</v>
      </c>
      <c r="AY214" s="324">
        <v>0</v>
      </c>
      <c r="AZ214" s="324">
        <v>0</v>
      </c>
      <c r="BA214" s="329">
        <v>0.25324999999999998</v>
      </c>
      <c r="BB214" s="329">
        <v>0.21144099999999999</v>
      </c>
      <c r="BC214" s="329">
        <v>0</v>
      </c>
      <c r="BD214" s="329">
        <v>0.31655800000000001</v>
      </c>
      <c r="BE214" s="329">
        <v>0.48122900000000002</v>
      </c>
      <c r="BF214" s="329">
        <v>0.77615400000000001</v>
      </c>
      <c r="BG214" s="329">
        <v>0.38976100000000002</v>
      </c>
      <c r="BH214" s="329">
        <v>0</v>
      </c>
      <c r="BI214" s="329">
        <v>0.33165499999999998</v>
      </c>
      <c r="BJ214" s="329">
        <v>0.23229900000000001</v>
      </c>
      <c r="BK214" s="329">
        <v>0.236794</v>
      </c>
      <c r="BL214" s="329">
        <v>0.33558300000000002</v>
      </c>
      <c r="BM214" s="329">
        <v>0</v>
      </c>
    </row>
    <row r="215" spans="3:65">
      <c r="C215" s="408" t="s">
        <v>393</v>
      </c>
      <c r="D215" s="329">
        <v>0.19075900000000001</v>
      </c>
      <c r="E215" s="329">
        <v>0</v>
      </c>
      <c r="F215" s="329">
        <v>0.19746</v>
      </c>
      <c r="G215" s="329">
        <v>0.26592399999999999</v>
      </c>
      <c r="H215" s="329">
        <v>0.29366199999999998</v>
      </c>
      <c r="I215" s="329">
        <v>0.24424599999999999</v>
      </c>
      <c r="J215" s="329">
        <v>0.32006899999999999</v>
      </c>
      <c r="K215" s="329">
        <v>0</v>
      </c>
      <c r="L215" s="329">
        <v>0.147425</v>
      </c>
      <c r="M215" s="329">
        <v>0.264206</v>
      </c>
      <c r="N215" s="329">
        <v>0.26200499999999999</v>
      </c>
      <c r="O215" s="329">
        <v>0</v>
      </c>
      <c r="P215" s="329">
        <v>0.24706700000000001</v>
      </c>
      <c r="Q215" s="329">
        <v>0.41514499999999999</v>
      </c>
      <c r="R215" s="329">
        <v>0.32877800000000001</v>
      </c>
      <c r="S215" s="329">
        <v>0</v>
      </c>
      <c r="T215" s="329">
        <v>0.30808999999999997</v>
      </c>
      <c r="U215" s="329">
        <v>0.25428600000000001</v>
      </c>
      <c r="V215" s="329">
        <v>0.35061300000000001</v>
      </c>
      <c r="W215" s="329">
        <v>0.25463400000000003</v>
      </c>
      <c r="X215" s="329">
        <v>0.28114400000000001</v>
      </c>
      <c r="Y215" s="329">
        <v>0.27726000000000001</v>
      </c>
      <c r="Z215" s="329">
        <v>0.28725800000000001</v>
      </c>
      <c r="AA215" s="329">
        <v>0.41023900000000002</v>
      </c>
      <c r="AB215" s="329">
        <v>0.273391</v>
      </c>
      <c r="AC215" s="329">
        <v>0</v>
      </c>
      <c r="AD215" s="329">
        <v>0.21580099999999999</v>
      </c>
      <c r="AE215" s="52">
        <f>'User Add-in Location'!B221</f>
        <v>0</v>
      </c>
      <c r="AF215" s="52">
        <f>'User Add-in Location'!C221</f>
        <v>0</v>
      </c>
      <c r="AG215" s="329">
        <v>0.31085299999999999</v>
      </c>
      <c r="AH215" s="329">
        <v>0.23128299999999999</v>
      </c>
      <c r="AI215" s="329">
        <v>0.32285599999999998</v>
      </c>
      <c r="AJ215" s="329">
        <v>0.34740599999999999</v>
      </c>
      <c r="AK215" s="329">
        <v>0.19517100000000001</v>
      </c>
      <c r="AL215" s="329">
        <v>0.23496700000000001</v>
      </c>
      <c r="AM215" s="329">
        <v>0.27480300000000002</v>
      </c>
      <c r="AN215" s="329">
        <v>0.189611</v>
      </c>
      <c r="AO215" s="329">
        <v>0.25186700000000001</v>
      </c>
      <c r="AP215" s="329">
        <v>0</v>
      </c>
      <c r="AQ215" s="329">
        <v>0</v>
      </c>
      <c r="AR215" s="329">
        <v>0.38346999999999998</v>
      </c>
      <c r="AS215" s="324">
        <v>0</v>
      </c>
      <c r="AT215" s="324">
        <v>0</v>
      </c>
      <c r="AU215" s="324">
        <v>0</v>
      </c>
      <c r="AV215" s="324">
        <v>0</v>
      </c>
      <c r="AW215" s="324">
        <v>0</v>
      </c>
      <c r="AX215" s="324">
        <v>0</v>
      </c>
      <c r="AY215" s="324">
        <v>0</v>
      </c>
      <c r="AZ215" s="324">
        <v>0</v>
      </c>
      <c r="BA215" s="329">
        <v>0.173069</v>
      </c>
      <c r="BB215" s="329">
        <v>0.16584199999999999</v>
      </c>
      <c r="BC215" s="329">
        <v>0</v>
      </c>
      <c r="BD215" s="329">
        <v>0.21193799999999999</v>
      </c>
      <c r="BE215" s="329">
        <v>0.41605799999999998</v>
      </c>
      <c r="BF215" s="329">
        <v>0.66577699999999995</v>
      </c>
      <c r="BG215" s="329">
        <v>0.30523499999999998</v>
      </c>
      <c r="BH215" s="329">
        <v>0.29439900000000002</v>
      </c>
      <c r="BI215" s="329">
        <v>0.25752900000000001</v>
      </c>
      <c r="BJ215" s="329">
        <v>0.19712099999999999</v>
      </c>
      <c r="BK215" s="329">
        <v>0.173791</v>
      </c>
      <c r="BL215" s="329">
        <v>0.22201000000000001</v>
      </c>
      <c r="BM215" s="329">
        <v>8.5807999999999995E-2</v>
      </c>
    </row>
    <row r="216" spans="3:65">
      <c r="C216" s="408" t="s">
        <v>394</v>
      </c>
      <c r="D216" s="329">
        <v>0.30712</v>
      </c>
      <c r="E216" s="329">
        <v>0.25794699999999998</v>
      </c>
      <c r="F216" s="329">
        <v>0.34280500000000003</v>
      </c>
      <c r="G216" s="329">
        <v>0.30287700000000001</v>
      </c>
      <c r="H216" s="329">
        <v>0.33544800000000002</v>
      </c>
      <c r="I216" s="329">
        <v>0.403671</v>
      </c>
      <c r="J216" s="329">
        <v>0.37577500000000003</v>
      </c>
      <c r="K216" s="329">
        <v>0.300568</v>
      </c>
      <c r="L216" s="329">
        <v>0.121931</v>
      </c>
      <c r="M216" s="329">
        <v>0.403613</v>
      </c>
      <c r="N216" s="329">
        <v>0.35911599999999999</v>
      </c>
      <c r="O216" s="329">
        <v>0.333009</v>
      </c>
      <c r="P216" s="329">
        <v>0.36439199999999999</v>
      </c>
      <c r="Q216" s="329">
        <v>0.45980700000000002</v>
      </c>
      <c r="R216" s="329">
        <v>0.42117100000000002</v>
      </c>
      <c r="S216" s="329">
        <v>0.37195</v>
      </c>
      <c r="T216" s="329">
        <v>0.37536399999999998</v>
      </c>
      <c r="U216" s="329">
        <v>0.30617800000000001</v>
      </c>
      <c r="V216" s="329">
        <v>0.402536</v>
      </c>
      <c r="W216" s="329">
        <v>0.34576600000000002</v>
      </c>
      <c r="X216" s="329">
        <v>0.35728100000000002</v>
      </c>
      <c r="Y216" s="329">
        <v>0.39874199999999999</v>
      </c>
      <c r="Z216" s="329">
        <v>0.43851600000000002</v>
      </c>
      <c r="AA216" s="329">
        <v>0.51950799999999997</v>
      </c>
      <c r="AB216" s="329">
        <v>0.32669300000000001</v>
      </c>
      <c r="AC216" s="329">
        <v>0.50299099999999997</v>
      </c>
      <c r="AD216" s="329">
        <v>0.36206100000000002</v>
      </c>
      <c r="AE216" s="52">
        <f>'User Add-in Location'!B222</f>
        <v>0</v>
      </c>
      <c r="AF216" s="52">
        <f>'User Add-in Location'!C222</f>
        <v>0</v>
      </c>
      <c r="AG216" s="329">
        <v>0.394376</v>
      </c>
      <c r="AH216" s="329">
        <v>0.31625700000000001</v>
      </c>
      <c r="AI216" s="329">
        <v>0.491454</v>
      </c>
      <c r="AJ216" s="329">
        <v>0.41782900000000001</v>
      </c>
      <c r="AK216" s="329">
        <v>0.339779</v>
      </c>
      <c r="AL216" s="329">
        <v>0.32631500000000002</v>
      </c>
      <c r="AM216" s="329">
        <v>0.34317199999999998</v>
      </c>
      <c r="AN216" s="329">
        <v>0.33579700000000001</v>
      </c>
      <c r="AO216" s="329">
        <v>0.38915499999999997</v>
      </c>
      <c r="AP216" s="329">
        <v>0.37947599999999998</v>
      </c>
      <c r="AQ216" s="329">
        <v>0.420655</v>
      </c>
      <c r="AR216" s="329">
        <v>0.48510799999999998</v>
      </c>
      <c r="AS216" s="324">
        <v>0</v>
      </c>
      <c r="AT216" s="324">
        <v>0</v>
      </c>
      <c r="AU216" s="324">
        <v>0</v>
      </c>
      <c r="AV216" s="324">
        <v>0</v>
      </c>
      <c r="AW216" s="324">
        <v>0</v>
      </c>
      <c r="AX216" s="324">
        <v>0</v>
      </c>
      <c r="AY216" s="324">
        <v>0</v>
      </c>
      <c r="AZ216" s="324">
        <v>0</v>
      </c>
      <c r="BA216" s="329">
        <v>0.28766999999999998</v>
      </c>
      <c r="BB216" s="329">
        <v>0.25043700000000002</v>
      </c>
      <c r="BC216" s="329">
        <v>0.405194</v>
      </c>
      <c r="BD216" s="329">
        <v>0.35322500000000001</v>
      </c>
      <c r="BE216" s="329">
        <v>0.438363</v>
      </c>
      <c r="BF216" s="329">
        <v>0.77332299999999998</v>
      </c>
      <c r="BG216" s="329">
        <v>0.40788799999999997</v>
      </c>
      <c r="BH216" s="329">
        <v>0.39472400000000002</v>
      </c>
      <c r="BI216" s="329">
        <v>0.373668</v>
      </c>
      <c r="BJ216" s="329">
        <v>0.33594800000000002</v>
      </c>
      <c r="BK216" s="329">
        <v>0.232406</v>
      </c>
      <c r="BL216" s="329">
        <v>0.42743599999999998</v>
      </c>
      <c r="BM216" s="329">
        <v>0.17035800000000001</v>
      </c>
    </row>
    <row r="217" spans="3:65">
      <c r="C217" s="408" t="s">
        <v>395</v>
      </c>
      <c r="D217" s="329">
        <v>0.34984199999999999</v>
      </c>
      <c r="E217" s="329">
        <v>0.400451</v>
      </c>
      <c r="F217" s="329">
        <v>0.37841999999999998</v>
      </c>
      <c r="G217" s="329">
        <v>0.37512400000000001</v>
      </c>
      <c r="H217" s="329">
        <v>0.412049</v>
      </c>
      <c r="I217" s="329">
        <v>0.42154399999999997</v>
      </c>
      <c r="J217" s="329">
        <v>0.43745899999999999</v>
      </c>
      <c r="K217" s="329">
        <v>0.383218</v>
      </c>
      <c r="L217" s="329">
        <v>0.14053399999999999</v>
      </c>
      <c r="M217" s="329">
        <v>0.46789199999999997</v>
      </c>
      <c r="N217" s="329">
        <v>0.42358299999999999</v>
      </c>
      <c r="O217" s="329">
        <v>0.37501899999999999</v>
      </c>
      <c r="P217" s="329">
        <v>0.44670900000000002</v>
      </c>
      <c r="Q217" s="329">
        <v>0.50302500000000006</v>
      </c>
      <c r="R217" s="329">
        <v>0.47758499999999998</v>
      </c>
      <c r="S217" s="329">
        <v>0.43009799999999998</v>
      </c>
      <c r="T217" s="329">
        <v>0.40455000000000002</v>
      </c>
      <c r="U217" s="329">
        <v>0.40812199999999998</v>
      </c>
      <c r="V217" s="329">
        <v>0.45485700000000001</v>
      </c>
      <c r="W217" s="329">
        <v>0.42258400000000002</v>
      </c>
      <c r="X217" s="329">
        <v>0.41672399999999998</v>
      </c>
      <c r="Y217" s="329">
        <v>0.46549600000000002</v>
      </c>
      <c r="Z217" s="329">
        <v>0.50212900000000005</v>
      </c>
      <c r="AA217" s="329">
        <v>0.56389299999999998</v>
      </c>
      <c r="AB217" s="329">
        <v>0.40034799999999998</v>
      </c>
      <c r="AC217" s="329">
        <v>0.54900599999999999</v>
      </c>
      <c r="AD217" s="329">
        <v>0.50784700000000005</v>
      </c>
      <c r="AE217" s="52">
        <f>'User Add-in Location'!B223</f>
        <v>0</v>
      </c>
      <c r="AF217" s="52">
        <f>'User Add-in Location'!C223</f>
        <v>0</v>
      </c>
      <c r="AG217" s="329">
        <v>0.46663900000000003</v>
      </c>
      <c r="AH217" s="329">
        <v>0.36342600000000003</v>
      </c>
      <c r="AI217" s="329">
        <v>0.54987200000000003</v>
      </c>
      <c r="AJ217" s="329">
        <v>0.51211399999999996</v>
      </c>
      <c r="AK217" s="329">
        <v>0.42644199999999999</v>
      </c>
      <c r="AL217" s="329">
        <v>0.38441999999999998</v>
      </c>
      <c r="AM217" s="329">
        <v>0.39981899999999998</v>
      </c>
      <c r="AN217" s="329">
        <v>0.420155</v>
      </c>
      <c r="AO217" s="329">
        <v>0.426533</v>
      </c>
      <c r="AP217" s="329">
        <v>0.45319100000000001</v>
      </c>
      <c r="AQ217" s="329">
        <v>0.51853199999999999</v>
      </c>
      <c r="AR217" s="329">
        <v>0.56238500000000002</v>
      </c>
      <c r="AS217" s="324">
        <v>0</v>
      </c>
      <c r="AT217" s="324">
        <v>0</v>
      </c>
      <c r="AU217" s="324">
        <v>0</v>
      </c>
      <c r="AV217" s="324">
        <v>0</v>
      </c>
      <c r="AW217" s="324">
        <v>0</v>
      </c>
      <c r="AX217" s="324">
        <v>0</v>
      </c>
      <c r="AY217" s="324">
        <v>0</v>
      </c>
      <c r="AZ217" s="324">
        <v>0</v>
      </c>
      <c r="BA217" s="329">
        <v>0.35666500000000001</v>
      </c>
      <c r="BB217" s="329">
        <v>0.31129099999999998</v>
      </c>
      <c r="BC217" s="329">
        <v>0.48675200000000002</v>
      </c>
      <c r="BD217" s="329">
        <v>0.43837599999999999</v>
      </c>
      <c r="BE217" s="329">
        <v>0.52418399999999998</v>
      </c>
      <c r="BF217" s="329">
        <v>0.87908399999999998</v>
      </c>
      <c r="BG217" s="329">
        <v>0.45185700000000001</v>
      </c>
      <c r="BH217" s="329">
        <v>0.49953999999999998</v>
      </c>
      <c r="BI217" s="329">
        <v>0.41499900000000001</v>
      </c>
      <c r="BJ217" s="329">
        <v>0.40562900000000002</v>
      </c>
      <c r="BK217" s="329">
        <v>0.29547299999999999</v>
      </c>
      <c r="BL217" s="329">
        <v>0.46242499999999997</v>
      </c>
      <c r="BM217" s="329">
        <v>0.196157</v>
      </c>
    </row>
    <row r="218" spans="3:65">
      <c r="C218" s="408" t="s">
        <v>396</v>
      </c>
      <c r="D218" s="329">
        <v>0.27171200000000001</v>
      </c>
      <c r="E218" s="329">
        <v>0.17444999999999999</v>
      </c>
      <c r="F218" s="329">
        <v>0.26647900000000002</v>
      </c>
      <c r="G218" s="329">
        <v>0.32555099999999998</v>
      </c>
      <c r="H218" s="329">
        <v>0.33025399999999999</v>
      </c>
      <c r="I218" s="329">
        <v>0.40015600000000001</v>
      </c>
      <c r="J218" s="329">
        <v>0.34114699999999998</v>
      </c>
      <c r="K218" s="329">
        <v>0.27331800000000001</v>
      </c>
      <c r="L218" s="329">
        <v>9.5799999999999996E-2</v>
      </c>
      <c r="M218" s="329">
        <v>0.31642500000000001</v>
      </c>
      <c r="N218" s="329">
        <v>0.33313999999999999</v>
      </c>
      <c r="O218" s="329">
        <v>0.21632799999999999</v>
      </c>
      <c r="P218" s="329">
        <v>0.34127200000000002</v>
      </c>
      <c r="Q218" s="329">
        <v>0.43832900000000002</v>
      </c>
      <c r="R218" s="329">
        <v>0.38913700000000001</v>
      </c>
      <c r="S218" s="329">
        <v>0.34356799999999998</v>
      </c>
      <c r="T218" s="329">
        <v>0.42764000000000002</v>
      </c>
      <c r="U218" s="329">
        <v>0.31109300000000001</v>
      </c>
      <c r="V218" s="329">
        <v>0.37669999999999998</v>
      </c>
      <c r="W218" s="329">
        <v>0.30784</v>
      </c>
      <c r="X218" s="329">
        <v>0.30983500000000003</v>
      </c>
      <c r="Y218" s="329">
        <v>0.30834</v>
      </c>
      <c r="Z218" s="329">
        <v>0.38626100000000002</v>
      </c>
      <c r="AA218" s="329">
        <v>0.46912500000000001</v>
      </c>
      <c r="AB218" s="329">
        <v>0.30439899999999998</v>
      </c>
      <c r="AC218" s="329">
        <v>0.44442999999999999</v>
      </c>
      <c r="AD218" s="329">
        <v>0.33110600000000001</v>
      </c>
      <c r="AE218" s="52">
        <f>'User Add-in Location'!B224</f>
        <v>0</v>
      </c>
      <c r="AF218" s="52">
        <f>'User Add-in Location'!C224</f>
        <v>0</v>
      </c>
      <c r="AG218" s="329">
        <v>0.48793999999999998</v>
      </c>
      <c r="AH218" s="329">
        <v>0.25980300000000001</v>
      </c>
      <c r="AI218" s="329">
        <v>0.31926399999999999</v>
      </c>
      <c r="AJ218" s="329">
        <v>0.37662200000000001</v>
      </c>
      <c r="AK218" s="329">
        <v>0.30567</v>
      </c>
      <c r="AL218" s="329">
        <v>0.27442299999999997</v>
      </c>
      <c r="AM218" s="329">
        <v>0.30730299999999999</v>
      </c>
      <c r="AN218" s="329">
        <v>0.35012700000000002</v>
      </c>
      <c r="AO218" s="329">
        <v>0.38339499999999999</v>
      </c>
      <c r="AP218" s="329">
        <v>0.56518699999999999</v>
      </c>
      <c r="AQ218" s="329">
        <v>0.35158200000000001</v>
      </c>
      <c r="AR218" s="329">
        <v>0.55149800000000004</v>
      </c>
      <c r="AS218" s="324">
        <v>0</v>
      </c>
      <c r="AT218" s="324">
        <v>0</v>
      </c>
      <c r="AU218" s="324">
        <v>0</v>
      </c>
      <c r="AV218" s="324">
        <v>0</v>
      </c>
      <c r="AW218" s="324">
        <v>0</v>
      </c>
      <c r="AX218" s="324">
        <v>0</v>
      </c>
      <c r="AY218" s="324">
        <v>0</v>
      </c>
      <c r="AZ218" s="324">
        <v>0</v>
      </c>
      <c r="BA218" s="329">
        <v>0.19808600000000001</v>
      </c>
      <c r="BB218" s="329">
        <v>0.21309</v>
      </c>
      <c r="BC218" s="329">
        <v>0.40218599999999999</v>
      </c>
      <c r="BD218" s="329">
        <v>0.35421399999999997</v>
      </c>
      <c r="BE218" s="329">
        <v>0.53486900000000004</v>
      </c>
      <c r="BF218" s="329">
        <v>0.78153899999999998</v>
      </c>
      <c r="BG218" s="329">
        <v>0.36270599999999997</v>
      </c>
      <c r="BH218" s="329">
        <v>0.36310300000000001</v>
      </c>
      <c r="BI218" s="329">
        <v>0.31540400000000002</v>
      </c>
      <c r="BJ218" s="329">
        <v>0.294545</v>
      </c>
      <c r="BK218" s="329">
        <v>0.225303</v>
      </c>
      <c r="BL218" s="329">
        <v>0.386772</v>
      </c>
      <c r="BM218" s="329">
        <v>0.21629399999999999</v>
      </c>
    </row>
    <row r="219" spans="3:65">
      <c r="C219" s="408" t="s">
        <v>397</v>
      </c>
      <c r="D219" s="329">
        <v>0.144484</v>
      </c>
      <c r="E219" s="329">
        <v>0.115025</v>
      </c>
      <c r="F219" s="329">
        <v>0.17252899999999999</v>
      </c>
      <c r="G219" s="329">
        <v>0.15387999999999999</v>
      </c>
      <c r="H219" s="329">
        <v>0.17346200000000001</v>
      </c>
      <c r="I219" s="329">
        <v>0.19747799999999999</v>
      </c>
      <c r="J219" s="329">
        <v>0.19032399999999999</v>
      </c>
      <c r="K219" s="329">
        <v>9.6254999999999993E-2</v>
      </c>
      <c r="L219" s="329">
        <v>6.7655999999999994E-2</v>
      </c>
      <c r="M219" s="329">
        <v>0.213389</v>
      </c>
      <c r="N219" s="329">
        <v>0.180759</v>
      </c>
      <c r="O219" s="329">
        <v>0.14328299999999999</v>
      </c>
      <c r="P219" s="329">
        <v>0.17432900000000001</v>
      </c>
      <c r="Q219" s="329">
        <v>0.23824799999999999</v>
      </c>
      <c r="R219" s="329">
        <v>0.25285299999999999</v>
      </c>
      <c r="S219" s="329">
        <v>0.17935699999999999</v>
      </c>
      <c r="T219" s="329">
        <v>0.20455200000000001</v>
      </c>
      <c r="U219" s="329">
        <v>0.17904500000000001</v>
      </c>
      <c r="V219" s="329">
        <v>0.187919</v>
      </c>
      <c r="W219" s="329">
        <v>0.16352</v>
      </c>
      <c r="X219" s="329">
        <v>0.167603</v>
      </c>
      <c r="Y219" s="329">
        <v>0.18760099999999999</v>
      </c>
      <c r="Z219" s="329">
        <v>0.21362400000000001</v>
      </c>
      <c r="AA219" s="329">
        <v>0.27902300000000002</v>
      </c>
      <c r="AB219" s="329">
        <v>0.13808999999999999</v>
      </c>
      <c r="AC219" s="329">
        <v>0.26058300000000001</v>
      </c>
      <c r="AD219" s="329">
        <v>0.180256</v>
      </c>
      <c r="AE219" s="52">
        <f>'User Add-in Location'!B225</f>
        <v>0</v>
      </c>
      <c r="AF219" s="52">
        <f>'User Add-in Location'!C225</f>
        <v>0</v>
      </c>
      <c r="AG219" s="329">
        <v>0.19638800000000001</v>
      </c>
      <c r="AH219" s="329">
        <v>0.12832099999999999</v>
      </c>
      <c r="AI219" s="329">
        <v>0.18370400000000001</v>
      </c>
      <c r="AJ219" s="329">
        <v>0.211585</v>
      </c>
      <c r="AK219" s="329">
        <v>0.139511</v>
      </c>
      <c r="AL219" s="329">
        <v>0.16167599999999999</v>
      </c>
      <c r="AM219" s="329">
        <v>0.16592599999999999</v>
      </c>
      <c r="AN219" s="329">
        <v>0.18571299999999999</v>
      </c>
      <c r="AO219" s="329">
        <v>0.18271499999999999</v>
      </c>
      <c r="AP219" s="329">
        <v>0.18268599999999999</v>
      </c>
      <c r="AQ219" s="329">
        <v>0.17722299999999999</v>
      </c>
      <c r="AR219" s="329">
        <v>0.25298999999999999</v>
      </c>
      <c r="AS219" s="324">
        <v>0</v>
      </c>
      <c r="AT219" s="324">
        <v>0</v>
      </c>
      <c r="AU219" s="324">
        <v>0</v>
      </c>
      <c r="AV219" s="324">
        <v>0</v>
      </c>
      <c r="AW219" s="324">
        <v>0</v>
      </c>
      <c r="AX219" s="324">
        <v>0</v>
      </c>
      <c r="AY219" s="324">
        <v>0</v>
      </c>
      <c r="AZ219" s="324">
        <v>0</v>
      </c>
      <c r="BA219" s="329">
        <v>0.12817799999999999</v>
      </c>
      <c r="BB219" s="329">
        <v>0.128828</v>
      </c>
      <c r="BC219" s="329">
        <v>0.205872</v>
      </c>
      <c r="BD219" s="329">
        <v>0.20585100000000001</v>
      </c>
      <c r="BE219" s="329">
        <v>0.26560400000000001</v>
      </c>
      <c r="BF219" s="329">
        <v>0.43824099999999999</v>
      </c>
      <c r="BG219" s="329">
        <v>0.200988</v>
      </c>
      <c r="BH219" s="329">
        <v>0.173704</v>
      </c>
      <c r="BI219" s="329">
        <v>0.16315299999999999</v>
      </c>
      <c r="BJ219" s="329">
        <v>0.15438299999999999</v>
      </c>
      <c r="BK219" s="329">
        <v>0.103951</v>
      </c>
      <c r="BL219" s="329">
        <v>0.20669899999999999</v>
      </c>
      <c r="BM219" s="329">
        <v>7.8965999999999995E-2</v>
      </c>
    </row>
    <row r="220" spans="3:65">
      <c r="C220" s="408" t="s">
        <v>398</v>
      </c>
      <c r="D220" s="329">
        <v>0.30755199999999999</v>
      </c>
      <c r="E220" s="329">
        <v>0.28661599999999998</v>
      </c>
      <c r="F220" s="329">
        <v>0.41296899999999997</v>
      </c>
      <c r="G220" s="329">
        <v>0.31851000000000002</v>
      </c>
      <c r="H220" s="329">
        <v>0.43290400000000001</v>
      </c>
      <c r="I220" s="329">
        <v>0.441301</v>
      </c>
      <c r="J220" s="329">
        <v>0.54006100000000001</v>
      </c>
      <c r="K220" s="329">
        <v>0.22656399999999999</v>
      </c>
      <c r="L220" s="329">
        <v>0.15279799999999999</v>
      </c>
      <c r="M220" s="329">
        <v>0.54313999999999996</v>
      </c>
      <c r="N220" s="329">
        <v>0.30253799999999997</v>
      </c>
      <c r="O220" s="329">
        <v>0.35658000000000001</v>
      </c>
      <c r="P220" s="329">
        <v>0.39721000000000001</v>
      </c>
      <c r="Q220" s="329">
        <v>0.53986699999999999</v>
      </c>
      <c r="R220" s="329">
        <v>0.48172399999999999</v>
      </c>
      <c r="S220" s="329">
        <v>0.38003199999999998</v>
      </c>
      <c r="T220" s="329">
        <v>0.45039899999999999</v>
      </c>
      <c r="U220" s="329">
        <v>0.38550299999999998</v>
      </c>
      <c r="V220" s="329">
        <v>0.421462</v>
      </c>
      <c r="W220" s="329">
        <v>0.41879</v>
      </c>
      <c r="X220" s="329">
        <v>0.46744000000000002</v>
      </c>
      <c r="Y220" s="329">
        <v>0.49147999999999997</v>
      </c>
      <c r="Z220" s="329">
        <v>0.52803800000000001</v>
      </c>
      <c r="AA220" s="329">
        <v>0.55579900000000004</v>
      </c>
      <c r="AB220" s="329">
        <v>0.32477499999999998</v>
      </c>
      <c r="AC220" s="329">
        <v>0.57129700000000005</v>
      </c>
      <c r="AD220" s="329">
        <v>0.383994</v>
      </c>
      <c r="AE220" s="52">
        <f>'User Add-in Location'!B226</f>
        <v>0</v>
      </c>
      <c r="AF220" s="52">
        <f>'User Add-in Location'!C226</f>
        <v>0</v>
      </c>
      <c r="AG220" s="329">
        <v>0.49524299999999999</v>
      </c>
      <c r="AH220" s="329">
        <v>0.29883999999999999</v>
      </c>
      <c r="AI220" s="329">
        <v>0.549844</v>
      </c>
      <c r="AJ220" s="329">
        <v>0.594476</v>
      </c>
      <c r="AK220" s="329">
        <v>0.38410100000000003</v>
      </c>
      <c r="AL220" s="329">
        <v>0.34339799999999998</v>
      </c>
      <c r="AM220" s="329">
        <v>0.31120900000000001</v>
      </c>
      <c r="AN220" s="329">
        <v>0.37599199999999999</v>
      </c>
      <c r="AO220" s="329">
        <v>0.32155400000000001</v>
      </c>
      <c r="AP220" s="329">
        <v>0.40964299999999998</v>
      </c>
      <c r="AQ220" s="329">
        <v>0.43989600000000001</v>
      </c>
      <c r="AR220" s="329">
        <v>0.55227000000000004</v>
      </c>
      <c r="AS220" s="324">
        <v>0</v>
      </c>
      <c r="AT220" s="324">
        <v>0</v>
      </c>
      <c r="AU220" s="324">
        <v>0</v>
      </c>
      <c r="AV220" s="324">
        <v>0</v>
      </c>
      <c r="AW220" s="324">
        <v>0</v>
      </c>
      <c r="AX220" s="324">
        <v>0</v>
      </c>
      <c r="AY220" s="324">
        <v>0</v>
      </c>
      <c r="AZ220" s="324">
        <v>0</v>
      </c>
      <c r="BA220" s="329">
        <v>0.35612199999999999</v>
      </c>
      <c r="BB220" s="329">
        <v>0.36098799999999998</v>
      </c>
      <c r="BC220" s="329">
        <v>0.29588999999999999</v>
      </c>
      <c r="BD220" s="329">
        <v>0.426095</v>
      </c>
      <c r="BE220" s="329">
        <v>0.54740100000000003</v>
      </c>
      <c r="BF220" s="329">
        <v>0.89202099999999995</v>
      </c>
      <c r="BG220" s="329">
        <v>0.34026400000000001</v>
      </c>
      <c r="BH220" s="329">
        <v>0.48466399999999998</v>
      </c>
      <c r="BI220" s="329">
        <v>0.43662800000000002</v>
      </c>
      <c r="BJ220" s="329">
        <v>0.383768</v>
      </c>
      <c r="BK220" s="329">
        <v>0.26883600000000002</v>
      </c>
      <c r="BL220" s="329">
        <v>0.47602899999999998</v>
      </c>
      <c r="BM220" s="329">
        <v>0.15385499999999999</v>
      </c>
    </row>
    <row r="221" spans="3:65">
      <c r="C221" s="408" t="s">
        <v>399</v>
      </c>
      <c r="D221" s="329">
        <v>0.42253000000000002</v>
      </c>
      <c r="E221" s="329">
        <v>0.46580100000000002</v>
      </c>
      <c r="F221" s="329">
        <v>0.47011199999999997</v>
      </c>
      <c r="G221" s="329">
        <v>0.50829800000000003</v>
      </c>
      <c r="H221" s="329">
        <v>0.51130600000000004</v>
      </c>
      <c r="I221" s="329">
        <v>0.553983</v>
      </c>
      <c r="J221" s="329">
        <v>0.535999</v>
      </c>
      <c r="K221" s="329">
        <v>0.42756699999999997</v>
      </c>
      <c r="L221" s="329">
        <v>0.19930899999999999</v>
      </c>
      <c r="M221" s="329">
        <v>0.59479499999999996</v>
      </c>
      <c r="N221" s="329">
        <v>0.54780600000000002</v>
      </c>
      <c r="O221" s="329">
        <v>0.48194700000000001</v>
      </c>
      <c r="P221" s="329">
        <v>0.51291500000000001</v>
      </c>
      <c r="Q221" s="329">
        <v>0.64952600000000005</v>
      </c>
      <c r="R221" s="329">
        <v>0.50659900000000002</v>
      </c>
      <c r="S221" s="329">
        <v>0.49873400000000001</v>
      </c>
      <c r="T221" s="329">
        <v>0.51410800000000001</v>
      </c>
      <c r="U221" s="329">
        <v>0.46539900000000001</v>
      </c>
      <c r="V221" s="329">
        <v>0.56517799999999996</v>
      </c>
      <c r="W221" s="329">
        <v>0.50607599999999997</v>
      </c>
      <c r="X221" s="329">
        <v>0.52014700000000003</v>
      </c>
      <c r="Y221" s="329">
        <v>0.55325800000000003</v>
      </c>
      <c r="Z221" s="329">
        <v>0.63013699999999995</v>
      </c>
      <c r="AA221" s="329">
        <v>0.73204999999999998</v>
      </c>
      <c r="AB221" s="329">
        <v>0.47382400000000002</v>
      </c>
      <c r="AC221" s="329">
        <v>0.68399799999999999</v>
      </c>
      <c r="AD221" s="329">
        <v>0.50569200000000003</v>
      </c>
      <c r="AE221" s="52">
        <f>'User Add-in Location'!B227</f>
        <v>0</v>
      </c>
      <c r="AF221" s="52">
        <f>'User Add-in Location'!C227</f>
        <v>0</v>
      </c>
      <c r="AG221" s="329">
        <v>0.54949499999999996</v>
      </c>
      <c r="AH221" s="329">
        <v>0.48623100000000002</v>
      </c>
      <c r="AI221" s="329">
        <v>0.57301000000000002</v>
      </c>
      <c r="AJ221" s="329">
        <v>0.62870599999999999</v>
      </c>
      <c r="AK221" s="329">
        <v>0.52066199999999996</v>
      </c>
      <c r="AL221" s="329">
        <v>0.459561</v>
      </c>
      <c r="AM221" s="329">
        <v>0.45786500000000002</v>
      </c>
      <c r="AN221" s="329">
        <v>0.47609000000000001</v>
      </c>
      <c r="AO221" s="329">
        <v>0.56022799999999995</v>
      </c>
      <c r="AP221" s="329">
        <v>0.53233600000000003</v>
      </c>
      <c r="AQ221" s="329">
        <v>0.555566</v>
      </c>
      <c r="AR221" s="329">
        <v>0.67833699999999997</v>
      </c>
      <c r="AS221" s="324">
        <v>0</v>
      </c>
      <c r="AT221" s="324">
        <v>0</v>
      </c>
      <c r="AU221" s="324">
        <v>0</v>
      </c>
      <c r="AV221" s="324">
        <v>0</v>
      </c>
      <c r="AW221" s="324">
        <v>0</v>
      </c>
      <c r="AX221" s="324">
        <v>0</v>
      </c>
      <c r="AY221" s="324">
        <v>0</v>
      </c>
      <c r="AZ221" s="324">
        <v>0</v>
      </c>
      <c r="BA221" s="329">
        <v>0.39891199999999999</v>
      </c>
      <c r="BB221" s="329">
        <v>0.37808000000000003</v>
      </c>
      <c r="BC221" s="329">
        <v>0.54940199999999995</v>
      </c>
      <c r="BD221" s="329">
        <v>0.52791699999999997</v>
      </c>
      <c r="BE221" s="329">
        <v>0.62234800000000001</v>
      </c>
      <c r="BF221" s="329">
        <v>1.06334</v>
      </c>
      <c r="BG221" s="329">
        <v>0.52951099999999995</v>
      </c>
      <c r="BH221" s="329">
        <v>0.58953299999999997</v>
      </c>
      <c r="BI221" s="329">
        <v>0.56827000000000005</v>
      </c>
      <c r="BJ221" s="329">
        <v>0.46203100000000003</v>
      </c>
      <c r="BK221" s="329">
        <v>0.34209899999999999</v>
      </c>
      <c r="BL221" s="329">
        <v>0.57408899999999996</v>
      </c>
      <c r="BM221" s="329">
        <v>0.24496299999999999</v>
      </c>
    </row>
    <row r="222" spans="3:65">
      <c r="C222" s="408" t="s">
        <v>400</v>
      </c>
      <c r="D222" s="329">
        <v>0.44269700000000001</v>
      </c>
      <c r="E222" s="329">
        <v>0.44215300000000002</v>
      </c>
      <c r="F222" s="329">
        <v>0.44747500000000001</v>
      </c>
      <c r="G222" s="329">
        <v>0.46957100000000002</v>
      </c>
      <c r="H222" s="329">
        <v>0.45682200000000001</v>
      </c>
      <c r="I222" s="329">
        <v>0.491369</v>
      </c>
      <c r="J222" s="329">
        <v>0.49938199999999999</v>
      </c>
      <c r="K222" s="329">
        <v>0.437691</v>
      </c>
      <c r="L222" s="329">
        <v>0.24382300000000001</v>
      </c>
      <c r="M222" s="329">
        <v>0.55582299999999996</v>
      </c>
      <c r="N222" s="329">
        <v>0.52306600000000003</v>
      </c>
      <c r="O222" s="329">
        <v>0.48421900000000001</v>
      </c>
      <c r="P222" s="329">
        <v>0.48091600000000001</v>
      </c>
      <c r="Q222" s="329">
        <v>0.71428400000000003</v>
      </c>
      <c r="R222" s="329">
        <v>0.54465799999999998</v>
      </c>
      <c r="S222" s="329">
        <v>0.52281100000000003</v>
      </c>
      <c r="T222" s="329">
        <v>0.50276600000000005</v>
      </c>
      <c r="U222" s="329">
        <v>0.52884900000000001</v>
      </c>
      <c r="V222" s="329">
        <v>0.657254</v>
      </c>
      <c r="W222" s="329">
        <v>0.48763899999999999</v>
      </c>
      <c r="X222" s="329">
        <v>0.44106800000000002</v>
      </c>
      <c r="Y222" s="329">
        <v>0.43704599999999999</v>
      </c>
      <c r="Z222" s="329">
        <v>0.64178500000000005</v>
      </c>
      <c r="AA222" s="329">
        <v>0.67891400000000002</v>
      </c>
      <c r="AB222" s="329">
        <v>0.51581100000000002</v>
      </c>
      <c r="AC222" s="329">
        <v>0.70148900000000003</v>
      </c>
      <c r="AD222" s="329">
        <v>0.50933700000000004</v>
      </c>
      <c r="AE222" s="52">
        <f>'User Add-in Location'!B228</f>
        <v>0</v>
      </c>
      <c r="AF222" s="52">
        <f>'User Add-in Location'!C228</f>
        <v>0</v>
      </c>
      <c r="AG222" s="329">
        <v>0.58791700000000002</v>
      </c>
      <c r="AH222" s="329">
        <v>0.45734200000000003</v>
      </c>
      <c r="AI222" s="329">
        <v>0.52576800000000001</v>
      </c>
      <c r="AJ222" s="329">
        <v>0.57553200000000004</v>
      </c>
      <c r="AK222" s="329">
        <v>0.41936400000000001</v>
      </c>
      <c r="AL222" s="329">
        <v>0.51035299999999995</v>
      </c>
      <c r="AM222" s="329">
        <v>0.43308999999999997</v>
      </c>
      <c r="AN222" s="329">
        <v>0.49032500000000001</v>
      </c>
      <c r="AO222" s="329">
        <v>0.56005499999999997</v>
      </c>
      <c r="AP222" s="329">
        <v>0.55901199999999995</v>
      </c>
      <c r="AQ222" s="329">
        <v>0.53147200000000006</v>
      </c>
      <c r="AR222" s="329">
        <v>0.70411199999999996</v>
      </c>
      <c r="AS222" s="324">
        <v>0</v>
      </c>
      <c r="AT222" s="324">
        <v>0</v>
      </c>
      <c r="AU222" s="324">
        <v>0</v>
      </c>
      <c r="AV222" s="324">
        <v>0</v>
      </c>
      <c r="AW222" s="324">
        <v>0</v>
      </c>
      <c r="AX222" s="324">
        <v>0</v>
      </c>
      <c r="AY222" s="324">
        <v>0</v>
      </c>
      <c r="AZ222" s="324">
        <v>0</v>
      </c>
      <c r="BA222" s="329">
        <v>0.393372</v>
      </c>
      <c r="BB222" s="329">
        <v>0.37855800000000001</v>
      </c>
      <c r="BC222" s="329">
        <v>0.55745599999999995</v>
      </c>
      <c r="BD222" s="329">
        <v>0.54289900000000002</v>
      </c>
      <c r="BE222" s="329">
        <v>0.61916300000000002</v>
      </c>
      <c r="BF222" s="329">
        <v>1.009693</v>
      </c>
      <c r="BG222" s="329">
        <v>0.54206299999999996</v>
      </c>
      <c r="BH222" s="329">
        <v>0.520764</v>
      </c>
      <c r="BI222" s="329">
        <v>0.49155599999999999</v>
      </c>
      <c r="BJ222" s="329">
        <v>0.42335899999999999</v>
      </c>
      <c r="BK222" s="329">
        <v>0.49840800000000002</v>
      </c>
      <c r="BL222" s="329">
        <v>0.555759</v>
      </c>
      <c r="BM222" s="329">
        <v>0.25789899999999999</v>
      </c>
    </row>
    <row r="223" spans="3:65">
      <c r="C223" s="408" t="s">
        <v>401</v>
      </c>
      <c r="D223" s="329">
        <v>0.49068899999999999</v>
      </c>
      <c r="E223" s="329">
        <v>0.49487900000000001</v>
      </c>
      <c r="F223" s="329">
        <v>0.49306800000000001</v>
      </c>
      <c r="G223" s="329">
        <v>0.491865</v>
      </c>
      <c r="H223" s="329">
        <v>0.52688199999999996</v>
      </c>
      <c r="I223" s="329">
        <v>0.55919600000000003</v>
      </c>
      <c r="J223" s="329">
        <v>0.54228100000000001</v>
      </c>
      <c r="K223" s="329">
        <v>0.47246500000000002</v>
      </c>
      <c r="L223" s="329">
        <v>0.23033300000000001</v>
      </c>
      <c r="M223" s="329">
        <v>0.59723000000000004</v>
      </c>
      <c r="N223" s="329">
        <v>0.55738699999999997</v>
      </c>
      <c r="O223" s="329">
        <v>0.50976100000000002</v>
      </c>
      <c r="P223" s="329">
        <v>0.53884900000000002</v>
      </c>
      <c r="Q223" s="329">
        <v>0.71999800000000003</v>
      </c>
      <c r="R223" s="329">
        <v>0.57690799999999998</v>
      </c>
      <c r="S223" s="329">
        <v>0.55519499999999999</v>
      </c>
      <c r="T223" s="329">
        <v>0.57081800000000005</v>
      </c>
      <c r="U223" s="329">
        <v>0.53533399999999998</v>
      </c>
      <c r="V223" s="329">
        <v>0.67691299999999999</v>
      </c>
      <c r="W223" s="329">
        <v>0.542188</v>
      </c>
      <c r="X223" s="329">
        <v>0.52942800000000001</v>
      </c>
      <c r="Y223" s="329">
        <v>0.53745799999999999</v>
      </c>
      <c r="Z223" s="329">
        <v>0.68258200000000002</v>
      </c>
      <c r="AA223" s="329">
        <v>0.74428499999999997</v>
      </c>
      <c r="AB223" s="329">
        <v>0.53031399999999995</v>
      </c>
      <c r="AC223" s="329">
        <v>0.75459299999999996</v>
      </c>
      <c r="AD223" s="329">
        <v>0.54581599999999997</v>
      </c>
      <c r="AE223" s="52">
        <f>'User Add-in Location'!B229</f>
        <v>0</v>
      </c>
      <c r="AF223" s="52">
        <f>'User Add-in Location'!C229</f>
        <v>0</v>
      </c>
      <c r="AG223" s="329">
        <v>0.61425300000000005</v>
      </c>
      <c r="AH223" s="329">
        <v>0.490755</v>
      </c>
      <c r="AI223" s="329">
        <v>0.61047799999999997</v>
      </c>
      <c r="AJ223" s="329">
        <v>0.62544299999999997</v>
      </c>
      <c r="AK223" s="329">
        <v>0.51525200000000004</v>
      </c>
      <c r="AL223" s="329">
        <v>0.51271800000000001</v>
      </c>
      <c r="AM223" s="329">
        <v>0.48458499999999999</v>
      </c>
      <c r="AN223" s="329">
        <v>0.53101699999999996</v>
      </c>
      <c r="AO223" s="329">
        <v>0.57698300000000002</v>
      </c>
      <c r="AP223" s="329">
        <v>0.56941600000000003</v>
      </c>
      <c r="AQ223" s="329">
        <v>0.57612099999999999</v>
      </c>
      <c r="AR223" s="329">
        <v>0.73685599999999996</v>
      </c>
      <c r="AS223" s="324">
        <v>0</v>
      </c>
      <c r="AT223" s="324">
        <v>0</v>
      </c>
      <c r="AU223" s="324">
        <v>0</v>
      </c>
      <c r="AV223" s="324">
        <v>0</v>
      </c>
      <c r="AW223" s="324">
        <v>0</v>
      </c>
      <c r="AX223" s="324">
        <v>0</v>
      </c>
      <c r="AY223" s="324">
        <v>0</v>
      </c>
      <c r="AZ223" s="324">
        <v>0</v>
      </c>
      <c r="BA223" s="329">
        <v>0.414462</v>
      </c>
      <c r="BB223" s="329">
        <v>0.41611999999999999</v>
      </c>
      <c r="BC223" s="329">
        <v>0.587731</v>
      </c>
      <c r="BD223" s="329">
        <v>0.55009799999999998</v>
      </c>
      <c r="BE223" s="329">
        <v>0.68907600000000002</v>
      </c>
      <c r="BF223" s="329">
        <v>1.11558</v>
      </c>
      <c r="BG223" s="329">
        <v>0.57743699999999998</v>
      </c>
      <c r="BH223" s="329">
        <v>0.58027600000000001</v>
      </c>
      <c r="BI223" s="329">
        <v>0.57492699999999997</v>
      </c>
      <c r="BJ223" s="329">
        <v>0.502224</v>
      </c>
      <c r="BK223" s="329">
        <v>0.44923999999999997</v>
      </c>
      <c r="BL223" s="329">
        <v>0.59554300000000004</v>
      </c>
      <c r="BM223" s="329">
        <v>0.26486199999999999</v>
      </c>
    </row>
    <row r="224" spans="3:65">
      <c r="C224" s="408" t="s">
        <v>402</v>
      </c>
      <c r="D224" s="329">
        <v>0.41431600000000002</v>
      </c>
      <c r="E224" s="329">
        <v>0.43903900000000001</v>
      </c>
      <c r="F224" s="329">
        <v>0.44042500000000001</v>
      </c>
      <c r="G224" s="329">
        <v>0.44722200000000001</v>
      </c>
      <c r="H224" s="329">
        <v>0.46433600000000003</v>
      </c>
      <c r="I224" s="329">
        <v>0.467636</v>
      </c>
      <c r="J224" s="329">
        <v>0.470891</v>
      </c>
      <c r="K224" s="329">
        <v>0.37667499999999998</v>
      </c>
      <c r="L224" s="329">
        <v>0.156278</v>
      </c>
      <c r="M224" s="329">
        <v>0.52476199999999995</v>
      </c>
      <c r="N224" s="329">
        <v>0.45772400000000002</v>
      </c>
      <c r="O224" s="329">
        <v>0.42929299999999998</v>
      </c>
      <c r="P224" s="329">
        <v>0.49238300000000002</v>
      </c>
      <c r="Q224" s="329">
        <v>0.597464</v>
      </c>
      <c r="R224" s="329">
        <v>0.55338699999999996</v>
      </c>
      <c r="S224" s="329">
        <v>0.49348399999999998</v>
      </c>
      <c r="T224" s="329">
        <v>0.49644700000000003</v>
      </c>
      <c r="U224" s="329">
        <v>0.47265400000000002</v>
      </c>
      <c r="V224" s="329">
        <v>0.54729899999999998</v>
      </c>
      <c r="W224" s="329">
        <v>0.501162</v>
      </c>
      <c r="X224" s="329">
        <v>0.49402800000000002</v>
      </c>
      <c r="Y224" s="329">
        <v>0.50478900000000004</v>
      </c>
      <c r="Z224" s="329">
        <v>0.57303099999999996</v>
      </c>
      <c r="AA224" s="329">
        <v>0.66546700000000003</v>
      </c>
      <c r="AB224" s="329">
        <v>0.462285</v>
      </c>
      <c r="AC224" s="329">
        <v>0.63542600000000005</v>
      </c>
      <c r="AD224" s="329">
        <v>0.50609599999999999</v>
      </c>
      <c r="AE224" s="52">
        <f>'User Add-in Location'!B230</f>
        <v>0</v>
      </c>
      <c r="AF224" s="52">
        <f>'User Add-in Location'!C230</f>
        <v>0</v>
      </c>
      <c r="AG224" s="329">
        <v>0.53162799999999999</v>
      </c>
      <c r="AH224" s="329">
        <v>0.400202</v>
      </c>
      <c r="AI224" s="329">
        <v>0.58323100000000005</v>
      </c>
      <c r="AJ224" s="329">
        <v>0.57102900000000001</v>
      </c>
      <c r="AK224" s="329">
        <v>0.45493499999999998</v>
      </c>
      <c r="AL224" s="329">
        <v>0.41473599999999999</v>
      </c>
      <c r="AM224" s="329">
        <v>0.447299</v>
      </c>
      <c r="AN224" s="329">
        <v>0.459152</v>
      </c>
      <c r="AO224" s="329">
        <v>0.51830299999999996</v>
      </c>
      <c r="AP224" s="329">
        <v>0.50600400000000001</v>
      </c>
      <c r="AQ224" s="329">
        <v>0.53298800000000002</v>
      </c>
      <c r="AR224" s="329">
        <v>0.65309799999999996</v>
      </c>
      <c r="AS224" s="324">
        <v>0</v>
      </c>
      <c r="AT224" s="324">
        <v>0</v>
      </c>
      <c r="AU224" s="324">
        <v>0</v>
      </c>
      <c r="AV224" s="324">
        <v>0</v>
      </c>
      <c r="AW224" s="324">
        <v>0</v>
      </c>
      <c r="AX224" s="324">
        <v>0</v>
      </c>
      <c r="AY224" s="324">
        <v>0</v>
      </c>
      <c r="AZ224" s="324">
        <v>0</v>
      </c>
      <c r="BA224" s="329">
        <v>0.38885500000000001</v>
      </c>
      <c r="BB224" s="329">
        <v>0.34883500000000001</v>
      </c>
      <c r="BC224" s="329">
        <v>0.55745199999999995</v>
      </c>
      <c r="BD224" s="329">
        <v>0.50664900000000002</v>
      </c>
      <c r="BE224" s="329">
        <v>0.58652700000000002</v>
      </c>
      <c r="BF224" s="329">
        <v>0.983317</v>
      </c>
      <c r="BG224" s="329">
        <v>0.50082800000000005</v>
      </c>
      <c r="BH224" s="329">
        <v>0.57508999999999999</v>
      </c>
      <c r="BI224" s="329">
        <v>0.50349100000000002</v>
      </c>
      <c r="BJ224" s="329">
        <v>0.43187199999999998</v>
      </c>
      <c r="BK224" s="329">
        <v>0.363508</v>
      </c>
      <c r="BL224" s="329">
        <v>0.53014399999999995</v>
      </c>
      <c r="BM224" s="329">
        <v>0.228626</v>
      </c>
    </row>
    <row r="225" spans="3:65">
      <c r="C225" s="408" t="s">
        <v>403</v>
      </c>
      <c r="D225" s="329">
        <v>0.45900600000000003</v>
      </c>
      <c r="E225" s="329">
        <v>0.61980299999999999</v>
      </c>
      <c r="F225" s="329">
        <v>0.53205000000000002</v>
      </c>
      <c r="G225" s="329">
        <v>0.62105200000000005</v>
      </c>
      <c r="H225" s="329">
        <v>0.62890100000000004</v>
      </c>
      <c r="I225" s="329">
        <v>0.64939999999999998</v>
      </c>
      <c r="J225" s="329">
        <v>0.50181100000000001</v>
      </c>
      <c r="K225" s="329">
        <v>0.53410299999999999</v>
      </c>
      <c r="L225" s="329">
        <v>0.169512</v>
      </c>
      <c r="M225" s="329">
        <v>0.69209299999999996</v>
      </c>
      <c r="N225" s="329">
        <v>0.67666000000000004</v>
      </c>
      <c r="O225" s="329">
        <v>0.60330300000000003</v>
      </c>
      <c r="P225" s="329">
        <v>0.64204499999999998</v>
      </c>
      <c r="Q225" s="329">
        <v>0.84328800000000004</v>
      </c>
      <c r="R225" s="329">
        <v>0.68289900000000003</v>
      </c>
      <c r="S225" s="329">
        <v>0.639405</v>
      </c>
      <c r="T225" s="329">
        <v>0.66881999999999997</v>
      </c>
      <c r="U225" s="329">
        <v>0.60806400000000005</v>
      </c>
      <c r="V225" s="329">
        <v>0.78712599999999999</v>
      </c>
      <c r="W225" s="329">
        <v>0.71240700000000001</v>
      </c>
      <c r="X225" s="329">
        <v>0.50866299999999998</v>
      </c>
      <c r="Y225" s="329">
        <v>0.48032799999999998</v>
      </c>
      <c r="Z225" s="329">
        <v>0.76941199999999998</v>
      </c>
      <c r="AA225" s="329">
        <v>0.82809699999999997</v>
      </c>
      <c r="AB225" s="329">
        <v>0.70207900000000001</v>
      </c>
      <c r="AC225" s="329">
        <v>0.83989999999999998</v>
      </c>
      <c r="AD225" s="329">
        <v>0.69207700000000005</v>
      </c>
      <c r="AE225" s="52">
        <f>'User Add-in Location'!B231</f>
        <v>0</v>
      </c>
      <c r="AF225" s="52">
        <f>'User Add-in Location'!C231</f>
        <v>0</v>
      </c>
      <c r="AG225" s="329">
        <v>0.73820699999999995</v>
      </c>
      <c r="AH225" s="329">
        <v>0.64085899999999996</v>
      </c>
      <c r="AI225" s="329">
        <v>0.57170399999999999</v>
      </c>
      <c r="AJ225" s="329">
        <v>0.74021199999999998</v>
      </c>
      <c r="AK225" s="329">
        <v>0.42612299999999997</v>
      </c>
      <c r="AL225" s="329">
        <v>0.57402299999999995</v>
      </c>
      <c r="AM225" s="329">
        <v>0.60630399999999995</v>
      </c>
      <c r="AN225" s="329">
        <v>0.60756100000000002</v>
      </c>
      <c r="AO225" s="329">
        <v>0.67358600000000002</v>
      </c>
      <c r="AP225" s="329">
        <v>0.59659300000000004</v>
      </c>
      <c r="AQ225" s="329">
        <v>0.688442</v>
      </c>
      <c r="AR225" s="329">
        <v>0.780999</v>
      </c>
      <c r="AS225" s="324">
        <v>0</v>
      </c>
      <c r="AT225" s="324">
        <v>0</v>
      </c>
      <c r="AU225" s="324">
        <v>0</v>
      </c>
      <c r="AV225" s="324">
        <v>0</v>
      </c>
      <c r="AW225" s="324">
        <v>0</v>
      </c>
      <c r="AX225" s="324">
        <v>0</v>
      </c>
      <c r="AY225" s="324">
        <v>0</v>
      </c>
      <c r="AZ225" s="324">
        <v>0</v>
      </c>
      <c r="BA225" s="329">
        <v>0.46503100000000003</v>
      </c>
      <c r="BB225" s="329">
        <v>0.520061</v>
      </c>
      <c r="BC225" s="329">
        <v>0.70954099999999998</v>
      </c>
      <c r="BD225" s="329">
        <v>0.62440300000000004</v>
      </c>
      <c r="BE225" s="329">
        <v>0.75734800000000002</v>
      </c>
      <c r="BF225" s="329">
        <v>1.156488</v>
      </c>
      <c r="BG225" s="329">
        <v>0.65248099999999998</v>
      </c>
      <c r="BH225" s="329">
        <v>0.83608300000000002</v>
      </c>
      <c r="BI225" s="329">
        <v>0.64873899999999995</v>
      </c>
      <c r="BJ225" s="329">
        <v>0.58972800000000003</v>
      </c>
      <c r="BK225" s="329">
        <v>0.478854</v>
      </c>
      <c r="BL225" s="329">
        <v>0.73244200000000004</v>
      </c>
      <c r="BM225" s="329">
        <v>0.36105399999999999</v>
      </c>
    </row>
    <row r="226" spans="3:65">
      <c r="C226" s="408" t="s">
        <v>404</v>
      </c>
      <c r="D226" s="329">
        <v>0.283111</v>
      </c>
      <c r="E226" s="329">
        <v>0.31350099999999997</v>
      </c>
      <c r="F226" s="329">
        <v>0.33998400000000001</v>
      </c>
      <c r="G226" s="329">
        <v>0.25796000000000002</v>
      </c>
      <c r="H226" s="329">
        <v>0.42167399999999999</v>
      </c>
      <c r="I226" s="329">
        <v>0.37373400000000001</v>
      </c>
      <c r="J226" s="329">
        <v>0.34896500000000003</v>
      </c>
      <c r="K226" s="329">
        <v>0.21481500000000001</v>
      </c>
      <c r="L226" s="329">
        <v>7.6829999999999996E-2</v>
      </c>
      <c r="M226" s="329">
        <v>0.41247</v>
      </c>
      <c r="N226" s="329">
        <v>0.35834500000000002</v>
      </c>
      <c r="O226" s="329">
        <v>0.19347800000000001</v>
      </c>
      <c r="P226" s="329">
        <v>0.38262499999999999</v>
      </c>
      <c r="Q226" s="329">
        <v>0.430896</v>
      </c>
      <c r="R226" s="329">
        <v>0.36455300000000002</v>
      </c>
      <c r="S226" s="329">
        <v>0.37496299999999999</v>
      </c>
      <c r="T226" s="329">
        <v>0.30998799999999999</v>
      </c>
      <c r="U226" s="329">
        <v>0.27088400000000001</v>
      </c>
      <c r="V226" s="329">
        <v>0.321996</v>
      </c>
      <c r="W226" s="329">
        <v>0.28317900000000001</v>
      </c>
      <c r="X226" s="329">
        <v>0.33641900000000002</v>
      </c>
      <c r="Y226" s="329">
        <v>0.38199100000000002</v>
      </c>
      <c r="Z226" s="329">
        <v>0.44553900000000002</v>
      </c>
      <c r="AA226" s="329">
        <v>0.52183999999999997</v>
      </c>
      <c r="AB226" s="329">
        <v>0.25548900000000002</v>
      </c>
      <c r="AC226" s="329">
        <v>0.39365699999999998</v>
      </c>
      <c r="AD226" s="329">
        <v>0.38068600000000002</v>
      </c>
      <c r="AE226" s="52">
        <f>'User Add-in Location'!B232</f>
        <v>0</v>
      </c>
      <c r="AF226" s="52">
        <f>'User Add-in Location'!C232</f>
        <v>0</v>
      </c>
      <c r="AG226" s="329">
        <v>0.41064000000000001</v>
      </c>
      <c r="AH226" s="329">
        <v>0.25651000000000002</v>
      </c>
      <c r="AI226" s="329">
        <v>0.46391100000000002</v>
      </c>
      <c r="AJ226" s="329">
        <v>0.421263</v>
      </c>
      <c r="AK226" s="329">
        <v>0.37052299999999999</v>
      </c>
      <c r="AL226" s="329">
        <v>0.342866</v>
      </c>
      <c r="AM226" s="329">
        <v>0.28522900000000001</v>
      </c>
      <c r="AN226" s="329">
        <v>0.33722299999999999</v>
      </c>
      <c r="AO226" s="329">
        <v>0.367784</v>
      </c>
      <c r="AP226" s="329">
        <v>0.38153599999999999</v>
      </c>
      <c r="AQ226" s="329">
        <v>0.35750900000000002</v>
      </c>
      <c r="AR226" s="329">
        <v>0.48338900000000001</v>
      </c>
      <c r="AS226" s="324">
        <v>0</v>
      </c>
      <c r="AT226" s="324">
        <v>0</v>
      </c>
      <c r="AU226" s="324">
        <v>0</v>
      </c>
      <c r="AV226" s="324">
        <v>0</v>
      </c>
      <c r="AW226" s="324">
        <v>0</v>
      </c>
      <c r="AX226" s="324">
        <v>0</v>
      </c>
      <c r="AY226" s="324">
        <v>0</v>
      </c>
      <c r="AZ226" s="324">
        <v>0</v>
      </c>
      <c r="BA226" s="329">
        <v>0.27199600000000002</v>
      </c>
      <c r="BB226" s="329">
        <v>0.17583199999999999</v>
      </c>
      <c r="BC226" s="329">
        <v>0.34587800000000002</v>
      </c>
      <c r="BD226" s="329">
        <v>0.31434600000000001</v>
      </c>
      <c r="BE226" s="329">
        <v>0.43460399999999999</v>
      </c>
      <c r="BF226" s="329">
        <v>0.82347499999999996</v>
      </c>
      <c r="BG226" s="329">
        <v>0.39688499999999999</v>
      </c>
      <c r="BH226" s="329">
        <v>0.44512600000000002</v>
      </c>
      <c r="BI226" s="329">
        <v>0.37114999999999998</v>
      </c>
      <c r="BJ226" s="329">
        <v>0.31004100000000001</v>
      </c>
      <c r="BK226" s="329">
        <v>0.198157</v>
      </c>
      <c r="BL226" s="329">
        <v>0.39540399999999998</v>
      </c>
      <c r="BM226" s="329">
        <v>0</v>
      </c>
    </row>
    <row r="227" spans="3:65">
      <c r="D227" s="321"/>
      <c r="E227" s="321"/>
      <c r="F227" s="321"/>
      <c r="G227" s="321"/>
      <c r="H227" s="321"/>
      <c r="I227" s="321"/>
      <c r="J227" s="321"/>
      <c r="K227" s="321"/>
      <c r="L227" s="321"/>
      <c r="M227" s="321"/>
      <c r="N227" s="321"/>
      <c r="O227" s="321"/>
      <c r="P227" s="321"/>
      <c r="Q227" s="321"/>
      <c r="R227" s="321"/>
      <c r="S227" s="321"/>
      <c r="T227" s="321"/>
      <c r="U227" s="321"/>
      <c r="V227" s="321"/>
      <c r="W227" s="321"/>
      <c r="X227" s="321"/>
      <c r="Y227" s="321"/>
      <c r="Z227" s="321"/>
      <c r="AA227" s="321"/>
      <c r="AB227" s="321"/>
      <c r="AC227" s="321"/>
      <c r="AD227" s="321"/>
      <c r="AG227" s="321"/>
      <c r="AH227" s="321"/>
      <c r="AI227" s="321"/>
      <c r="AJ227" s="321"/>
      <c r="AK227" s="321"/>
      <c r="AL227" s="321"/>
      <c r="AM227" s="321"/>
      <c r="AN227" s="321"/>
      <c r="AO227" s="321"/>
      <c r="AP227" s="321"/>
      <c r="AQ227" s="321"/>
      <c r="AR227" s="321"/>
      <c r="AS227" s="324"/>
      <c r="AT227" s="324"/>
      <c r="AU227" s="324"/>
      <c r="AV227" s="324"/>
      <c r="AW227" s="324"/>
      <c r="AX227" s="324"/>
      <c r="AY227" s="324"/>
      <c r="AZ227" s="324"/>
      <c r="BA227" s="321"/>
      <c r="BB227" s="321"/>
      <c r="BC227" s="321"/>
      <c r="BD227" s="321"/>
      <c r="BE227" s="321"/>
      <c r="BF227" s="321"/>
      <c r="BG227" s="321"/>
      <c r="BH227" s="321"/>
      <c r="BI227" s="321"/>
      <c r="BJ227" s="321"/>
      <c r="BK227" s="321"/>
      <c r="BL227" s="321"/>
      <c r="BM227" s="321"/>
    </row>
    <row r="228" spans="3:65">
      <c r="C228" s="319" t="s">
        <v>415</v>
      </c>
      <c r="D228" s="321"/>
      <c r="E228" s="321"/>
      <c r="F228" s="321"/>
      <c r="G228" s="321"/>
      <c r="H228" s="321"/>
      <c r="I228" s="321"/>
      <c r="J228" s="321"/>
      <c r="K228" s="321"/>
      <c r="L228" s="321"/>
      <c r="M228" s="321"/>
      <c r="N228" s="321"/>
      <c r="O228" s="321"/>
      <c r="P228" s="321"/>
      <c r="Q228" s="321"/>
      <c r="R228" s="321"/>
      <c r="S228" s="321"/>
      <c r="T228" s="321"/>
      <c r="U228" s="321"/>
      <c r="V228" s="321"/>
      <c r="W228" s="321"/>
      <c r="X228" s="321"/>
      <c r="Y228" s="321"/>
      <c r="Z228" s="321"/>
      <c r="AA228" s="321"/>
      <c r="AB228" s="321"/>
      <c r="AC228" s="321"/>
      <c r="AD228" s="321"/>
      <c r="AG228" s="321"/>
      <c r="AH228" s="321"/>
      <c r="AI228" s="321"/>
      <c r="AJ228" s="321"/>
      <c r="AK228" s="321"/>
      <c r="AL228" s="321"/>
      <c r="AM228" s="321"/>
      <c r="AN228" s="321"/>
      <c r="AO228" s="321"/>
      <c r="AP228" s="321"/>
      <c r="AQ228" s="321"/>
      <c r="AR228" s="321"/>
      <c r="AS228" s="324"/>
      <c r="AT228" s="324"/>
      <c r="AU228" s="324"/>
      <c r="AV228" s="324"/>
      <c r="AW228" s="324"/>
      <c r="AX228" s="324"/>
      <c r="AY228" s="324"/>
      <c r="AZ228" s="324"/>
      <c r="BA228" s="321"/>
      <c r="BB228" s="321"/>
      <c r="BC228" s="321"/>
      <c r="BD228" s="321"/>
      <c r="BE228" s="321"/>
      <c r="BF228" s="321"/>
      <c r="BG228" s="321"/>
      <c r="BH228" s="321"/>
      <c r="BI228" s="321"/>
      <c r="BJ228" s="321"/>
      <c r="BK228" s="321"/>
      <c r="BL228" s="321"/>
      <c r="BM228" s="321"/>
    </row>
    <row r="229" spans="3:65">
      <c r="C229" s="320" t="s">
        <v>416</v>
      </c>
      <c r="D229" s="52" t="s">
        <v>219</v>
      </c>
      <c r="E229" s="52" t="s">
        <v>222</v>
      </c>
      <c r="F229" s="52" t="s">
        <v>231</v>
      </c>
      <c r="G229" s="52" t="s">
        <v>221</v>
      </c>
      <c r="H229" s="52" t="s">
        <v>223</v>
      </c>
      <c r="I229" s="52" t="s">
        <v>240</v>
      </c>
      <c r="J229" s="52" t="s">
        <v>216</v>
      </c>
      <c r="K229" s="52" t="s">
        <v>217</v>
      </c>
      <c r="L229" s="52" t="s">
        <v>218</v>
      </c>
      <c r="M229" s="52" t="s">
        <v>228</v>
      </c>
      <c r="N229" s="52" t="s">
        <v>237</v>
      </c>
      <c r="O229" s="52" t="s">
        <v>232</v>
      </c>
      <c r="P229" s="52" t="s">
        <v>248</v>
      </c>
      <c r="Q229" s="52" t="s">
        <v>220</v>
      </c>
      <c r="R229" s="52" t="s">
        <v>229</v>
      </c>
      <c r="S229" s="52" t="s">
        <v>238</v>
      </c>
      <c r="T229" s="52" t="s">
        <v>254</v>
      </c>
      <c r="U229" s="52" t="s">
        <v>245</v>
      </c>
      <c r="V229" s="52" t="s">
        <v>230</v>
      </c>
      <c r="W229" s="52" t="s">
        <v>225</v>
      </c>
      <c r="X229" s="52" t="s">
        <v>227</v>
      </c>
      <c r="Y229" s="52" t="s">
        <v>234</v>
      </c>
      <c r="Z229" s="52" t="s">
        <v>246</v>
      </c>
      <c r="AA229" s="52" t="s">
        <v>252</v>
      </c>
      <c r="AB229" s="52" t="s">
        <v>251</v>
      </c>
      <c r="AC229" s="52" t="s">
        <v>239</v>
      </c>
      <c r="AD229" s="52" t="s">
        <v>260</v>
      </c>
      <c r="AE229" s="52" t="s">
        <v>381</v>
      </c>
      <c r="AF229" s="52" t="s">
        <v>382</v>
      </c>
      <c r="AG229" s="52" t="s">
        <v>264</v>
      </c>
      <c r="AH229" s="52" t="s">
        <v>266</v>
      </c>
      <c r="AI229" s="52" t="s">
        <v>242</v>
      </c>
      <c r="AJ229" s="52" t="s">
        <v>489</v>
      </c>
      <c r="AK229" s="52" t="s">
        <v>247</v>
      </c>
      <c r="AL229" s="52" t="s">
        <v>250</v>
      </c>
      <c r="AM229" s="52" t="s">
        <v>236</v>
      </c>
      <c r="AN229" s="52" t="s">
        <v>268</v>
      </c>
      <c r="AO229" s="52" t="s">
        <v>258</v>
      </c>
      <c r="AP229" s="52" t="s">
        <v>253</v>
      </c>
      <c r="AQ229" s="52" t="s">
        <v>270</v>
      </c>
      <c r="AR229" s="52" t="s">
        <v>235</v>
      </c>
      <c r="AS229" s="407" t="s">
        <v>207</v>
      </c>
      <c r="AT229" s="407" t="s">
        <v>208</v>
      </c>
      <c r="AU229" s="407" t="s">
        <v>209</v>
      </c>
      <c r="AV229" s="407" t="s">
        <v>210</v>
      </c>
      <c r="AW229" s="407" t="s">
        <v>211</v>
      </c>
      <c r="AX229" s="407" t="s">
        <v>212</v>
      </c>
      <c r="AY229" s="407" t="s">
        <v>213</v>
      </c>
      <c r="AZ229" s="407" t="s">
        <v>214</v>
      </c>
      <c r="BA229" s="52" t="s">
        <v>256</v>
      </c>
      <c r="BB229" s="52" t="s">
        <v>490</v>
      </c>
      <c r="BC229" s="52" t="s">
        <v>272</v>
      </c>
      <c r="BD229" s="52" t="s">
        <v>491</v>
      </c>
      <c r="BE229" s="52" t="s">
        <v>492</v>
      </c>
      <c r="BF229" s="321" t="s">
        <v>604</v>
      </c>
      <c r="BG229" s="52" t="s">
        <v>274</v>
      </c>
      <c r="BH229" s="52" t="s">
        <v>262</v>
      </c>
      <c r="BI229" s="52" t="s">
        <v>244</v>
      </c>
      <c r="BJ229" s="52" t="s">
        <v>275</v>
      </c>
      <c r="BK229" s="52" t="s">
        <v>243</v>
      </c>
      <c r="BL229" s="52" t="s">
        <v>263</v>
      </c>
      <c r="BM229" s="52" t="s">
        <v>493</v>
      </c>
    </row>
    <row r="230" spans="3:65">
      <c r="C230" s="329" t="s">
        <v>383</v>
      </c>
      <c r="D230" s="329">
        <v>0.30517300000000003</v>
      </c>
      <c r="E230" s="329">
        <v>0.45533099999999999</v>
      </c>
      <c r="F230" s="329">
        <v>0.51181900000000002</v>
      </c>
      <c r="G230" s="329">
        <v>0.21468000000000001</v>
      </c>
      <c r="H230" s="329">
        <v>0.62749999999999995</v>
      </c>
      <c r="I230" s="329">
        <v>0.36303299999999999</v>
      </c>
      <c r="J230" s="329">
        <v>0.61386799999999997</v>
      </c>
      <c r="K230" s="329">
        <v>0.33634399999999998</v>
      </c>
      <c r="L230" s="329">
        <v>0.74041400000000002</v>
      </c>
      <c r="M230" s="329">
        <v>0.584152</v>
      </c>
      <c r="N230" s="329">
        <v>0.33966200000000002</v>
      </c>
      <c r="O230" s="329">
        <v>0.51763700000000001</v>
      </c>
      <c r="P230" s="329">
        <v>0.43657400000000002</v>
      </c>
      <c r="Q230" s="329">
        <v>0.333258</v>
      </c>
      <c r="R230" s="329">
        <v>0.33007900000000001</v>
      </c>
      <c r="S230" s="329">
        <v>0.31073299999999998</v>
      </c>
      <c r="T230" s="329">
        <v>0.28327999999999998</v>
      </c>
      <c r="U230" s="329">
        <v>0.489174</v>
      </c>
      <c r="V230" s="329">
        <v>0.40466999999999997</v>
      </c>
      <c r="W230" s="329">
        <v>0.64338099999999998</v>
      </c>
      <c r="X230" s="329">
        <v>0.39823799999999998</v>
      </c>
      <c r="Y230" s="329">
        <v>0.77205900000000005</v>
      </c>
      <c r="Z230" s="329">
        <v>0.39189200000000002</v>
      </c>
      <c r="AA230" s="329">
        <v>0.311975</v>
      </c>
      <c r="AB230" s="329">
        <v>0.35754000000000002</v>
      </c>
      <c r="AC230" s="329">
        <v>0.32911299999999999</v>
      </c>
      <c r="AD230" s="329">
        <v>0.47412100000000001</v>
      </c>
      <c r="AE230" s="52">
        <f>'User Add-in Location'!B236</f>
        <v>0</v>
      </c>
      <c r="AF230" s="52">
        <f>'User Add-in Location'!C236</f>
        <v>0</v>
      </c>
      <c r="AG230" s="329">
        <v>0.28550500000000001</v>
      </c>
      <c r="AH230" s="329">
        <v>0.43371599999999999</v>
      </c>
      <c r="AI230" s="329">
        <v>0.55937899999999996</v>
      </c>
      <c r="AJ230" s="329">
        <v>0.63190500000000005</v>
      </c>
      <c r="AK230" s="329">
        <v>0.44701000000000002</v>
      </c>
      <c r="AL230" s="329">
        <v>0.50281500000000001</v>
      </c>
      <c r="AM230" s="329">
        <v>0.32152599999999998</v>
      </c>
      <c r="AN230" s="329">
        <v>0.37631399999999998</v>
      </c>
      <c r="AO230" s="329">
        <v>0.36743500000000001</v>
      </c>
      <c r="AP230" s="329">
        <v>0.375446</v>
      </c>
      <c r="AQ230" s="329">
        <v>0.583924</v>
      </c>
      <c r="AR230" s="329">
        <v>0.425709</v>
      </c>
      <c r="AS230" s="324">
        <v>0</v>
      </c>
      <c r="AT230" s="324">
        <v>0</v>
      </c>
      <c r="AU230" s="324">
        <v>0</v>
      </c>
      <c r="AV230" s="324">
        <v>0</v>
      </c>
      <c r="AW230" s="324">
        <v>0</v>
      </c>
      <c r="AX230" s="324">
        <v>0</v>
      </c>
      <c r="AY230" s="324">
        <v>0</v>
      </c>
      <c r="AZ230" s="324">
        <v>0</v>
      </c>
      <c r="BA230" s="329">
        <v>0.77642999999999995</v>
      </c>
      <c r="BB230" s="329">
        <v>0.32927600000000001</v>
      </c>
      <c r="BC230" s="329">
        <v>0.38397500000000001</v>
      </c>
      <c r="BD230" s="329">
        <v>0.32608500000000001</v>
      </c>
      <c r="BE230" s="329">
        <v>0.38572400000000001</v>
      </c>
      <c r="BF230" s="329">
        <v>0.417597</v>
      </c>
      <c r="BG230" s="329">
        <v>0.48607699999999998</v>
      </c>
      <c r="BH230" s="329">
        <v>0.46773700000000001</v>
      </c>
      <c r="BI230" s="329">
        <v>0.430423</v>
      </c>
      <c r="BJ230" s="329">
        <v>0.63680400000000004</v>
      </c>
      <c r="BK230" s="329">
        <v>0.43037799999999998</v>
      </c>
      <c r="BL230" s="329">
        <v>0.386604</v>
      </c>
      <c r="BM230" s="329">
        <v>0.455179</v>
      </c>
    </row>
    <row r="231" spans="3:65">
      <c r="C231" s="329" t="s">
        <v>384</v>
      </c>
      <c r="D231" s="329">
        <v>0.50625900000000001</v>
      </c>
      <c r="E231" s="329">
        <v>0.66325800000000001</v>
      </c>
      <c r="F231" s="329">
        <v>0.45328800000000002</v>
      </c>
      <c r="G231" s="329">
        <v>0.25478800000000001</v>
      </c>
      <c r="H231" s="329">
        <v>0.43038799999999999</v>
      </c>
      <c r="I231" s="329">
        <v>0.46679100000000001</v>
      </c>
      <c r="J231" s="329">
        <v>0.37270999999999999</v>
      </c>
      <c r="K231" s="329">
        <v>0.12858700000000001</v>
      </c>
      <c r="L231" s="329">
        <v>0.359819</v>
      </c>
      <c r="M231" s="329">
        <v>0.197376</v>
      </c>
      <c r="N231" s="329">
        <v>0.442278</v>
      </c>
      <c r="O231" s="329">
        <v>0.31186799999999998</v>
      </c>
      <c r="P231" s="329">
        <v>0.216778</v>
      </c>
      <c r="Q231" s="329">
        <v>0.245061</v>
      </c>
      <c r="R231" s="329">
        <v>0.32947900000000002</v>
      </c>
      <c r="S231" s="329">
        <v>0.345383</v>
      </c>
      <c r="T231" s="329">
        <v>7.6780000000000001E-2</v>
      </c>
      <c r="U231" s="329">
        <v>0.31603999999999999</v>
      </c>
      <c r="V231" s="329">
        <v>0.445803</v>
      </c>
      <c r="W231" s="329">
        <v>0.13531399999999999</v>
      </c>
      <c r="X231" s="329">
        <v>0.28674899999999998</v>
      </c>
      <c r="Y231" s="329">
        <v>0.26016899999999998</v>
      </c>
      <c r="Z231" s="329">
        <v>0.31020799999999998</v>
      </c>
      <c r="AA231" s="329">
        <v>0.48593399999999998</v>
      </c>
      <c r="AB231" s="329">
        <v>0.19790199999999999</v>
      </c>
      <c r="AC231" s="329">
        <v>0.33554899999999999</v>
      </c>
      <c r="AD231" s="329">
        <v>0.44079600000000002</v>
      </c>
      <c r="AE231" s="52">
        <f>'User Add-in Location'!B237</f>
        <v>0</v>
      </c>
      <c r="AF231" s="52">
        <f>'User Add-in Location'!C237</f>
        <v>0</v>
      </c>
      <c r="AG231" s="329">
        <v>0.20322499999999999</v>
      </c>
      <c r="AH231" s="329">
        <v>0.454231</v>
      </c>
      <c r="AI231" s="329">
        <v>0.26169999999999999</v>
      </c>
      <c r="AJ231" s="329">
        <v>0.29946699999999998</v>
      </c>
      <c r="AK231" s="329">
        <v>0.59141299999999997</v>
      </c>
      <c r="AL231" s="329">
        <v>0.23943600000000001</v>
      </c>
      <c r="AM231" s="329">
        <v>0.25162800000000002</v>
      </c>
      <c r="AN231" s="329">
        <v>0.54697200000000001</v>
      </c>
      <c r="AO231" s="329">
        <v>0.60599099999999995</v>
      </c>
      <c r="AP231" s="329">
        <v>0.41542600000000002</v>
      </c>
      <c r="AQ231" s="329">
        <v>0.21163899999999999</v>
      </c>
      <c r="AR231" s="329">
        <v>0.60829</v>
      </c>
      <c r="AS231" s="324">
        <v>0</v>
      </c>
      <c r="AT231" s="324">
        <v>0</v>
      </c>
      <c r="AU231" s="324">
        <v>0</v>
      </c>
      <c r="AV231" s="324">
        <v>0</v>
      </c>
      <c r="AW231" s="324">
        <v>0</v>
      </c>
      <c r="AX231" s="324">
        <v>0</v>
      </c>
      <c r="AY231" s="324">
        <v>0</v>
      </c>
      <c r="AZ231" s="324">
        <v>0</v>
      </c>
      <c r="BA231" s="329">
        <v>0.34758299999999998</v>
      </c>
      <c r="BB231" s="329">
        <v>0.29349999999999998</v>
      </c>
      <c r="BC231" s="329">
        <v>0.181199</v>
      </c>
      <c r="BD231" s="329">
        <v>0.28926200000000002</v>
      </c>
      <c r="BE231" s="329">
        <v>0.56417700000000004</v>
      </c>
      <c r="BF231" s="329">
        <v>0.49276500000000001</v>
      </c>
      <c r="BG231" s="329">
        <v>0.45255299999999998</v>
      </c>
      <c r="BH231" s="329">
        <v>0.43340499999999998</v>
      </c>
      <c r="BI231" s="329">
        <v>0.375309</v>
      </c>
      <c r="BJ231" s="329">
        <v>0.19637099999999999</v>
      </c>
      <c r="BK231" s="329">
        <v>0.50503900000000002</v>
      </c>
      <c r="BL231" s="329">
        <v>0.57111599999999996</v>
      </c>
      <c r="BM231" s="329">
        <v>0.55590600000000001</v>
      </c>
    </row>
    <row r="232" spans="3:65">
      <c r="C232" s="329" t="s">
        <v>385</v>
      </c>
      <c r="D232" s="329">
        <v>0.50009099999999995</v>
      </c>
      <c r="E232" s="329">
        <v>0.60364499999999999</v>
      </c>
      <c r="F232" s="329">
        <v>0.57400300000000004</v>
      </c>
      <c r="G232" s="329">
        <v>0.48795699999999997</v>
      </c>
      <c r="H232" s="329">
        <v>0.62163000000000002</v>
      </c>
      <c r="I232" s="329">
        <v>0.58782000000000001</v>
      </c>
      <c r="J232" s="329">
        <v>0.568685</v>
      </c>
      <c r="K232" s="329">
        <v>0.60163999999999995</v>
      </c>
      <c r="L232" s="329">
        <v>0.61834500000000003</v>
      </c>
      <c r="M232" s="329">
        <v>0.56117099999999998</v>
      </c>
      <c r="N232" s="329">
        <v>0.56478200000000001</v>
      </c>
      <c r="O232" s="329">
        <v>0.64697199999999999</v>
      </c>
      <c r="P232" s="329">
        <v>0.54057900000000003</v>
      </c>
      <c r="Q232" s="329">
        <v>0.59769600000000001</v>
      </c>
      <c r="R232" s="329">
        <v>0.54750500000000002</v>
      </c>
      <c r="S232" s="329">
        <v>0.53734800000000005</v>
      </c>
      <c r="T232" s="329">
        <v>0.54394299999999995</v>
      </c>
      <c r="U232" s="329">
        <v>0.54144300000000001</v>
      </c>
      <c r="V232" s="329">
        <v>0.52962100000000001</v>
      </c>
      <c r="W232" s="329">
        <v>0.44474200000000003</v>
      </c>
      <c r="X232" s="329">
        <v>0.57533999999999996</v>
      </c>
      <c r="Y232" s="329">
        <v>0.595835</v>
      </c>
      <c r="Z232" s="329">
        <v>0.57473700000000005</v>
      </c>
      <c r="AA232" s="329">
        <v>0.58859799999999995</v>
      </c>
      <c r="AB232" s="329">
        <v>0.47099200000000002</v>
      </c>
      <c r="AC232" s="329">
        <v>0.52244299999999999</v>
      </c>
      <c r="AD232" s="329">
        <v>0.52068899999999996</v>
      </c>
      <c r="AE232" s="52">
        <f>'User Add-in Location'!B238</f>
        <v>0</v>
      </c>
      <c r="AF232" s="52">
        <f>'User Add-in Location'!C238</f>
        <v>0</v>
      </c>
      <c r="AG232" s="329">
        <v>0.457098</v>
      </c>
      <c r="AH232" s="329">
        <v>0.58995799999999998</v>
      </c>
      <c r="AI232" s="329">
        <v>0.48348600000000003</v>
      </c>
      <c r="AJ232" s="329">
        <v>0.61841599999999997</v>
      </c>
      <c r="AK232" s="329">
        <v>0.52011099999999999</v>
      </c>
      <c r="AL232" s="329">
        <v>0.61727100000000001</v>
      </c>
      <c r="AM232" s="329">
        <v>0.52112400000000003</v>
      </c>
      <c r="AN232" s="329">
        <v>0.60533400000000004</v>
      </c>
      <c r="AO232" s="329">
        <v>0.56019600000000003</v>
      </c>
      <c r="AP232" s="329">
        <v>0.496784</v>
      </c>
      <c r="AQ232" s="329">
        <v>0.58335400000000004</v>
      </c>
      <c r="AR232" s="329">
        <v>0.59328499999999995</v>
      </c>
      <c r="AS232" s="324">
        <v>0</v>
      </c>
      <c r="AT232" s="324">
        <v>0</v>
      </c>
      <c r="AU232" s="324">
        <v>0</v>
      </c>
      <c r="AV232" s="324">
        <v>0</v>
      </c>
      <c r="AW232" s="324">
        <v>0</v>
      </c>
      <c r="AX232" s="324">
        <v>0</v>
      </c>
      <c r="AY232" s="324">
        <v>0</v>
      </c>
      <c r="AZ232" s="324">
        <v>0</v>
      </c>
      <c r="BA232" s="329">
        <v>0.57482100000000003</v>
      </c>
      <c r="BB232" s="329">
        <v>0.56616699999999998</v>
      </c>
      <c r="BC232" s="329">
        <v>0.50897700000000001</v>
      </c>
      <c r="BD232" s="329">
        <v>0.53727000000000003</v>
      </c>
      <c r="BE232" s="329">
        <v>0.572967</v>
      </c>
      <c r="BF232" s="329">
        <v>0.57594500000000004</v>
      </c>
      <c r="BG232" s="329">
        <v>0.58884599999999998</v>
      </c>
      <c r="BH232" s="329">
        <v>0.42338300000000001</v>
      </c>
      <c r="BI232" s="329">
        <v>0.562639</v>
      </c>
      <c r="BJ232" s="329">
        <v>0.62728899999999999</v>
      </c>
      <c r="BK232" s="329">
        <v>0.59074300000000002</v>
      </c>
      <c r="BL232" s="329">
        <v>0.57278200000000001</v>
      </c>
      <c r="BM232" s="329">
        <v>0.58084800000000003</v>
      </c>
    </row>
    <row r="233" spans="3:65">
      <c r="C233" s="329" t="s">
        <v>386</v>
      </c>
      <c r="D233" s="329">
        <v>0.35517300000000002</v>
      </c>
      <c r="E233" s="329">
        <v>0.44114999999999999</v>
      </c>
      <c r="F233" s="329">
        <v>0.469721</v>
      </c>
      <c r="G233" s="329">
        <v>0.36139199999999999</v>
      </c>
      <c r="H233" s="329">
        <v>0.50759699999999996</v>
      </c>
      <c r="I233" s="329">
        <v>0.47364200000000001</v>
      </c>
      <c r="J233" s="329">
        <v>0.388853</v>
      </c>
      <c r="K233" s="329">
        <v>0.49582700000000002</v>
      </c>
      <c r="L233" s="329">
        <v>0.501834</v>
      </c>
      <c r="M233" s="329">
        <v>0.46445500000000001</v>
      </c>
      <c r="N233" s="329">
        <v>0.45942499999999997</v>
      </c>
      <c r="O233" s="329">
        <v>0.54428200000000004</v>
      </c>
      <c r="P233" s="329">
        <v>0.44156699999999999</v>
      </c>
      <c r="Q233" s="329">
        <v>0.48313099999999998</v>
      </c>
      <c r="R233" s="329">
        <v>0.42122999999999999</v>
      </c>
      <c r="S233" s="329">
        <v>0.39954200000000001</v>
      </c>
      <c r="T233" s="329">
        <v>0.42503800000000003</v>
      </c>
      <c r="U233" s="329">
        <v>0.425875</v>
      </c>
      <c r="V233" s="329">
        <v>0.39104100000000003</v>
      </c>
      <c r="W233" s="329">
        <v>0.260326</v>
      </c>
      <c r="X233" s="329">
        <v>0.44794400000000001</v>
      </c>
      <c r="Y233" s="329">
        <v>0.44228699999999999</v>
      </c>
      <c r="Z233" s="329">
        <v>0.46214699999999997</v>
      </c>
      <c r="AA233" s="329">
        <v>0.45982000000000001</v>
      </c>
      <c r="AB233" s="329">
        <v>0.34390700000000002</v>
      </c>
      <c r="AC233" s="329">
        <v>0.37860500000000002</v>
      </c>
      <c r="AD233" s="329">
        <v>0.38205099999999997</v>
      </c>
      <c r="AE233" s="52">
        <f>'User Add-in Location'!B239</f>
        <v>0</v>
      </c>
      <c r="AF233" s="52">
        <f>'User Add-in Location'!C239</f>
        <v>0</v>
      </c>
      <c r="AG233" s="329">
        <v>0.275088</v>
      </c>
      <c r="AH233" s="329">
        <v>0.47490599999999999</v>
      </c>
      <c r="AI233" s="329">
        <v>0.22098100000000001</v>
      </c>
      <c r="AJ233" s="329">
        <v>0.49584299999999998</v>
      </c>
      <c r="AK233" s="329">
        <v>0.38705800000000001</v>
      </c>
      <c r="AL233" s="329">
        <v>0.49746499999999999</v>
      </c>
      <c r="AM233" s="329">
        <v>0.38805600000000001</v>
      </c>
      <c r="AN233" s="329">
        <v>0.48708200000000001</v>
      </c>
      <c r="AO233" s="329">
        <v>0.43360700000000002</v>
      </c>
      <c r="AP233" s="329">
        <v>0.34897800000000001</v>
      </c>
      <c r="AQ233" s="329">
        <v>0.45612200000000003</v>
      </c>
      <c r="AR233" s="329">
        <v>0.47168300000000002</v>
      </c>
      <c r="AS233" s="324">
        <v>0</v>
      </c>
      <c r="AT233" s="324">
        <v>0</v>
      </c>
      <c r="AU233" s="324">
        <v>0</v>
      </c>
      <c r="AV233" s="324">
        <v>0</v>
      </c>
      <c r="AW233" s="324">
        <v>0</v>
      </c>
      <c r="AX233" s="324">
        <v>0</v>
      </c>
      <c r="AY233" s="324">
        <v>0</v>
      </c>
      <c r="AZ233" s="324">
        <v>0</v>
      </c>
      <c r="BA233" s="329">
        <v>0.44999</v>
      </c>
      <c r="BB233" s="329">
        <v>0.470661</v>
      </c>
      <c r="BC233" s="329">
        <v>0.36605799999999999</v>
      </c>
      <c r="BD233" s="329">
        <v>0.38026900000000002</v>
      </c>
      <c r="BE233" s="329">
        <v>0.442776</v>
      </c>
      <c r="BF233" s="329">
        <v>0.45330500000000001</v>
      </c>
      <c r="BG233" s="329">
        <v>0.49032399999999998</v>
      </c>
      <c r="BH233" s="329">
        <v>0.19823399999999999</v>
      </c>
      <c r="BI233" s="329">
        <v>0.444882</v>
      </c>
      <c r="BJ233" s="329">
        <v>0.51898299999999997</v>
      </c>
      <c r="BK233" s="329">
        <v>0.468194</v>
      </c>
      <c r="BL233" s="329">
        <v>0.44678600000000002</v>
      </c>
      <c r="BM233" s="329">
        <v>0.43784699999999999</v>
      </c>
    </row>
    <row r="234" spans="3:65">
      <c r="C234" s="329" t="s">
        <v>387</v>
      </c>
      <c r="D234" s="329">
        <v>0.36708099999999999</v>
      </c>
      <c r="E234" s="329">
        <v>0.44603100000000001</v>
      </c>
      <c r="F234" s="329">
        <v>0.46592800000000001</v>
      </c>
      <c r="G234" s="329">
        <v>0.366705</v>
      </c>
      <c r="H234" s="329">
        <v>0.506409</v>
      </c>
      <c r="I234" s="329">
        <v>0.47048600000000002</v>
      </c>
      <c r="J234" s="329">
        <v>0.41401399999999999</v>
      </c>
      <c r="K234" s="329">
        <v>0.48344300000000001</v>
      </c>
      <c r="L234" s="329">
        <v>0.50485400000000002</v>
      </c>
      <c r="M234" s="329">
        <v>0.458816</v>
      </c>
      <c r="N234" s="329">
        <v>0.45360800000000001</v>
      </c>
      <c r="O234" s="329">
        <v>0.53650900000000001</v>
      </c>
      <c r="P234" s="329">
        <v>0.43534899999999999</v>
      </c>
      <c r="Q234" s="329">
        <v>0.47858200000000001</v>
      </c>
      <c r="R234" s="329">
        <v>0.42017100000000002</v>
      </c>
      <c r="S234" s="329">
        <v>0.40109299999999998</v>
      </c>
      <c r="T234" s="329">
        <v>0.42416799999999999</v>
      </c>
      <c r="U234" s="329">
        <v>0.42035699999999998</v>
      </c>
      <c r="V234" s="329">
        <v>0.40239599999999998</v>
      </c>
      <c r="W234" s="329">
        <v>0.29957699999999998</v>
      </c>
      <c r="X234" s="329">
        <v>0.45147999999999999</v>
      </c>
      <c r="Y234" s="329">
        <v>0.45204499999999997</v>
      </c>
      <c r="Z234" s="329">
        <v>0.45474999999999999</v>
      </c>
      <c r="AA234" s="329">
        <v>0.45696399999999998</v>
      </c>
      <c r="AB234" s="329">
        <v>0.35439500000000002</v>
      </c>
      <c r="AC234" s="329">
        <v>0.38617899999999999</v>
      </c>
      <c r="AD234" s="329">
        <v>0.38294499999999998</v>
      </c>
      <c r="AE234" s="52">
        <f>'User Add-in Location'!B240</f>
        <v>0</v>
      </c>
      <c r="AF234" s="52">
        <f>'User Add-in Location'!C240</f>
        <v>0</v>
      </c>
      <c r="AG234" s="329">
        <v>0.30346600000000001</v>
      </c>
      <c r="AH234" s="329">
        <v>0.47412399999999999</v>
      </c>
      <c r="AI234" s="329">
        <v>0.288742</v>
      </c>
      <c r="AJ234" s="329">
        <v>0.49684800000000001</v>
      </c>
      <c r="AK234" s="329">
        <v>0.39090000000000003</v>
      </c>
      <c r="AL234" s="329">
        <v>0.49770799999999998</v>
      </c>
      <c r="AM234" s="329">
        <v>0.39295099999999999</v>
      </c>
      <c r="AN234" s="329">
        <v>0.478912</v>
      </c>
      <c r="AO234" s="329">
        <v>0.43471399999999999</v>
      </c>
      <c r="AP234" s="329">
        <v>0.35886800000000002</v>
      </c>
      <c r="AQ234" s="329">
        <v>0.45135199999999998</v>
      </c>
      <c r="AR234" s="329">
        <v>0.46741199999999999</v>
      </c>
      <c r="AS234" s="324">
        <v>0</v>
      </c>
      <c r="AT234" s="324">
        <v>0</v>
      </c>
      <c r="AU234" s="324">
        <v>0</v>
      </c>
      <c r="AV234" s="324">
        <v>0</v>
      </c>
      <c r="AW234" s="324">
        <v>0</v>
      </c>
      <c r="AX234" s="324">
        <v>0</v>
      </c>
      <c r="AY234" s="324">
        <v>0</v>
      </c>
      <c r="AZ234" s="324">
        <v>0</v>
      </c>
      <c r="BA234" s="329">
        <v>0.45046599999999998</v>
      </c>
      <c r="BB234" s="329">
        <v>0.461254</v>
      </c>
      <c r="BC234" s="329">
        <v>0.376471</v>
      </c>
      <c r="BD234" s="329">
        <v>0.39519399999999999</v>
      </c>
      <c r="BE234" s="329">
        <v>0.44542900000000002</v>
      </c>
      <c r="BF234" s="329">
        <v>0.45389200000000002</v>
      </c>
      <c r="BG234" s="329">
        <v>0.48079899999999998</v>
      </c>
      <c r="BH234" s="329">
        <v>0.256915</v>
      </c>
      <c r="BI234" s="329">
        <v>0.44252900000000001</v>
      </c>
      <c r="BJ234" s="329">
        <v>0.53535699999999997</v>
      </c>
      <c r="BK234" s="329">
        <v>0.45846599999999998</v>
      </c>
      <c r="BL234" s="329">
        <v>0.44175999999999999</v>
      </c>
      <c r="BM234" s="329">
        <v>0.434139</v>
      </c>
    </row>
    <row r="235" spans="3:65">
      <c r="C235" s="329" t="s">
        <v>388</v>
      </c>
      <c r="D235" s="329">
        <v>0.25869999999999999</v>
      </c>
      <c r="E235" s="329">
        <v>0.25306499999999998</v>
      </c>
      <c r="F235" s="329">
        <v>0.32245099999999999</v>
      </c>
      <c r="G235" s="329">
        <v>0.252025</v>
      </c>
      <c r="H235" s="329">
        <v>0.370869</v>
      </c>
      <c r="I235" s="329">
        <v>0.32907199999999998</v>
      </c>
      <c r="J235" s="329">
        <v>0.37573699999999999</v>
      </c>
      <c r="K235" s="329">
        <v>0.271532</v>
      </c>
      <c r="L235" s="329">
        <v>0.29983700000000002</v>
      </c>
      <c r="M235" s="329">
        <v>0.32276899999999997</v>
      </c>
      <c r="N235" s="329">
        <v>0.30403799999999997</v>
      </c>
      <c r="O235" s="329">
        <v>0.23427999999999999</v>
      </c>
      <c r="P235" s="329">
        <v>0.23219100000000001</v>
      </c>
      <c r="Q235" s="329">
        <v>0.31157099999999999</v>
      </c>
      <c r="R235" s="329">
        <v>0.30162600000000001</v>
      </c>
      <c r="S235" s="329">
        <v>0.26658700000000002</v>
      </c>
      <c r="T235" s="329">
        <v>0.26186500000000001</v>
      </c>
      <c r="U235" s="329">
        <v>0.24643499999999999</v>
      </c>
      <c r="V235" s="329">
        <v>0.27565299999999998</v>
      </c>
      <c r="W235" s="329">
        <v>0.281559</v>
      </c>
      <c r="X235" s="329">
        <v>0.39483400000000002</v>
      </c>
      <c r="Y235" s="329">
        <v>0.41747499999999998</v>
      </c>
      <c r="Z235" s="329">
        <v>0.28750599999999998</v>
      </c>
      <c r="AA235" s="329">
        <v>0.32847399999999999</v>
      </c>
      <c r="AB235" s="329">
        <v>0.223305</v>
      </c>
      <c r="AC235" s="329">
        <v>0.25273600000000002</v>
      </c>
      <c r="AD235" s="329">
        <v>0.197823</v>
      </c>
      <c r="AE235" s="52">
        <f>'User Add-in Location'!B241</f>
        <v>0</v>
      </c>
      <c r="AF235" s="52">
        <f>'User Add-in Location'!C241</f>
        <v>0</v>
      </c>
      <c r="AG235" s="329">
        <v>0.235037</v>
      </c>
      <c r="AH235" s="329">
        <v>0.32554899999999998</v>
      </c>
      <c r="AI235" s="329">
        <v>0.34125699999999998</v>
      </c>
      <c r="AJ235" s="329">
        <v>0.35978199999999999</v>
      </c>
      <c r="AK235" s="329">
        <v>0.203599</v>
      </c>
      <c r="AL235" s="329">
        <v>0.33267799999999997</v>
      </c>
      <c r="AM235" s="329">
        <v>0.36593799999999999</v>
      </c>
      <c r="AN235" s="329">
        <v>0.208735</v>
      </c>
      <c r="AO235" s="329">
        <v>0.29081000000000001</v>
      </c>
      <c r="AP235" s="329">
        <v>0.23414299999999999</v>
      </c>
      <c r="AQ235" s="329">
        <v>0.28820499999999999</v>
      </c>
      <c r="AR235" s="329">
        <v>0.30635400000000002</v>
      </c>
      <c r="AS235" s="324">
        <v>0</v>
      </c>
      <c r="AT235" s="324">
        <v>0</v>
      </c>
      <c r="AU235" s="324">
        <v>0</v>
      </c>
      <c r="AV235" s="324">
        <v>0</v>
      </c>
      <c r="AW235" s="324">
        <v>0</v>
      </c>
      <c r="AX235" s="324">
        <v>0</v>
      </c>
      <c r="AY235" s="324">
        <v>0</v>
      </c>
      <c r="AZ235" s="324">
        <v>0</v>
      </c>
      <c r="BA235" s="329">
        <v>0.30680400000000002</v>
      </c>
      <c r="BB235" s="329">
        <v>0.266959</v>
      </c>
      <c r="BC235" s="329">
        <v>0.245277</v>
      </c>
      <c r="BD235" s="329">
        <v>0.28081</v>
      </c>
      <c r="BE235" s="329">
        <v>0.29119099999999998</v>
      </c>
      <c r="BF235" s="329">
        <v>0.30699300000000002</v>
      </c>
      <c r="BG235" s="329">
        <v>0.28043400000000002</v>
      </c>
      <c r="BH235" s="329">
        <v>0.213086</v>
      </c>
      <c r="BI235" s="329">
        <v>0.36389300000000002</v>
      </c>
      <c r="BJ235" s="329">
        <v>0.334339</v>
      </c>
      <c r="BK235" s="329">
        <v>0.241372</v>
      </c>
      <c r="BL235" s="329">
        <v>0.28769899999999998</v>
      </c>
      <c r="BM235" s="329">
        <v>0.16569300000000001</v>
      </c>
    </row>
    <row r="236" spans="3:65">
      <c r="C236" s="329" t="s">
        <v>389</v>
      </c>
      <c r="D236" s="329">
        <v>0.32838299999999998</v>
      </c>
      <c r="E236" s="329">
        <v>0.24535499999999999</v>
      </c>
      <c r="F236" s="329">
        <v>0.28425400000000001</v>
      </c>
      <c r="G236" s="329">
        <v>0.385517</v>
      </c>
      <c r="H236" s="329">
        <v>0.33771899999999999</v>
      </c>
      <c r="I236" s="329">
        <v>0.321911</v>
      </c>
      <c r="J236" s="329">
        <v>0.36532199999999998</v>
      </c>
      <c r="K236" s="329">
        <v>0.256463</v>
      </c>
      <c r="L236" s="329">
        <v>0</v>
      </c>
      <c r="M236" s="329">
        <v>0.310776</v>
      </c>
      <c r="N236" s="329">
        <v>0.32432899999999998</v>
      </c>
      <c r="O236" s="329">
        <v>0.27898099999999998</v>
      </c>
      <c r="P236" s="329">
        <v>0.27554699999999999</v>
      </c>
      <c r="Q236" s="329">
        <v>0.34340399999999999</v>
      </c>
      <c r="R236" s="329">
        <v>0.359315</v>
      </c>
      <c r="S236" s="329">
        <v>0.28852499999999998</v>
      </c>
      <c r="T236" s="329">
        <v>0.31920599999999999</v>
      </c>
      <c r="U236" s="329">
        <v>0.30618200000000001</v>
      </c>
      <c r="V236" s="329">
        <v>0.29418800000000001</v>
      </c>
      <c r="W236" s="329">
        <v>0.3407</v>
      </c>
      <c r="X236" s="329">
        <v>0.303452</v>
      </c>
      <c r="Y236" s="329">
        <v>0.41787999999999997</v>
      </c>
      <c r="Z236" s="329">
        <v>0.32476500000000003</v>
      </c>
      <c r="AA236" s="329">
        <v>0.32638899999999998</v>
      </c>
      <c r="AB236" s="329">
        <v>0.27287600000000001</v>
      </c>
      <c r="AC236" s="329">
        <v>0.30813699999999999</v>
      </c>
      <c r="AD236" s="329">
        <v>0.25370700000000002</v>
      </c>
      <c r="AE236" s="52">
        <f>'User Add-in Location'!B242</f>
        <v>0</v>
      </c>
      <c r="AF236" s="52">
        <f>'User Add-in Location'!C242</f>
        <v>0</v>
      </c>
      <c r="AG236" s="329">
        <v>0.324876</v>
      </c>
      <c r="AH236" s="329">
        <v>0.361265</v>
      </c>
      <c r="AI236" s="329">
        <v>0.33604699999999998</v>
      </c>
      <c r="AJ236" s="329">
        <v>0.33602399999999999</v>
      </c>
      <c r="AK236" s="329">
        <v>0.238228</v>
      </c>
      <c r="AL236" s="329">
        <v>0.34664899999999998</v>
      </c>
      <c r="AM236" s="329">
        <v>0.308257</v>
      </c>
      <c r="AN236" s="329">
        <v>0.293873</v>
      </c>
      <c r="AO236" s="329">
        <v>0.318436</v>
      </c>
      <c r="AP236" s="329">
        <v>0.32997399999999999</v>
      </c>
      <c r="AQ236" s="329">
        <v>0.34257599999999999</v>
      </c>
      <c r="AR236" s="329">
        <v>0.31688100000000002</v>
      </c>
      <c r="AS236" s="324">
        <v>0</v>
      </c>
      <c r="AT236" s="324">
        <v>0</v>
      </c>
      <c r="AU236" s="324">
        <v>0</v>
      </c>
      <c r="AV236" s="324">
        <v>0</v>
      </c>
      <c r="AW236" s="324">
        <v>0</v>
      </c>
      <c r="AX236" s="324">
        <v>0</v>
      </c>
      <c r="AY236" s="324">
        <v>0</v>
      </c>
      <c r="AZ236" s="324">
        <v>0</v>
      </c>
      <c r="BA236" s="329">
        <v>0.222054</v>
      </c>
      <c r="BB236" s="329">
        <v>0.34084399999999998</v>
      </c>
      <c r="BC236" s="329">
        <v>0.31837799999999999</v>
      </c>
      <c r="BD236" s="329">
        <v>0.34834999999999999</v>
      </c>
      <c r="BE236" s="329">
        <v>0.33031899999999997</v>
      </c>
      <c r="BF236" s="329">
        <v>0.32968799999999998</v>
      </c>
      <c r="BG236" s="329">
        <v>0.321662</v>
      </c>
      <c r="BH236" s="329">
        <v>0.29459200000000002</v>
      </c>
      <c r="BI236" s="329">
        <v>0.418159</v>
      </c>
      <c r="BJ236" s="329">
        <v>0.33296399999999998</v>
      </c>
      <c r="BK236" s="329">
        <v>0.26266600000000001</v>
      </c>
      <c r="BL236" s="329">
        <v>0.329129</v>
      </c>
      <c r="BM236" s="329">
        <v>0.291468</v>
      </c>
    </row>
    <row r="237" spans="3:65">
      <c r="C237" s="329" t="s">
        <v>390</v>
      </c>
      <c r="D237" s="329">
        <v>0.29133799999999999</v>
      </c>
      <c r="E237" s="329">
        <v>0.32999899999999999</v>
      </c>
      <c r="F237" s="329">
        <v>0.31259799999999999</v>
      </c>
      <c r="G237" s="329">
        <v>0.33309800000000001</v>
      </c>
      <c r="H237" s="329">
        <v>0.40434900000000001</v>
      </c>
      <c r="I237" s="329">
        <v>0.26193499999999997</v>
      </c>
      <c r="J237" s="329">
        <v>0.38006800000000002</v>
      </c>
      <c r="K237" s="329">
        <v>0.41190599999999999</v>
      </c>
      <c r="L237" s="329">
        <v>0</v>
      </c>
      <c r="M237" s="329">
        <v>0.26114500000000002</v>
      </c>
      <c r="N237" s="329">
        <v>0.37979600000000002</v>
      </c>
      <c r="O237" s="329">
        <v>0</v>
      </c>
      <c r="P237" s="329">
        <v>0.27177800000000002</v>
      </c>
      <c r="Q237" s="329">
        <v>0.40650199999999997</v>
      </c>
      <c r="R237" s="329">
        <v>0.35255799999999998</v>
      </c>
      <c r="S237" s="329">
        <v>0.31839800000000001</v>
      </c>
      <c r="T237" s="329">
        <v>0.35717100000000002</v>
      </c>
      <c r="U237" s="329">
        <v>0.35253400000000001</v>
      </c>
      <c r="V237" s="329">
        <v>0.33891500000000002</v>
      </c>
      <c r="W237" s="329">
        <v>0.25934000000000001</v>
      </c>
      <c r="X237" s="329">
        <v>0.36280800000000002</v>
      </c>
      <c r="Y237" s="329">
        <v>0.402339</v>
      </c>
      <c r="Z237" s="329">
        <v>0.39398300000000003</v>
      </c>
      <c r="AA237" s="329">
        <v>0.418514</v>
      </c>
      <c r="AB237" s="329">
        <v>0.31961600000000001</v>
      </c>
      <c r="AC237" s="329">
        <v>0.31620399999999999</v>
      </c>
      <c r="AD237" s="329">
        <v>0.24151</v>
      </c>
      <c r="AE237" s="52">
        <f>'User Add-in Location'!B243</f>
        <v>0</v>
      </c>
      <c r="AF237" s="52">
        <f>'User Add-in Location'!C243</f>
        <v>0</v>
      </c>
      <c r="AG237" s="329">
        <v>0.33018199999999998</v>
      </c>
      <c r="AH237" s="329">
        <v>0.352381</v>
      </c>
      <c r="AI237" s="329">
        <v>0.42402600000000001</v>
      </c>
      <c r="AJ237" s="329">
        <v>0.40459800000000001</v>
      </c>
      <c r="AK237" s="329">
        <v>0.262604</v>
      </c>
      <c r="AL237" s="329">
        <v>0.39525500000000002</v>
      </c>
      <c r="AM237" s="329">
        <v>0.35345599999999999</v>
      </c>
      <c r="AN237" s="329">
        <v>0.26758599999999999</v>
      </c>
      <c r="AO237" s="329">
        <v>0.37531100000000001</v>
      </c>
      <c r="AP237" s="329">
        <v>0.38817800000000002</v>
      </c>
      <c r="AQ237" s="329">
        <v>0.382519</v>
      </c>
      <c r="AR237" s="329">
        <v>0.36773699999999998</v>
      </c>
      <c r="AS237" s="324">
        <v>0</v>
      </c>
      <c r="AT237" s="324">
        <v>0</v>
      </c>
      <c r="AU237" s="324">
        <v>0</v>
      </c>
      <c r="AV237" s="324">
        <v>0</v>
      </c>
      <c r="AW237" s="324">
        <v>0</v>
      </c>
      <c r="AX237" s="324">
        <v>0</v>
      </c>
      <c r="AY237" s="324">
        <v>0</v>
      </c>
      <c r="AZ237" s="324">
        <v>0</v>
      </c>
      <c r="BA237" s="329">
        <v>0.40904200000000002</v>
      </c>
      <c r="BB237" s="329">
        <v>0.37637100000000001</v>
      </c>
      <c r="BC237" s="329">
        <v>0.238788</v>
      </c>
      <c r="BD237" s="329">
        <v>0.36774000000000001</v>
      </c>
      <c r="BE237" s="329">
        <v>0.386075</v>
      </c>
      <c r="BF237" s="329">
        <v>0.36979600000000001</v>
      </c>
      <c r="BG237" s="329">
        <v>0.38194299999999998</v>
      </c>
      <c r="BH237" s="329">
        <v>0.40688299999999999</v>
      </c>
      <c r="BI237" s="329">
        <v>0.34634100000000001</v>
      </c>
      <c r="BJ237" s="329">
        <v>0.33815800000000001</v>
      </c>
      <c r="BK237" s="329">
        <v>0.27626499999999998</v>
      </c>
      <c r="BL237" s="329">
        <v>0.39322299999999999</v>
      </c>
      <c r="BM237" s="329">
        <v>0.27524900000000002</v>
      </c>
    </row>
    <row r="238" spans="3:65">
      <c r="C238" s="329" t="s">
        <v>391</v>
      </c>
      <c r="D238" s="329">
        <v>0.33032499999999998</v>
      </c>
      <c r="E238" s="329">
        <v>0.10285</v>
      </c>
      <c r="F238" s="329">
        <v>0.40010800000000002</v>
      </c>
      <c r="G238" s="329">
        <v>0.27842800000000001</v>
      </c>
      <c r="H238" s="329">
        <v>0.40492899999999998</v>
      </c>
      <c r="I238" s="329">
        <v>0.396347</v>
      </c>
      <c r="J238" s="329">
        <v>0.37346600000000002</v>
      </c>
      <c r="K238" s="329">
        <v>0.45264199999999999</v>
      </c>
      <c r="L238" s="329">
        <v>0.195461</v>
      </c>
      <c r="M238" s="329">
        <v>0.30477700000000002</v>
      </c>
      <c r="N238" s="329">
        <v>0.43613499999999999</v>
      </c>
      <c r="O238" s="329">
        <v>0</v>
      </c>
      <c r="P238" s="329">
        <v>0.31933600000000001</v>
      </c>
      <c r="Q238" s="329">
        <v>0.41373799999999999</v>
      </c>
      <c r="R238" s="329">
        <v>0.29934699999999997</v>
      </c>
      <c r="S238" s="329">
        <v>0.33608900000000003</v>
      </c>
      <c r="T238" s="329">
        <v>0.349777</v>
      </c>
      <c r="U238" s="329">
        <v>0.31143599999999999</v>
      </c>
      <c r="V238" s="329">
        <v>0.319629</v>
      </c>
      <c r="W238" s="329">
        <v>0.26106299999999999</v>
      </c>
      <c r="X238" s="329">
        <v>0.26307900000000001</v>
      </c>
      <c r="Y238" s="329">
        <v>0.46946100000000002</v>
      </c>
      <c r="Z238" s="329">
        <v>0.338173</v>
      </c>
      <c r="AA238" s="329">
        <v>0.39674300000000001</v>
      </c>
      <c r="AB238" s="329">
        <v>0.30534899999999998</v>
      </c>
      <c r="AC238" s="329">
        <v>0.397117</v>
      </c>
      <c r="AD238" s="329">
        <v>0.27314699999999997</v>
      </c>
      <c r="AE238" s="52">
        <f>'User Add-in Location'!B244</f>
        <v>0</v>
      </c>
      <c r="AF238" s="52">
        <f>'User Add-in Location'!C244</f>
        <v>0</v>
      </c>
      <c r="AG238" s="329">
        <v>0.447575</v>
      </c>
      <c r="AH238" s="329">
        <v>0.334617</v>
      </c>
      <c r="AI238" s="329">
        <v>0.47648400000000002</v>
      </c>
      <c r="AJ238" s="329">
        <v>0.41258400000000001</v>
      </c>
      <c r="AK238" s="329">
        <v>0.314807</v>
      </c>
      <c r="AL238" s="329">
        <v>0.34845599999999999</v>
      </c>
      <c r="AM238" s="329">
        <v>0.427541</v>
      </c>
      <c r="AN238" s="329">
        <v>0.25812400000000002</v>
      </c>
      <c r="AO238" s="329">
        <v>0.39025100000000001</v>
      </c>
      <c r="AP238" s="329">
        <v>0.35140100000000002</v>
      </c>
      <c r="AQ238" s="329">
        <v>0.40884700000000002</v>
      </c>
      <c r="AR238" s="329">
        <v>0.39377600000000001</v>
      </c>
      <c r="AS238" s="324">
        <v>0</v>
      </c>
      <c r="AT238" s="324">
        <v>0</v>
      </c>
      <c r="AU238" s="324">
        <v>0</v>
      </c>
      <c r="AV238" s="324">
        <v>0</v>
      </c>
      <c r="AW238" s="324">
        <v>0</v>
      </c>
      <c r="AX238" s="324">
        <v>0</v>
      </c>
      <c r="AY238" s="324">
        <v>0</v>
      </c>
      <c r="AZ238" s="324">
        <v>0</v>
      </c>
      <c r="BA238" s="329">
        <v>0.439805</v>
      </c>
      <c r="BB238" s="329">
        <v>0.43112099999999998</v>
      </c>
      <c r="BC238" s="329">
        <v>0.325712</v>
      </c>
      <c r="BD238" s="329">
        <v>0.417265</v>
      </c>
      <c r="BE238" s="329">
        <v>0.34322399999999997</v>
      </c>
      <c r="BF238" s="329">
        <v>0.38623499999999999</v>
      </c>
      <c r="BG238" s="329">
        <v>0.350576</v>
      </c>
      <c r="BH238" s="329">
        <v>0.32602199999999998</v>
      </c>
      <c r="BI238" s="329">
        <v>0.33906700000000001</v>
      </c>
      <c r="BJ238" s="329">
        <v>0.337505</v>
      </c>
      <c r="BK238" s="329">
        <v>0.288769</v>
      </c>
      <c r="BL238" s="329">
        <v>0.42563000000000001</v>
      </c>
      <c r="BM238" s="329">
        <v>0.28110499999999999</v>
      </c>
    </row>
    <row r="239" spans="3:65">
      <c r="C239" s="329" t="s">
        <v>392</v>
      </c>
      <c r="D239" s="329">
        <v>0.27086500000000002</v>
      </c>
      <c r="E239" s="329">
        <v>0</v>
      </c>
      <c r="F239" s="329">
        <v>0.35793199999999997</v>
      </c>
      <c r="G239" s="329">
        <v>0.31737700000000002</v>
      </c>
      <c r="H239" s="329">
        <v>0.37045600000000001</v>
      </c>
      <c r="I239" s="329">
        <v>0.45010099999999997</v>
      </c>
      <c r="J239" s="329">
        <v>0.34717599999999998</v>
      </c>
      <c r="K239" s="329">
        <v>0.37270399999999998</v>
      </c>
      <c r="L239" s="329">
        <v>0</v>
      </c>
      <c r="M239" s="329">
        <v>0.35054600000000002</v>
      </c>
      <c r="N239" s="329">
        <v>0.40694999999999998</v>
      </c>
      <c r="O239" s="329">
        <v>0</v>
      </c>
      <c r="P239" s="329">
        <v>0</v>
      </c>
      <c r="Q239" s="329">
        <v>0.41244700000000001</v>
      </c>
      <c r="R239" s="329">
        <v>0.34763699999999997</v>
      </c>
      <c r="S239" s="329">
        <v>0.33399099999999998</v>
      </c>
      <c r="T239" s="329">
        <v>0.384274</v>
      </c>
      <c r="U239" s="329">
        <v>0.29600900000000002</v>
      </c>
      <c r="V239" s="329">
        <v>0.37039</v>
      </c>
      <c r="W239" s="329">
        <v>0</v>
      </c>
      <c r="X239" s="329">
        <v>0.34278999999999998</v>
      </c>
      <c r="Y239" s="329">
        <v>0.376054</v>
      </c>
      <c r="Z239" s="329">
        <v>0.39507399999999998</v>
      </c>
      <c r="AA239" s="329">
        <v>0.28204600000000002</v>
      </c>
      <c r="AB239" s="329">
        <v>0.30330400000000002</v>
      </c>
      <c r="AC239" s="329">
        <v>0.37090499999999998</v>
      </c>
      <c r="AD239" s="329">
        <v>0</v>
      </c>
      <c r="AE239" s="52">
        <f>'User Add-in Location'!B245</f>
        <v>0</v>
      </c>
      <c r="AF239" s="52">
        <f>'User Add-in Location'!C245</f>
        <v>0</v>
      </c>
      <c r="AG239" s="329">
        <v>0</v>
      </c>
      <c r="AH239" s="329">
        <v>0.31902000000000003</v>
      </c>
      <c r="AI239" s="329">
        <v>0</v>
      </c>
      <c r="AJ239" s="329">
        <v>0.39565899999999998</v>
      </c>
      <c r="AK239" s="329">
        <v>0</v>
      </c>
      <c r="AL239" s="329">
        <v>0.33730399999999999</v>
      </c>
      <c r="AM239" s="329">
        <v>0.44311699999999998</v>
      </c>
      <c r="AN239" s="329">
        <v>0</v>
      </c>
      <c r="AO239" s="329">
        <v>0.393289</v>
      </c>
      <c r="AP239" s="329">
        <v>0.29933999999999999</v>
      </c>
      <c r="AQ239" s="329">
        <v>0.415134</v>
      </c>
      <c r="AR239" s="329">
        <v>0.36332300000000001</v>
      </c>
      <c r="AS239" s="324">
        <v>0</v>
      </c>
      <c r="AT239" s="324">
        <v>0</v>
      </c>
      <c r="AU239" s="324">
        <v>0</v>
      </c>
      <c r="AV239" s="324">
        <v>0</v>
      </c>
      <c r="AW239" s="324">
        <v>0</v>
      </c>
      <c r="AX239" s="324">
        <v>0</v>
      </c>
      <c r="AY239" s="324">
        <v>0</v>
      </c>
      <c r="AZ239" s="324">
        <v>0</v>
      </c>
      <c r="BA239" s="329">
        <v>0.39963300000000002</v>
      </c>
      <c r="BB239" s="329">
        <v>0.44984600000000002</v>
      </c>
      <c r="BC239" s="329">
        <v>0</v>
      </c>
      <c r="BD239" s="329">
        <v>0.47121099999999999</v>
      </c>
      <c r="BE239" s="329">
        <v>0.33573500000000001</v>
      </c>
      <c r="BF239" s="329">
        <v>0.36960999999999999</v>
      </c>
      <c r="BG239" s="329">
        <v>0.352993</v>
      </c>
      <c r="BH239" s="329">
        <v>0</v>
      </c>
      <c r="BI239" s="329">
        <v>0.34530499999999997</v>
      </c>
      <c r="BJ239" s="329">
        <v>0.211978</v>
      </c>
      <c r="BK239" s="329">
        <v>0.32075900000000002</v>
      </c>
      <c r="BL239" s="329">
        <v>0.39954699999999999</v>
      </c>
      <c r="BM239" s="329">
        <v>0</v>
      </c>
    </row>
    <row r="240" spans="3:65">
      <c r="C240" s="329" t="s">
        <v>393</v>
      </c>
      <c r="D240" s="329">
        <v>0.18466399999999999</v>
      </c>
      <c r="E240" s="329">
        <v>0</v>
      </c>
      <c r="F240" s="329">
        <v>0.285223</v>
      </c>
      <c r="G240" s="329">
        <v>0.23666100000000001</v>
      </c>
      <c r="H240" s="329">
        <v>0.243058</v>
      </c>
      <c r="I240" s="329">
        <v>0.33329199999999998</v>
      </c>
      <c r="J240" s="329">
        <v>0.25690600000000002</v>
      </c>
      <c r="K240" s="329">
        <v>0</v>
      </c>
      <c r="L240" s="329">
        <v>-0.24943899999999999</v>
      </c>
      <c r="M240" s="329">
        <v>0.22474</v>
      </c>
      <c r="N240" s="329">
        <v>0.26511800000000002</v>
      </c>
      <c r="O240" s="329">
        <v>0</v>
      </c>
      <c r="P240" s="329">
        <v>0.228351</v>
      </c>
      <c r="Q240" s="329">
        <v>0.31803399999999998</v>
      </c>
      <c r="R240" s="329">
        <v>0.23128899999999999</v>
      </c>
      <c r="S240" s="329">
        <v>0</v>
      </c>
      <c r="T240" s="329">
        <v>0.22576099999999999</v>
      </c>
      <c r="U240" s="329">
        <v>0.19389300000000001</v>
      </c>
      <c r="V240" s="329">
        <v>0.26546500000000001</v>
      </c>
      <c r="W240" s="329">
        <v>0.18368899999999999</v>
      </c>
      <c r="X240" s="329">
        <v>0.26238</v>
      </c>
      <c r="Y240" s="329">
        <v>0.29958200000000001</v>
      </c>
      <c r="Z240" s="329">
        <v>0.19683</v>
      </c>
      <c r="AA240" s="329">
        <v>0.27479700000000001</v>
      </c>
      <c r="AB240" s="329">
        <v>0.22855300000000001</v>
      </c>
      <c r="AC240" s="329">
        <v>0</v>
      </c>
      <c r="AD240" s="329">
        <v>0.18679499999999999</v>
      </c>
      <c r="AE240" s="52">
        <f>'User Add-in Location'!B246</f>
        <v>0</v>
      </c>
      <c r="AF240" s="52">
        <f>'User Add-in Location'!C246</f>
        <v>0</v>
      </c>
      <c r="AG240" s="329">
        <v>0.38226700000000002</v>
      </c>
      <c r="AH240" s="329">
        <v>0.235872</v>
      </c>
      <c r="AI240" s="329">
        <v>0.32560299999999998</v>
      </c>
      <c r="AJ240" s="329">
        <v>0.30564999999999998</v>
      </c>
      <c r="AK240" s="329">
        <v>0.29408699999999999</v>
      </c>
      <c r="AL240" s="329">
        <v>0.22107299999999999</v>
      </c>
      <c r="AM240" s="329">
        <v>0.33168700000000001</v>
      </c>
      <c r="AN240" s="329">
        <v>0.15940399999999999</v>
      </c>
      <c r="AO240" s="329">
        <v>0.271671</v>
      </c>
      <c r="AP240" s="329">
        <v>0</v>
      </c>
      <c r="AQ240" s="329">
        <v>0</v>
      </c>
      <c r="AR240" s="329">
        <v>0.223825</v>
      </c>
      <c r="AS240" s="324">
        <v>0</v>
      </c>
      <c r="AT240" s="324">
        <v>0</v>
      </c>
      <c r="AU240" s="324">
        <v>0</v>
      </c>
      <c r="AV240" s="324">
        <v>0</v>
      </c>
      <c r="AW240" s="324">
        <v>0</v>
      </c>
      <c r="AX240" s="324">
        <v>0</v>
      </c>
      <c r="AY240" s="324">
        <v>0</v>
      </c>
      <c r="AZ240" s="324">
        <v>0</v>
      </c>
      <c r="BA240" s="329">
        <v>0.24908</v>
      </c>
      <c r="BB240" s="329">
        <v>0.33478000000000002</v>
      </c>
      <c r="BC240" s="329">
        <v>0</v>
      </c>
      <c r="BD240" s="329">
        <v>0.24068800000000001</v>
      </c>
      <c r="BE240" s="329">
        <v>0.25974999999999998</v>
      </c>
      <c r="BF240" s="329">
        <v>0.26454</v>
      </c>
      <c r="BG240" s="329">
        <v>0.217249</v>
      </c>
      <c r="BH240" s="329">
        <v>0.25294699999999998</v>
      </c>
      <c r="BI240" s="329">
        <v>0.23678099999999999</v>
      </c>
      <c r="BJ240" s="329">
        <v>0.196572</v>
      </c>
      <c r="BK240" s="329">
        <v>0.23651800000000001</v>
      </c>
      <c r="BL240" s="329">
        <v>0.23817099999999999</v>
      </c>
      <c r="BM240" s="329">
        <v>0.145314</v>
      </c>
    </row>
    <row r="241" spans="3:65">
      <c r="C241" s="329" t="s">
        <v>394</v>
      </c>
      <c r="D241" s="329">
        <v>0.58950000000000002</v>
      </c>
      <c r="E241" s="329">
        <v>0.60658699999999999</v>
      </c>
      <c r="F241" s="329">
        <v>0.55735299999999999</v>
      </c>
      <c r="G241" s="329">
        <v>0.59760199999999997</v>
      </c>
      <c r="H241" s="329">
        <v>0.61146999999999996</v>
      </c>
      <c r="I241" s="329">
        <v>0.56212799999999996</v>
      </c>
      <c r="J241" s="329">
        <v>0.62646500000000005</v>
      </c>
      <c r="K241" s="329">
        <v>0.55367999999999995</v>
      </c>
      <c r="L241" s="329">
        <v>0.67106399999999999</v>
      </c>
      <c r="M241" s="329">
        <v>0.58335499999999996</v>
      </c>
      <c r="N241" s="329">
        <v>0.62163100000000004</v>
      </c>
      <c r="O241" s="329">
        <v>0.50863599999999998</v>
      </c>
      <c r="P241" s="329">
        <v>0.54781299999999999</v>
      </c>
      <c r="Q241" s="329">
        <v>0.62087899999999996</v>
      </c>
      <c r="R241" s="329">
        <v>0.54476199999999997</v>
      </c>
      <c r="S241" s="329">
        <v>0.54416799999999999</v>
      </c>
      <c r="T241" s="329">
        <v>0.56539700000000004</v>
      </c>
      <c r="U241" s="329">
        <v>0.58133500000000005</v>
      </c>
      <c r="V241" s="329">
        <v>0.58716900000000005</v>
      </c>
      <c r="W241" s="329">
        <v>0.54314399999999996</v>
      </c>
      <c r="X241" s="329">
        <v>0.60641</v>
      </c>
      <c r="Y241" s="329">
        <v>0.60384499999999997</v>
      </c>
      <c r="Z241" s="329">
        <v>0.57533599999999996</v>
      </c>
      <c r="AA241" s="329">
        <v>0.59087900000000004</v>
      </c>
      <c r="AB241" s="329">
        <v>0.54016500000000001</v>
      </c>
      <c r="AC241" s="329">
        <v>0.55888800000000005</v>
      </c>
      <c r="AD241" s="329">
        <v>0.52761000000000002</v>
      </c>
      <c r="AE241" s="52">
        <f>'User Add-in Location'!B247</f>
        <v>0</v>
      </c>
      <c r="AF241" s="52">
        <f>'User Add-in Location'!C247</f>
        <v>0</v>
      </c>
      <c r="AG241" s="329">
        <v>0.57682999999999995</v>
      </c>
      <c r="AH241" s="329">
        <v>0.56698000000000004</v>
      </c>
      <c r="AI241" s="329">
        <v>0.62633099999999997</v>
      </c>
      <c r="AJ241" s="329">
        <v>0.61254200000000003</v>
      </c>
      <c r="AK241" s="329">
        <v>0.50783800000000001</v>
      </c>
      <c r="AL241" s="329">
        <v>0.60101400000000005</v>
      </c>
      <c r="AM241" s="329">
        <v>0.56651399999999996</v>
      </c>
      <c r="AN241" s="329">
        <v>0.56639099999999998</v>
      </c>
      <c r="AO241" s="329">
        <v>0.55986599999999997</v>
      </c>
      <c r="AP241" s="329">
        <v>0.54844000000000004</v>
      </c>
      <c r="AQ241" s="329">
        <v>0.55648600000000004</v>
      </c>
      <c r="AR241" s="329">
        <v>0.60988699999999996</v>
      </c>
      <c r="AS241" s="324">
        <v>0</v>
      </c>
      <c r="AT241" s="324">
        <v>0</v>
      </c>
      <c r="AU241" s="324">
        <v>0</v>
      </c>
      <c r="AV241" s="324">
        <v>0</v>
      </c>
      <c r="AW241" s="324">
        <v>0</v>
      </c>
      <c r="AX241" s="324">
        <v>0</v>
      </c>
      <c r="AY241" s="324">
        <v>0</v>
      </c>
      <c r="AZ241" s="324">
        <v>0</v>
      </c>
      <c r="BA241" s="329">
        <v>0.60720099999999999</v>
      </c>
      <c r="BB241" s="329">
        <v>0.60802199999999995</v>
      </c>
      <c r="BC241" s="329">
        <v>0.53342299999999998</v>
      </c>
      <c r="BD241" s="329">
        <v>0.56872999999999996</v>
      </c>
      <c r="BE241" s="329">
        <v>0.60306800000000005</v>
      </c>
      <c r="BF241" s="329">
        <v>0.59214199999999995</v>
      </c>
      <c r="BG241" s="329">
        <v>0.54170099999999999</v>
      </c>
      <c r="BH241" s="329">
        <v>0.53086100000000003</v>
      </c>
      <c r="BI241" s="329">
        <v>0.61866600000000005</v>
      </c>
      <c r="BJ241" s="329">
        <v>0.64493400000000001</v>
      </c>
      <c r="BK241" s="329">
        <v>0.58237000000000005</v>
      </c>
      <c r="BL241" s="329">
        <v>0.54111900000000002</v>
      </c>
      <c r="BM241" s="329">
        <v>0.54669500000000004</v>
      </c>
    </row>
    <row r="242" spans="3:65">
      <c r="C242" s="329" t="s">
        <v>395</v>
      </c>
      <c r="D242" s="329">
        <v>0.57572199999999996</v>
      </c>
      <c r="E242" s="329">
        <v>0.57797299999999996</v>
      </c>
      <c r="F242" s="329">
        <v>0.61562799999999995</v>
      </c>
      <c r="G242" s="329">
        <v>0.57467800000000002</v>
      </c>
      <c r="H242" s="329">
        <v>0.65754800000000002</v>
      </c>
      <c r="I242" s="329">
        <v>0.60037099999999999</v>
      </c>
      <c r="J242" s="329">
        <v>0.63959900000000003</v>
      </c>
      <c r="K242" s="329">
        <v>0.54389500000000002</v>
      </c>
      <c r="L242" s="329">
        <v>0.67524300000000004</v>
      </c>
      <c r="M242" s="329">
        <v>0.60414699999999999</v>
      </c>
      <c r="N242" s="329">
        <v>0.58377400000000002</v>
      </c>
      <c r="O242" s="329">
        <v>0.63387899999999997</v>
      </c>
      <c r="P242" s="329">
        <v>0.57240800000000003</v>
      </c>
      <c r="Q242" s="329">
        <v>0.62128399999999995</v>
      </c>
      <c r="R242" s="329">
        <v>0.570075</v>
      </c>
      <c r="S242" s="329">
        <v>0.52748899999999999</v>
      </c>
      <c r="T242" s="329">
        <v>0.58056600000000003</v>
      </c>
      <c r="U242" s="329">
        <v>0.55532099999999995</v>
      </c>
      <c r="V242" s="329">
        <v>0.60813799999999996</v>
      </c>
      <c r="W242" s="329">
        <v>0.57752499999999996</v>
      </c>
      <c r="X242" s="329">
        <v>0.60749799999999998</v>
      </c>
      <c r="Y242" s="329">
        <v>0.59900900000000001</v>
      </c>
      <c r="Z242" s="329">
        <v>0.588453</v>
      </c>
      <c r="AA242" s="329">
        <v>0.58327899999999999</v>
      </c>
      <c r="AB242" s="329">
        <v>0.57676099999999997</v>
      </c>
      <c r="AC242" s="329">
        <v>0.55910700000000002</v>
      </c>
      <c r="AD242" s="329">
        <v>0.52585199999999999</v>
      </c>
      <c r="AE242" s="52">
        <f>'User Add-in Location'!B248</f>
        <v>0</v>
      </c>
      <c r="AF242" s="52">
        <f>'User Add-in Location'!C248</f>
        <v>0</v>
      </c>
      <c r="AG242" s="329">
        <v>0.54476000000000002</v>
      </c>
      <c r="AH242" s="329">
        <v>0.62531400000000004</v>
      </c>
      <c r="AI242" s="329">
        <v>0.57238</v>
      </c>
      <c r="AJ242" s="329">
        <v>0.645007</v>
      </c>
      <c r="AK242" s="329">
        <v>0.57330499999999995</v>
      </c>
      <c r="AL242" s="329">
        <v>0.64758199999999999</v>
      </c>
      <c r="AM242" s="329">
        <v>0.557925</v>
      </c>
      <c r="AN242" s="329">
        <v>0.54288499999999995</v>
      </c>
      <c r="AO242" s="329">
        <v>0.59120099999999998</v>
      </c>
      <c r="AP242" s="329">
        <v>0.548184</v>
      </c>
      <c r="AQ242" s="329">
        <v>0.55559199999999997</v>
      </c>
      <c r="AR242" s="329">
        <v>0.57574599999999998</v>
      </c>
      <c r="AS242" s="324">
        <v>0</v>
      </c>
      <c r="AT242" s="324">
        <v>0</v>
      </c>
      <c r="AU242" s="324">
        <v>0</v>
      </c>
      <c r="AV242" s="324">
        <v>0</v>
      </c>
      <c r="AW242" s="324">
        <v>0</v>
      </c>
      <c r="AX242" s="324">
        <v>0</v>
      </c>
      <c r="AY242" s="324">
        <v>0</v>
      </c>
      <c r="AZ242" s="324">
        <v>0</v>
      </c>
      <c r="BA242" s="329">
        <v>0.61169099999999998</v>
      </c>
      <c r="BB242" s="329">
        <v>0.57242499999999996</v>
      </c>
      <c r="BC242" s="329">
        <v>0.55528200000000005</v>
      </c>
      <c r="BD242" s="329">
        <v>0.603437</v>
      </c>
      <c r="BE242" s="329">
        <v>0.59222699999999995</v>
      </c>
      <c r="BF242" s="329">
        <v>0.60711499999999996</v>
      </c>
      <c r="BG242" s="329">
        <v>0.57917700000000005</v>
      </c>
      <c r="BH242" s="329">
        <v>0.58057099999999995</v>
      </c>
      <c r="BI242" s="329">
        <v>0.58099599999999996</v>
      </c>
      <c r="BJ242" s="329">
        <v>0.72479499999999997</v>
      </c>
      <c r="BK242" s="329">
        <v>0.56747300000000001</v>
      </c>
      <c r="BL242" s="329">
        <v>0.555979</v>
      </c>
      <c r="BM242" s="329">
        <v>0.56291800000000003</v>
      </c>
    </row>
    <row r="243" spans="3:65">
      <c r="C243" s="329" t="s">
        <v>396</v>
      </c>
      <c r="D243" s="329">
        <v>0.42488799999999999</v>
      </c>
      <c r="E243" s="329">
        <v>0.65628799999999998</v>
      </c>
      <c r="F243" s="329">
        <v>0.52165600000000001</v>
      </c>
      <c r="G243" s="329">
        <v>0.45437499999999997</v>
      </c>
      <c r="H243" s="329">
        <v>0.55311500000000002</v>
      </c>
      <c r="I243" s="329">
        <v>0.55938100000000002</v>
      </c>
      <c r="J243" s="329">
        <v>0.56801100000000004</v>
      </c>
      <c r="K243" s="329">
        <v>0.43496099999999999</v>
      </c>
      <c r="L243" s="329">
        <v>0.45480700000000002</v>
      </c>
      <c r="M243" s="329">
        <v>0.49538199999999999</v>
      </c>
      <c r="N243" s="329">
        <v>0.51203699999999996</v>
      </c>
      <c r="O243" s="329">
        <v>0.51139599999999996</v>
      </c>
      <c r="P243" s="329">
        <v>0.45335599999999998</v>
      </c>
      <c r="Q243" s="329">
        <v>0.50902800000000004</v>
      </c>
      <c r="R243" s="329">
        <v>0.46266099999999999</v>
      </c>
      <c r="S243" s="329">
        <v>0.481298</v>
      </c>
      <c r="T243" s="329">
        <v>0.50595599999999996</v>
      </c>
      <c r="U243" s="329">
        <v>0.43827899999999997</v>
      </c>
      <c r="V243" s="329">
        <v>0.42579299999999998</v>
      </c>
      <c r="W243" s="329">
        <v>0.47602699999999998</v>
      </c>
      <c r="X243" s="329">
        <v>0.50654100000000002</v>
      </c>
      <c r="Y243" s="329">
        <v>0.49806</v>
      </c>
      <c r="Z243" s="329">
        <v>0.45955099999999999</v>
      </c>
      <c r="AA243" s="329">
        <v>0.480437</v>
      </c>
      <c r="AB243" s="329">
        <v>0.413188</v>
      </c>
      <c r="AC243" s="329">
        <v>0.47644199999999998</v>
      </c>
      <c r="AD243" s="329">
        <v>0.46407900000000002</v>
      </c>
      <c r="AE243" s="52">
        <f>'User Add-in Location'!B249</f>
        <v>0</v>
      </c>
      <c r="AF243" s="52">
        <f>'User Add-in Location'!C249</f>
        <v>0</v>
      </c>
      <c r="AG243" s="329">
        <v>0.670516</v>
      </c>
      <c r="AH243" s="329">
        <v>0.55529899999999999</v>
      </c>
      <c r="AI243" s="329">
        <v>0.49703700000000001</v>
      </c>
      <c r="AJ243" s="329">
        <v>0.55789800000000001</v>
      </c>
      <c r="AK243" s="329">
        <v>0.46761999999999998</v>
      </c>
      <c r="AL243" s="329">
        <v>0.49737900000000002</v>
      </c>
      <c r="AM243" s="329">
        <v>0.48085299999999997</v>
      </c>
      <c r="AN243" s="329">
        <v>0.492149</v>
      </c>
      <c r="AO243" s="329">
        <v>0.504494</v>
      </c>
      <c r="AP243" s="329">
        <v>0.60472199999999998</v>
      </c>
      <c r="AQ243" s="329">
        <v>0.49036299999999999</v>
      </c>
      <c r="AR243" s="329">
        <v>0.55357800000000001</v>
      </c>
      <c r="AS243" s="324">
        <v>0</v>
      </c>
      <c r="AT243" s="324">
        <v>0</v>
      </c>
      <c r="AU243" s="324">
        <v>0</v>
      </c>
      <c r="AV243" s="324">
        <v>0</v>
      </c>
      <c r="AW243" s="324">
        <v>0</v>
      </c>
      <c r="AX243" s="324">
        <v>0</v>
      </c>
      <c r="AY243" s="324">
        <v>0</v>
      </c>
      <c r="AZ243" s="324">
        <v>0</v>
      </c>
      <c r="BA243" s="329">
        <v>0.48705399999999999</v>
      </c>
      <c r="BB243" s="329">
        <v>0.43797999999999998</v>
      </c>
      <c r="BC243" s="329">
        <v>0.44841700000000001</v>
      </c>
      <c r="BD243" s="329">
        <v>0.44242799999999999</v>
      </c>
      <c r="BE243" s="329">
        <v>0.50948899999999997</v>
      </c>
      <c r="BF243" s="329">
        <v>0.50856900000000005</v>
      </c>
      <c r="BG243" s="329">
        <v>0.50246900000000005</v>
      </c>
      <c r="BH243" s="329">
        <v>0.42091000000000001</v>
      </c>
      <c r="BI243" s="329">
        <v>0.52885599999999999</v>
      </c>
      <c r="BJ243" s="329">
        <v>0.52966199999999997</v>
      </c>
      <c r="BK243" s="329">
        <v>0.422068</v>
      </c>
      <c r="BL243" s="329">
        <v>0.49235200000000001</v>
      </c>
      <c r="BM243" s="329">
        <v>0.61749900000000002</v>
      </c>
    </row>
    <row r="244" spans="3:65">
      <c r="C244" s="329" t="s">
        <v>397</v>
      </c>
      <c r="D244" s="329">
        <v>0.55815199999999998</v>
      </c>
      <c r="E244" s="329">
        <v>0.66325599999999996</v>
      </c>
      <c r="F244" s="329">
        <v>0.55858699999999994</v>
      </c>
      <c r="G244" s="329">
        <v>0.55956499999999998</v>
      </c>
      <c r="H244" s="329">
        <v>0.65102300000000002</v>
      </c>
      <c r="I244" s="329">
        <v>0.56532800000000005</v>
      </c>
      <c r="J244" s="329">
        <v>0.65751800000000005</v>
      </c>
      <c r="K244" s="329">
        <v>0.66903500000000005</v>
      </c>
      <c r="L244" s="329">
        <v>0.67176800000000003</v>
      </c>
      <c r="M244" s="329">
        <v>0.54174599999999995</v>
      </c>
      <c r="N244" s="329">
        <v>0.56560299999999997</v>
      </c>
      <c r="O244" s="329">
        <v>0.64030200000000004</v>
      </c>
      <c r="P244" s="329">
        <v>0.52709899999999998</v>
      </c>
      <c r="Q244" s="329">
        <v>0.62368900000000005</v>
      </c>
      <c r="R244" s="329">
        <v>0.62119800000000003</v>
      </c>
      <c r="S244" s="329">
        <v>0.63014999999999999</v>
      </c>
      <c r="T244" s="329">
        <v>0.54922800000000005</v>
      </c>
      <c r="U244" s="329">
        <v>0.55591199999999996</v>
      </c>
      <c r="V244" s="329">
        <v>0.56933800000000001</v>
      </c>
      <c r="W244" s="329">
        <v>0.60267800000000005</v>
      </c>
      <c r="X244" s="329">
        <v>0.65046899999999996</v>
      </c>
      <c r="Y244" s="329">
        <v>0.63646800000000003</v>
      </c>
      <c r="Z244" s="329">
        <v>0.58329299999999995</v>
      </c>
      <c r="AA244" s="329">
        <v>0.58896400000000004</v>
      </c>
      <c r="AB244" s="329">
        <v>0.57068099999999999</v>
      </c>
      <c r="AC244" s="329">
        <v>0.55005700000000002</v>
      </c>
      <c r="AD244" s="329">
        <v>0.53055799999999997</v>
      </c>
      <c r="AE244" s="52">
        <f>'User Add-in Location'!B250</f>
        <v>0</v>
      </c>
      <c r="AF244" s="52">
        <f>'User Add-in Location'!C250</f>
        <v>0</v>
      </c>
      <c r="AG244" s="329">
        <v>0.60236800000000001</v>
      </c>
      <c r="AH244" s="329">
        <v>0.571465</v>
      </c>
      <c r="AI244" s="329">
        <v>0.623081</v>
      </c>
      <c r="AJ244" s="329">
        <v>0.60040300000000002</v>
      </c>
      <c r="AK244" s="329">
        <v>0.58652899999999997</v>
      </c>
      <c r="AL244" s="329">
        <v>0.64477499999999999</v>
      </c>
      <c r="AM244" s="329">
        <v>0.56090600000000002</v>
      </c>
      <c r="AN244" s="329">
        <v>0.54161700000000002</v>
      </c>
      <c r="AO244" s="329">
        <v>0.57704299999999997</v>
      </c>
      <c r="AP244" s="329">
        <v>0.54430400000000001</v>
      </c>
      <c r="AQ244" s="329">
        <v>0.61615399999999998</v>
      </c>
      <c r="AR244" s="329">
        <v>0.58734900000000001</v>
      </c>
      <c r="AS244" s="324">
        <v>0</v>
      </c>
      <c r="AT244" s="324">
        <v>0</v>
      </c>
      <c r="AU244" s="324">
        <v>0</v>
      </c>
      <c r="AV244" s="324">
        <v>0</v>
      </c>
      <c r="AW244" s="324">
        <v>0</v>
      </c>
      <c r="AX244" s="324">
        <v>0</v>
      </c>
      <c r="AY244" s="324">
        <v>0</v>
      </c>
      <c r="AZ244" s="324">
        <v>0</v>
      </c>
      <c r="BA244" s="329">
        <v>0.60143199999999997</v>
      </c>
      <c r="BB244" s="329">
        <v>0.55150500000000002</v>
      </c>
      <c r="BC244" s="329">
        <v>0.53687200000000002</v>
      </c>
      <c r="BD244" s="329">
        <v>0.57857700000000001</v>
      </c>
      <c r="BE244" s="329">
        <v>0.56464499999999995</v>
      </c>
      <c r="BF244" s="329">
        <v>0.60001300000000002</v>
      </c>
      <c r="BG244" s="329">
        <v>0.53226799999999996</v>
      </c>
      <c r="BH244" s="329">
        <v>0.62211700000000003</v>
      </c>
      <c r="BI244" s="329">
        <v>0.60681200000000002</v>
      </c>
      <c r="BJ244" s="329">
        <v>0.64788800000000002</v>
      </c>
      <c r="BK244" s="329">
        <v>0.59568699999999997</v>
      </c>
      <c r="BL244" s="329">
        <v>0.60281499999999999</v>
      </c>
      <c r="BM244" s="329">
        <v>0.52915500000000004</v>
      </c>
    </row>
    <row r="245" spans="3:65">
      <c r="C245" s="329" t="s">
        <v>398</v>
      </c>
      <c r="D245" s="329">
        <v>0.48819699999999999</v>
      </c>
      <c r="E245" s="329">
        <v>0.496471</v>
      </c>
      <c r="F245" s="329">
        <v>0.48069800000000001</v>
      </c>
      <c r="G245" s="329">
        <v>0.45799600000000001</v>
      </c>
      <c r="H245" s="329">
        <v>0.57867800000000003</v>
      </c>
      <c r="I245" s="329">
        <v>0.45637899999999998</v>
      </c>
      <c r="J245" s="329">
        <v>0.58745000000000003</v>
      </c>
      <c r="K245" s="329">
        <v>0.75100500000000003</v>
      </c>
      <c r="L245" s="329">
        <v>0.63593</v>
      </c>
      <c r="M245" s="329">
        <v>0.404472</v>
      </c>
      <c r="N245" s="329">
        <v>0.64484900000000001</v>
      </c>
      <c r="O245" s="329">
        <v>0.42476199999999997</v>
      </c>
      <c r="P245" s="329">
        <v>0.39984900000000001</v>
      </c>
      <c r="Q245" s="329">
        <v>0.55987699999999996</v>
      </c>
      <c r="R245" s="329">
        <v>0.41516700000000001</v>
      </c>
      <c r="S245" s="329">
        <v>0.475163</v>
      </c>
      <c r="T245" s="329">
        <v>0.36761199999999999</v>
      </c>
      <c r="U245" s="329">
        <v>0.44691900000000001</v>
      </c>
      <c r="V245" s="329">
        <v>0.43783300000000003</v>
      </c>
      <c r="W245" s="329">
        <v>0.447743</v>
      </c>
      <c r="X245" s="329">
        <v>0.48122500000000001</v>
      </c>
      <c r="Y245" s="329">
        <v>0.61112999999999995</v>
      </c>
      <c r="Z245" s="329">
        <v>0.42133500000000002</v>
      </c>
      <c r="AA245" s="329">
        <v>0.53313900000000003</v>
      </c>
      <c r="AB245" s="329">
        <v>0.42831000000000002</v>
      </c>
      <c r="AC245" s="329">
        <v>0.53447100000000003</v>
      </c>
      <c r="AD245" s="329">
        <v>0.47296100000000002</v>
      </c>
      <c r="AE245" s="52">
        <f>'User Add-in Location'!B251</f>
        <v>0</v>
      </c>
      <c r="AF245" s="52">
        <f>'User Add-in Location'!C251</f>
        <v>0</v>
      </c>
      <c r="AG245" s="329">
        <v>0.44491799999999998</v>
      </c>
      <c r="AH245" s="329">
        <v>0.48279</v>
      </c>
      <c r="AI245" s="329">
        <v>0.52590199999999998</v>
      </c>
      <c r="AJ245" s="329">
        <v>0.48971700000000001</v>
      </c>
      <c r="AK245" s="329">
        <v>0.40249200000000002</v>
      </c>
      <c r="AL245" s="329">
        <v>0.78806600000000004</v>
      </c>
      <c r="AM245" s="329">
        <v>0.63167799999999996</v>
      </c>
      <c r="AN245" s="329">
        <v>0.433867</v>
      </c>
      <c r="AO245" s="329">
        <v>0.60875299999999999</v>
      </c>
      <c r="AP245" s="329">
        <v>0.35413600000000001</v>
      </c>
      <c r="AQ245" s="329">
        <v>0.45195000000000002</v>
      </c>
      <c r="AR245" s="329">
        <v>0.43570799999999998</v>
      </c>
      <c r="AS245" s="324">
        <v>0</v>
      </c>
      <c r="AT245" s="324">
        <v>0</v>
      </c>
      <c r="AU245" s="324">
        <v>0</v>
      </c>
      <c r="AV245" s="324">
        <v>0</v>
      </c>
      <c r="AW245" s="324">
        <v>0</v>
      </c>
      <c r="AX245" s="324">
        <v>0</v>
      </c>
      <c r="AY245" s="324">
        <v>0</v>
      </c>
      <c r="AZ245" s="324">
        <v>0</v>
      </c>
      <c r="BA245" s="329">
        <v>0.50624499999999995</v>
      </c>
      <c r="BB245" s="329">
        <v>0.41934100000000002</v>
      </c>
      <c r="BC245" s="329">
        <v>0.726773</v>
      </c>
      <c r="BD245" s="329">
        <v>0.47183399999999998</v>
      </c>
      <c r="BE245" s="329">
        <v>0.44036700000000001</v>
      </c>
      <c r="BF245" s="329">
        <v>0.57107699999999995</v>
      </c>
      <c r="BG245" s="329">
        <v>0.53927599999999998</v>
      </c>
      <c r="BH245" s="329">
        <v>0.42184199999999999</v>
      </c>
      <c r="BI245" s="329">
        <v>0.55207600000000001</v>
      </c>
      <c r="BJ245" s="329">
        <v>0.52127500000000004</v>
      </c>
      <c r="BK245" s="329">
        <v>0.40463700000000002</v>
      </c>
      <c r="BL245" s="329">
        <v>0.44911899999999999</v>
      </c>
      <c r="BM245" s="329">
        <v>0.32094899999999998</v>
      </c>
    </row>
    <row r="246" spans="3:65">
      <c r="C246" s="329" t="s">
        <v>399</v>
      </c>
      <c r="D246" s="329">
        <v>0.56936799999999999</v>
      </c>
      <c r="E246" s="329">
        <v>0.55094900000000002</v>
      </c>
      <c r="F246" s="329">
        <v>0.57379000000000002</v>
      </c>
      <c r="G246" s="329">
        <v>0.59760599999999997</v>
      </c>
      <c r="H246" s="329">
        <v>0.66301100000000002</v>
      </c>
      <c r="I246" s="329">
        <v>0.62112599999999996</v>
      </c>
      <c r="J246" s="329">
        <v>0.65248899999999999</v>
      </c>
      <c r="K246" s="329">
        <v>0.67442899999999995</v>
      </c>
      <c r="L246" s="329">
        <v>0.76695400000000002</v>
      </c>
      <c r="M246" s="329">
        <v>0.59008400000000005</v>
      </c>
      <c r="N246" s="329">
        <v>0.62088399999999999</v>
      </c>
      <c r="O246" s="329">
        <v>0.56200499999999998</v>
      </c>
      <c r="P246" s="329">
        <v>0.50689399999999996</v>
      </c>
      <c r="Q246" s="329">
        <v>0.67319700000000005</v>
      </c>
      <c r="R246" s="329">
        <v>0.61057399999999995</v>
      </c>
      <c r="S246" s="329">
        <v>0.54311699999999996</v>
      </c>
      <c r="T246" s="329">
        <v>0.57493399999999995</v>
      </c>
      <c r="U246" s="329">
        <v>0.54757299999999998</v>
      </c>
      <c r="V246" s="329">
        <v>0.566326</v>
      </c>
      <c r="W246" s="329">
        <v>0.53889799999999999</v>
      </c>
      <c r="X246" s="329">
        <v>0.618228</v>
      </c>
      <c r="Y246" s="329">
        <v>0.65565799999999996</v>
      </c>
      <c r="Z246" s="329">
        <v>0.60170400000000002</v>
      </c>
      <c r="AA246" s="329">
        <v>0.63365300000000002</v>
      </c>
      <c r="AB246" s="329">
        <v>0.51015299999999997</v>
      </c>
      <c r="AC246" s="329">
        <v>0.60649600000000004</v>
      </c>
      <c r="AD246" s="329">
        <v>0.50309899999999996</v>
      </c>
      <c r="AE246" s="52">
        <f>'User Add-in Location'!B252</f>
        <v>0</v>
      </c>
      <c r="AF246" s="52">
        <f>'User Add-in Location'!C252</f>
        <v>0</v>
      </c>
      <c r="AG246" s="329">
        <v>0.57059400000000005</v>
      </c>
      <c r="AH246" s="329">
        <v>0.59090299999999996</v>
      </c>
      <c r="AI246" s="329">
        <v>0.59453199999999995</v>
      </c>
      <c r="AJ246" s="329">
        <v>0.66734499999999997</v>
      </c>
      <c r="AK246" s="329">
        <v>0.50323099999999998</v>
      </c>
      <c r="AL246" s="329">
        <v>0.68950299999999998</v>
      </c>
      <c r="AM246" s="329">
        <v>0.61007400000000001</v>
      </c>
      <c r="AN246" s="329">
        <v>0.54078899999999996</v>
      </c>
      <c r="AO246" s="329">
        <v>0.59818700000000002</v>
      </c>
      <c r="AP246" s="329">
        <v>0.54017000000000004</v>
      </c>
      <c r="AQ246" s="329">
        <v>0.62537600000000004</v>
      </c>
      <c r="AR246" s="329">
        <v>0.63792899999999997</v>
      </c>
      <c r="AS246" s="324">
        <v>0</v>
      </c>
      <c r="AT246" s="324">
        <v>0</v>
      </c>
      <c r="AU246" s="324">
        <v>0</v>
      </c>
      <c r="AV246" s="324">
        <v>0</v>
      </c>
      <c r="AW246" s="324">
        <v>0</v>
      </c>
      <c r="AX246" s="324">
        <v>0</v>
      </c>
      <c r="AY246" s="324">
        <v>0</v>
      </c>
      <c r="AZ246" s="324">
        <v>0</v>
      </c>
      <c r="BA246" s="329">
        <v>0.588426</v>
      </c>
      <c r="BB246" s="329">
        <v>0.56414399999999998</v>
      </c>
      <c r="BC246" s="329">
        <v>0.53075600000000001</v>
      </c>
      <c r="BD246" s="329">
        <v>0.58093099999999998</v>
      </c>
      <c r="BE246" s="329">
        <v>0.62480100000000005</v>
      </c>
      <c r="BF246" s="329">
        <v>0.63187000000000004</v>
      </c>
      <c r="BG246" s="329">
        <v>0.51348400000000005</v>
      </c>
      <c r="BH246" s="329">
        <v>0.54079100000000002</v>
      </c>
      <c r="BI246" s="329">
        <v>0.64126499999999997</v>
      </c>
      <c r="BJ246" s="329">
        <v>0.66491800000000001</v>
      </c>
      <c r="BK246" s="329">
        <v>0.59550000000000003</v>
      </c>
      <c r="BL246" s="329">
        <v>0.58820099999999997</v>
      </c>
      <c r="BM246" s="329">
        <v>0.51170700000000002</v>
      </c>
    </row>
    <row r="247" spans="3:65">
      <c r="C247" s="329" t="s">
        <v>400</v>
      </c>
      <c r="D247" s="329">
        <v>0.66253700000000004</v>
      </c>
      <c r="E247" s="329">
        <v>0.63794600000000001</v>
      </c>
      <c r="F247" s="329">
        <v>0.66497899999999999</v>
      </c>
      <c r="G247" s="329">
        <v>0.60518000000000005</v>
      </c>
      <c r="H247" s="329">
        <v>0.75976600000000005</v>
      </c>
      <c r="I247" s="329">
        <v>0.71116500000000005</v>
      </c>
      <c r="J247" s="329">
        <v>0.75450799999999996</v>
      </c>
      <c r="K247" s="329">
        <v>0.70670200000000005</v>
      </c>
      <c r="L247" s="329">
        <v>0.81817399999999996</v>
      </c>
      <c r="M247" s="329">
        <v>0.68800499999999998</v>
      </c>
      <c r="N247" s="329">
        <v>0.70045999999999997</v>
      </c>
      <c r="O247" s="329">
        <v>0.64154599999999995</v>
      </c>
      <c r="P247" s="329">
        <v>0.60653299999999999</v>
      </c>
      <c r="Q247" s="329">
        <v>0.71783399999999997</v>
      </c>
      <c r="R247" s="329">
        <v>0.69381499999999996</v>
      </c>
      <c r="S247" s="329">
        <v>0.65563700000000003</v>
      </c>
      <c r="T247" s="329">
        <v>0.66785700000000003</v>
      </c>
      <c r="U247" s="329">
        <v>0.64456199999999997</v>
      </c>
      <c r="V247" s="329">
        <v>0.61285299999999998</v>
      </c>
      <c r="W247" s="329">
        <v>0.668041</v>
      </c>
      <c r="X247" s="329">
        <v>0.75417999999999996</v>
      </c>
      <c r="Y247" s="329">
        <v>0.80132499999999995</v>
      </c>
      <c r="Z247" s="329">
        <v>0.67270099999999999</v>
      </c>
      <c r="AA247" s="329">
        <v>0.70747000000000004</v>
      </c>
      <c r="AB247" s="329">
        <v>0.58410899999999999</v>
      </c>
      <c r="AC247" s="329">
        <v>0.69462800000000002</v>
      </c>
      <c r="AD247" s="329">
        <v>0.60384400000000005</v>
      </c>
      <c r="AE247" s="52">
        <f>'User Add-in Location'!B253</f>
        <v>0</v>
      </c>
      <c r="AF247" s="52">
        <f>'User Add-in Location'!C253</f>
        <v>0</v>
      </c>
      <c r="AG247" s="329">
        <v>0.64301699999999995</v>
      </c>
      <c r="AH247" s="329">
        <v>0.66106100000000001</v>
      </c>
      <c r="AI247" s="329">
        <v>0.73972899999999997</v>
      </c>
      <c r="AJ247" s="329">
        <v>0.76420900000000003</v>
      </c>
      <c r="AK247" s="329">
        <v>0.67529300000000003</v>
      </c>
      <c r="AL247" s="329">
        <v>0.74927999999999995</v>
      </c>
      <c r="AM247" s="329">
        <v>0.71032899999999999</v>
      </c>
      <c r="AN247" s="329">
        <v>0.64044299999999998</v>
      </c>
      <c r="AO247" s="329">
        <v>0.68226799999999999</v>
      </c>
      <c r="AP247" s="329">
        <v>0.64917800000000003</v>
      </c>
      <c r="AQ247" s="329">
        <v>0.661084</v>
      </c>
      <c r="AR247" s="329">
        <v>0.70255299999999998</v>
      </c>
      <c r="AS247" s="324">
        <v>0</v>
      </c>
      <c r="AT247" s="324">
        <v>0</v>
      </c>
      <c r="AU247" s="324">
        <v>0</v>
      </c>
      <c r="AV247" s="324">
        <v>0</v>
      </c>
      <c r="AW247" s="324">
        <v>0</v>
      </c>
      <c r="AX247" s="324">
        <v>0</v>
      </c>
      <c r="AY247" s="324">
        <v>0</v>
      </c>
      <c r="AZ247" s="324">
        <v>0</v>
      </c>
      <c r="BA247" s="329">
        <v>0.68920700000000001</v>
      </c>
      <c r="BB247" s="329">
        <v>0.65335900000000002</v>
      </c>
      <c r="BC247" s="329">
        <v>0.62538800000000005</v>
      </c>
      <c r="BD247" s="329">
        <v>0.72254600000000002</v>
      </c>
      <c r="BE247" s="329">
        <v>0.70481499999999997</v>
      </c>
      <c r="BF247" s="329">
        <v>0.71877400000000002</v>
      </c>
      <c r="BG247" s="329">
        <v>0.61702500000000005</v>
      </c>
      <c r="BH247" s="329">
        <v>0.70198300000000002</v>
      </c>
      <c r="BI247" s="329">
        <v>0.76463400000000004</v>
      </c>
      <c r="BJ247" s="329">
        <v>0.73363299999999998</v>
      </c>
      <c r="BK247" s="329">
        <v>0.56398400000000004</v>
      </c>
      <c r="BL247" s="329">
        <v>0.669543</v>
      </c>
      <c r="BM247" s="329">
        <v>0.61630300000000005</v>
      </c>
    </row>
    <row r="248" spans="3:65">
      <c r="C248" s="329" t="s">
        <v>401</v>
      </c>
      <c r="D248" s="329">
        <v>0.59714299999999998</v>
      </c>
      <c r="E248" s="329">
        <v>0.57038100000000003</v>
      </c>
      <c r="F248" s="329">
        <v>0.56985399999999997</v>
      </c>
      <c r="G248" s="329">
        <v>0.51261400000000001</v>
      </c>
      <c r="H248" s="329">
        <v>0.65291699999999997</v>
      </c>
      <c r="I248" s="329">
        <v>0.613178</v>
      </c>
      <c r="J248" s="329">
        <v>0.62289799999999995</v>
      </c>
      <c r="K248" s="329">
        <v>0.61182300000000001</v>
      </c>
      <c r="L248" s="329">
        <v>0.71196800000000005</v>
      </c>
      <c r="M248" s="329">
        <v>0.56392500000000001</v>
      </c>
      <c r="N248" s="329">
        <v>0.58917299999999995</v>
      </c>
      <c r="O248" s="329">
        <v>0.56398400000000004</v>
      </c>
      <c r="P248" s="329">
        <v>0.52767699999999995</v>
      </c>
      <c r="Q248" s="329">
        <v>0.61377599999999999</v>
      </c>
      <c r="R248" s="329">
        <v>0.58650199999999997</v>
      </c>
      <c r="S248" s="329">
        <v>0.56575399999999998</v>
      </c>
      <c r="T248" s="329">
        <v>0.586897</v>
      </c>
      <c r="U248" s="329">
        <v>0.55323100000000003</v>
      </c>
      <c r="V248" s="329">
        <v>0.56662500000000005</v>
      </c>
      <c r="W248" s="329">
        <v>0.56434700000000004</v>
      </c>
      <c r="X248" s="329">
        <v>0.63411499999999998</v>
      </c>
      <c r="Y248" s="329">
        <v>0.67930400000000002</v>
      </c>
      <c r="Z248" s="329">
        <v>0.61684700000000003</v>
      </c>
      <c r="AA248" s="329">
        <v>0.60328700000000002</v>
      </c>
      <c r="AB248" s="329">
        <v>0.49732100000000001</v>
      </c>
      <c r="AC248" s="329">
        <v>0.609676</v>
      </c>
      <c r="AD248" s="329">
        <v>0.52473700000000001</v>
      </c>
      <c r="AE248" s="52">
        <f>'User Add-in Location'!B254</f>
        <v>0</v>
      </c>
      <c r="AF248" s="52">
        <f>'User Add-in Location'!C254</f>
        <v>0</v>
      </c>
      <c r="AG248" s="329">
        <v>0.55734300000000003</v>
      </c>
      <c r="AH248" s="329">
        <v>0.56674999999999998</v>
      </c>
      <c r="AI248" s="329">
        <v>0.61538300000000001</v>
      </c>
      <c r="AJ248" s="329">
        <v>0.63172700000000004</v>
      </c>
      <c r="AK248" s="329">
        <v>0.589777</v>
      </c>
      <c r="AL248" s="329">
        <v>0.65232599999999996</v>
      </c>
      <c r="AM248" s="329">
        <v>0.59054499999999999</v>
      </c>
      <c r="AN248" s="329">
        <v>0.58196700000000001</v>
      </c>
      <c r="AO248" s="329">
        <v>0.58462999999999998</v>
      </c>
      <c r="AP248" s="329">
        <v>0.53087700000000004</v>
      </c>
      <c r="AQ248" s="329">
        <v>0.57136699999999996</v>
      </c>
      <c r="AR248" s="329">
        <v>0.59945899999999996</v>
      </c>
      <c r="AS248" s="324">
        <v>0</v>
      </c>
      <c r="AT248" s="324">
        <v>0</v>
      </c>
      <c r="AU248" s="324">
        <v>0</v>
      </c>
      <c r="AV248" s="324">
        <v>0</v>
      </c>
      <c r="AW248" s="324">
        <v>0</v>
      </c>
      <c r="AX248" s="324">
        <v>0</v>
      </c>
      <c r="AY248" s="324">
        <v>0</v>
      </c>
      <c r="AZ248" s="324">
        <v>0</v>
      </c>
      <c r="BA248" s="329">
        <v>0.57583799999999996</v>
      </c>
      <c r="BB248" s="329">
        <v>0.57594900000000004</v>
      </c>
      <c r="BC248" s="329">
        <v>0.53220199999999995</v>
      </c>
      <c r="BD248" s="329">
        <v>0.58072599999999996</v>
      </c>
      <c r="BE248" s="329">
        <v>0.62016400000000005</v>
      </c>
      <c r="BF248" s="329">
        <v>0.61251299999999997</v>
      </c>
      <c r="BG248" s="329">
        <v>0.54233100000000001</v>
      </c>
      <c r="BH248" s="329">
        <v>0.563087</v>
      </c>
      <c r="BI248" s="329">
        <v>0.65014000000000005</v>
      </c>
      <c r="BJ248" s="329">
        <v>0.62612100000000004</v>
      </c>
      <c r="BK248" s="329">
        <v>0.54729000000000005</v>
      </c>
      <c r="BL248" s="329">
        <v>0.57488600000000001</v>
      </c>
      <c r="BM248" s="329">
        <v>0.53004300000000004</v>
      </c>
    </row>
    <row r="249" spans="3:65">
      <c r="C249" s="329" t="s">
        <v>402</v>
      </c>
      <c r="D249" s="329">
        <v>0.54521200000000003</v>
      </c>
      <c r="E249" s="329">
        <v>0.58136600000000005</v>
      </c>
      <c r="F249" s="329">
        <v>0.576461</v>
      </c>
      <c r="G249" s="329">
        <v>0.54147299999999998</v>
      </c>
      <c r="H249" s="329">
        <v>0.637984</v>
      </c>
      <c r="I249" s="329">
        <v>0.594947</v>
      </c>
      <c r="J249" s="329">
        <v>0.64505400000000002</v>
      </c>
      <c r="K249" s="329">
        <v>0.63995500000000005</v>
      </c>
      <c r="L249" s="329">
        <v>0.66283700000000001</v>
      </c>
      <c r="M249" s="329">
        <v>0.57662500000000005</v>
      </c>
      <c r="N249" s="329">
        <v>0.59025799999999995</v>
      </c>
      <c r="O249" s="329">
        <v>0.625587</v>
      </c>
      <c r="P249" s="329">
        <v>0.54050399999999998</v>
      </c>
      <c r="Q249" s="329">
        <v>0.60314100000000004</v>
      </c>
      <c r="R249" s="329">
        <v>0.56238100000000002</v>
      </c>
      <c r="S249" s="329">
        <v>0.55517000000000005</v>
      </c>
      <c r="T249" s="329">
        <v>0.59462999999999999</v>
      </c>
      <c r="U249" s="329">
        <v>0.55202899999999999</v>
      </c>
      <c r="V249" s="329">
        <v>0.56362999999999996</v>
      </c>
      <c r="W249" s="329">
        <v>0.57833000000000001</v>
      </c>
      <c r="X249" s="329">
        <v>0.62593600000000005</v>
      </c>
      <c r="Y249" s="329">
        <v>0.63897999999999999</v>
      </c>
      <c r="Z249" s="329">
        <v>0.57230300000000001</v>
      </c>
      <c r="AA249" s="329">
        <v>0.59829500000000002</v>
      </c>
      <c r="AB249" s="329">
        <v>0.51208699999999996</v>
      </c>
      <c r="AC249" s="329">
        <v>0.56269599999999997</v>
      </c>
      <c r="AD249" s="329">
        <v>0.53851000000000004</v>
      </c>
      <c r="AE249" s="52">
        <f>'User Add-in Location'!B255</f>
        <v>0</v>
      </c>
      <c r="AF249" s="52">
        <f>'User Add-in Location'!C255</f>
        <v>0</v>
      </c>
      <c r="AG249" s="329">
        <v>0.56120499999999995</v>
      </c>
      <c r="AH249" s="329">
        <v>0.62289700000000003</v>
      </c>
      <c r="AI249" s="329">
        <v>0.63073100000000004</v>
      </c>
      <c r="AJ249" s="329">
        <v>0.63703100000000001</v>
      </c>
      <c r="AK249" s="329">
        <v>0.545296</v>
      </c>
      <c r="AL249" s="329">
        <v>0.65913200000000005</v>
      </c>
      <c r="AM249" s="329">
        <v>0.57307399999999997</v>
      </c>
      <c r="AN249" s="329">
        <v>0.57840499999999995</v>
      </c>
      <c r="AO249" s="329">
        <v>0.57484100000000005</v>
      </c>
      <c r="AP249" s="329">
        <v>0.54750900000000002</v>
      </c>
      <c r="AQ249" s="329">
        <v>0.60204299999999999</v>
      </c>
      <c r="AR249" s="329">
        <v>0.62777300000000003</v>
      </c>
      <c r="AS249" s="324">
        <v>0</v>
      </c>
      <c r="AT249" s="324">
        <v>0</v>
      </c>
      <c r="AU249" s="324">
        <v>0</v>
      </c>
      <c r="AV249" s="324">
        <v>0</v>
      </c>
      <c r="AW249" s="324">
        <v>0</v>
      </c>
      <c r="AX249" s="324">
        <v>0</v>
      </c>
      <c r="AY249" s="324">
        <v>0</v>
      </c>
      <c r="AZ249" s="324">
        <v>0</v>
      </c>
      <c r="BA249" s="329">
        <v>0.60181399999999996</v>
      </c>
      <c r="BB249" s="329">
        <v>0.56207099999999999</v>
      </c>
      <c r="BC249" s="329">
        <v>0.55978099999999997</v>
      </c>
      <c r="BD249" s="329">
        <v>0.59336100000000003</v>
      </c>
      <c r="BE249" s="329">
        <v>0.58371799999999996</v>
      </c>
      <c r="BF249" s="329">
        <v>0.60511800000000004</v>
      </c>
      <c r="BG249" s="329">
        <v>0.57455100000000003</v>
      </c>
      <c r="BH249" s="329">
        <v>0.57953699999999997</v>
      </c>
      <c r="BI249" s="329">
        <v>0.60428700000000002</v>
      </c>
      <c r="BJ249" s="329">
        <v>0.63838700000000004</v>
      </c>
      <c r="BK249" s="329">
        <v>0.54860900000000001</v>
      </c>
      <c r="BL249" s="329">
        <v>0.58135800000000004</v>
      </c>
      <c r="BM249" s="329">
        <v>0.55657999999999996</v>
      </c>
    </row>
    <row r="250" spans="3:65">
      <c r="C250" s="329" t="s">
        <v>403</v>
      </c>
      <c r="D250" s="329">
        <v>0.91938500000000001</v>
      </c>
      <c r="E250" s="329">
        <v>0.98216800000000004</v>
      </c>
      <c r="F250" s="329">
        <v>0.88575499999999996</v>
      </c>
      <c r="G250" s="329">
        <v>0.90063000000000004</v>
      </c>
      <c r="H250" s="329">
        <v>0.91313299999999997</v>
      </c>
      <c r="I250" s="329">
        <v>0.94404500000000002</v>
      </c>
      <c r="J250" s="329">
        <v>0.90224400000000005</v>
      </c>
      <c r="K250" s="329">
        <v>0.97026999999999997</v>
      </c>
      <c r="L250" s="329">
        <v>0.97243999999999997</v>
      </c>
      <c r="M250" s="329">
        <v>0.92582299999999995</v>
      </c>
      <c r="N250" s="329">
        <v>0.97424999999999995</v>
      </c>
      <c r="O250" s="329">
        <v>0.94715099999999997</v>
      </c>
      <c r="P250" s="329">
        <v>0.88531499999999996</v>
      </c>
      <c r="Q250" s="329">
        <v>0.96413000000000004</v>
      </c>
      <c r="R250" s="329">
        <v>0.93788099999999996</v>
      </c>
      <c r="S250" s="329">
        <v>0.95146900000000001</v>
      </c>
      <c r="T250" s="329">
        <v>0.92594299999999996</v>
      </c>
      <c r="U250" s="329">
        <v>0.91235599999999994</v>
      </c>
      <c r="V250" s="329">
        <v>0.91904600000000003</v>
      </c>
      <c r="W250" s="329">
        <v>0.92313199999999995</v>
      </c>
      <c r="X250" s="329">
        <v>0.98058400000000001</v>
      </c>
      <c r="Y250" s="329">
        <v>0.97486899999999999</v>
      </c>
      <c r="Z250" s="329">
        <v>0.93973200000000001</v>
      </c>
      <c r="AA250" s="329">
        <v>0.90178700000000001</v>
      </c>
      <c r="AB250" s="329">
        <v>0.93775699999999995</v>
      </c>
      <c r="AC250" s="329">
        <v>0.93096900000000005</v>
      </c>
      <c r="AD250" s="329">
        <v>0.92433200000000004</v>
      </c>
      <c r="AE250" s="52">
        <f>'User Add-in Location'!B256</f>
        <v>0</v>
      </c>
      <c r="AF250" s="52">
        <f>'User Add-in Location'!C256</f>
        <v>0</v>
      </c>
      <c r="AG250" s="329">
        <v>0.95476099999999997</v>
      </c>
      <c r="AH250" s="329">
        <v>0.95468600000000003</v>
      </c>
      <c r="AI250" s="329">
        <v>0.95759399999999995</v>
      </c>
      <c r="AJ250" s="329">
        <v>0.94156399999999996</v>
      </c>
      <c r="AK250" s="329">
        <v>0.91083899999999995</v>
      </c>
      <c r="AL250" s="329">
        <v>0.92642100000000005</v>
      </c>
      <c r="AM250" s="329">
        <v>0.96570699999999998</v>
      </c>
      <c r="AN250" s="329">
        <v>0.84362899999999996</v>
      </c>
      <c r="AO250" s="329">
        <v>0.94813899999999995</v>
      </c>
      <c r="AP250" s="329">
        <v>0.82527099999999998</v>
      </c>
      <c r="AQ250" s="329">
        <v>0.90414399999999995</v>
      </c>
      <c r="AR250" s="329">
        <v>0.91233799999999998</v>
      </c>
      <c r="AS250" s="324">
        <v>0</v>
      </c>
      <c r="AT250" s="324">
        <v>0</v>
      </c>
      <c r="AU250" s="324">
        <v>0</v>
      </c>
      <c r="AV250" s="324">
        <v>0</v>
      </c>
      <c r="AW250" s="324">
        <v>0</v>
      </c>
      <c r="AX250" s="324">
        <v>0</v>
      </c>
      <c r="AY250" s="324">
        <v>0</v>
      </c>
      <c r="AZ250" s="324">
        <v>0</v>
      </c>
      <c r="BA250" s="329">
        <v>0.96337899999999999</v>
      </c>
      <c r="BB250" s="329">
        <v>0.95258100000000001</v>
      </c>
      <c r="BC250" s="329">
        <v>0.83265599999999995</v>
      </c>
      <c r="BD250" s="329">
        <v>0.91787200000000002</v>
      </c>
      <c r="BE250" s="329">
        <v>0.93222899999999997</v>
      </c>
      <c r="BF250" s="329">
        <v>0.929674</v>
      </c>
      <c r="BG250" s="329">
        <v>0.93549599999999999</v>
      </c>
      <c r="BH250" s="329">
        <v>0.96579599999999999</v>
      </c>
      <c r="BI250" s="329">
        <v>0.91650200000000004</v>
      </c>
      <c r="BJ250" s="329">
        <v>0.88626700000000003</v>
      </c>
      <c r="BK250" s="329">
        <v>0.919041</v>
      </c>
      <c r="BL250" s="329">
        <v>0.92659899999999995</v>
      </c>
      <c r="BM250" s="329">
        <v>0.91828200000000004</v>
      </c>
    </row>
    <row r="251" spans="3:65">
      <c r="C251" s="329" t="s">
        <v>404</v>
      </c>
      <c r="D251" s="329">
        <v>0.33079999999999998</v>
      </c>
      <c r="E251" s="329">
        <v>0.40165800000000002</v>
      </c>
      <c r="F251" s="329">
        <v>0.438245</v>
      </c>
      <c r="G251" s="329">
        <v>0.400007</v>
      </c>
      <c r="H251" s="329">
        <v>0.56374599999999997</v>
      </c>
      <c r="I251" s="329">
        <v>0.31994699999999998</v>
      </c>
      <c r="J251" s="329">
        <v>0.37587100000000001</v>
      </c>
      <c r="K251" s="329">
        <v>0.20332700000000001</v>
      </c>
      <c r="L251" s="329">
        <v>0.475495</v>
      </c>
      <c r="M251" s="329">
        <v>0.37783</v>
      </c>
      <c r="N251" s="329">
        <v>0.494641</v>
      </c>
      <c r="O251" s="329">
        <v>0.13447600000000001</v>
      </c>
      <c r="P251" s="329">
        <v>0.41551900000000003</v>
      </c>
      <c r="Q251" s="329">
        <v>0.38856299999999999</v>
      </c>
      <c r="R251" s="329">
        <v>0.437971</v>
      </c>
      <c r="S251" s="329">
        <v>0.37617899999999999</v>
      </c>
      <c r="T251" s="329">
        <v>0.29681400000000002</v>
      </c>
      <c r="U251" s="329">
        <v>0.34626400000000002</v>
      </c>
      <c r="V251" s="329">
        <v>0.127604</v>
      </c>
      <c r="W251" s="329">
        <v>0.42907200000000001</v>
      </c>
      <c r="X251" s="329">
        <v>0.35817900000000003</v>
      </c>
      <c r="Y251" s="329">
        <v>0.43236799999999997</v>
      </c>
      <c r="Z251" s="329">
        <v>0.29178500000000002</v>
      </c>
      <c r="AA251" s="329">
        <v>0.35917399999999999</v>
      </c>
      <c r="AB251" s="329">
        <v>9.0245000000000006E-2</v>
      </c>
      <c r="AC251" s="329">
        <v>0.41681299999999999</v>
      </c>
      <c r="AD251" s="329">
        <v>0.36704500000000001</v>
      </c>
      <c r="AE251" s="52">
        <f>'User Add-in Location'!B257</f>
        <v>0</v>
      </c>
      <c r="AF251" s="52">
        <f>'User Add-in Location'!C257</f>
        <v>0</v>
      </c>
      <c r="AG251" s="329">
        <v>0.38006400000000001</v>
      </c>
      <c r="AH251" s="329">
        <v>0.30383500000000002</v>
      </c>
      <c r="AI251" s="329">
        <v>0.37422299999999997</v>
      </c>
      <c r="AJ251" s="329">
        <v>0.32899800000000001</v>
      </c>
      <c r="AK251" s="329">
        <v>0.37321199999999999</v>
      </c>
      <c r="AL251" s="329">
        <v>0.33417799999999998</v>
      </c>
      <c r="AM251" s="329">
        <v>0.48676199999999997</v>
      </c>
      <c r="AN251" s="329">
        <v>0.31525900000000001</v>
      </c>
      <c r="AO251" s="329">
        <v>0.27025700000000002</v>
      </c>
      <c r="AP251" s="329">
        <v>0.404501</v>
      </c>
      <c r="AQ251" s="329">
        <v>0.54101600000000005</v>
      </c>
      <c r="AR251" s="329">
        <v>0.45685199999999998</v>
      </c>
      <c r="AS251" s="324">
        <v>0</v>
      </c>
      <c r="AT251" s="324">
        <v>0</v>
      </c>
      <c r="AU251" s="324">
        <v>0</v>
      </c>
      <c r="AV251" s="324">
        <v>0</v>
      </c>
      <c r="AW251" s="324">
        <v>0</v>
      </c>
      <c r="AX251" s="324">
        <v>0</v>
      </c>
      <c r="AY251" s="324">
        <v>0</v>
      </c>
      <c r="AZ251" s="324">
        <v>0</v>
      </c>
      <c r="BA251" s="329">
        <v>0.40835900000000003</v>
      </c>
      <c r="BB251" s="329">
        <v>0.509934</v>
      </c>
      <c r="BC251" s="329">
        <v>0.173402</v>
      </c>
      <c r="BD251" s="329">
        <v>0.31424800000000003</v>
      </c>
      <c r="BE251" s="329">
        <v>0.51571900000000004</v>
      </c>
      <c r="BF251" s="329">
        <v>0.48446600000000001</v>
      </c>
      <c r="BG251" s="329">
        <v>0.32596599999999998</v>
      </c>
      <c r="BH251" s="329">
        <v>0.27191399999999999</v>
      </c>
      <c r="BI251" s="329">
        <v>0.35879800000000001</v>
      </c>
      <c r="BJ251" s="329">
        <v>0.32756999999999997</v>
      </c>
      <c r="BK251" s="329">
        <v>0.19201099999999999</v>
      </c>
      <c r="BL251" s="329">
        <v>0.42343900000000001</v>
      </c>
      <c r="BM251" s="329">
        <v>0</v>
      </c>
    </row>
    <row r="252" spans="3:65">
      <c r="C252" s="329"/>
      <c r="D252" s="329"/>
      <c r="E252" s="329"/>
      <c r="F252" s="329"/>
      <c r="G252" s="329"/>
      <c r="H252" s="329"/>
      <c r="I252" s="329"/>
      <c r="J252" s="329"/>
      <c r="K252" s="329"/>
      <c r="L252" s="329"/>
      <c r="M252" s="329"/>
      <c r="N252" s="329"/>
      <c r="O252" s="329"/>
      <c r="P252" s="329"/>
      <c r="Q252" s="329"/>
      <c r="R252" s="329"/>
      <c r="S252" s="329"/>
      <c r="T252" s="329"/>
      <c r="U252" s="329"/>
      <c r="V252" s="329"/>
      <c r="W252" s="329"/>
      <c r="X252" s="329"/>
      <c r="Y252" s="329"/>
      <c r="Z252" s="329"/>
      <c r="AA252" s="329"/>
      <c r="AB252" s="329"/>
      <c r="AC252" s="329"/>
      <c r="AD252" s="329"/>
      <c r="AG252" s="329"/>
      <c r="AH252" s="329"/>
      <c r="AI252" s="329"/>
      <c r="AJ252" s="329"/>
      <c r="AK252" s="329"/>
      <c r="AL252" s="329"/>
      <c r="AM252" s="329"/>
      <c r="AN252" s="329"/>
      <c r="AO252" s="329"/>
      <c r="AP252" s="329"/>
      <c r="AQ252" s="329"/>
      <c r="AR252" s="329"/>
      <c r="AS252" s="324"/>
      <c r="AT252" s="324"/>
      <c r="AU252" s="324"/>
      <c r="AV252" s="324"/>
      <c r="AW252" s="324"/>
      <c r="AX252" s="324"/>
      <c r="AY252" s="324"/>
      <c r="AZ252" s="324"/>
      <c r="BA252" s="329"/>
      <c r="BB252" s="329"/>
      <c r="BC252" s="329"/>
      <c r="BD252" s="329"/>
      <c r="BE252" s="329"/>
      <c r="BF252" s="329"/>
      <c r="BG252" s="329"/>
      <c r="BH252" s="329"/>
      <c r="BI252" s="329"/>
      <c r="BJ252" s="329"/>
      <c r="BK252" s="329"/>
      <c r="BL252" s="329"/>
      <c r="BM252" s="329"/>
    </row>
    <row r="253" spans="3:65">
      <c r="C253" s="319" t="s">
        <v>415</v>
      </c>
      <c r="AS253" s="324"/>
      <c r="AT253" s="324"/>
      <c r="AU253" s="324"/>
      <c r="AV253" s="324"/>
      <c r="AW253" s="324"/>
      <c r="AX253" s="324"/>
      <c r="AY253" s="324"/>
      <c r="AZ253" s="324"/>
    </row>
    <row r="254" spans="3:65">
      <c r="C254" s="320" t="s">
        <v>417</v>
      </c>
      <c r="D254" s="52" t="s">
        <v>219</v>
      </c>
      <c r="E254" s="52" t="s">
        <v>222</v>
      </c>
      <c r="F254" s="52" t="s">
        <v>231</v>
      </c>
      <c r="G254" s="52" t="s">
        <v>221</v>
      </c>
      <c r="H254" s="52" t="s">
        <v>223</v>
      </c>
      <c r="I254" s="52" t="s">
        <v>240</v>
      </c>
      <c r="J254" s="52" t="s">
        <v>216</v>
      </c>
      <c r="K254" s="52" t="s">
        <v>217</v>
      </c>
      <c r="L254" s="52" t="s">
        <v>218</v>
      </c>
      <c r="M254" s="52" t="s">
        <v>228</v>
      </c>
      <c r="N254" s="52" t="s">
        <v>237</v>
      </c>
      <c r="O254" s="52" t="s">
        <v>232</v>
      </c>
      <c r="P254" s="52" t="s">
        <v>248</v>
      </c>
      <c r="Q254" s="52" t="s">
        <v>220</v>
      </c>
      <c r="R254" s="52" t="s">
        <v>229</v>
      </c>
      <c r="S254" s="52" t="s">
        <v>238</v>
      </c>
      <c r="T254" s="52" t="s">
        <v>254</v>
      </c>
      <c r="U254" s="52" t="s">
        <v>245</v>
      </c>
      <c r="V254" s="52" t="s">
        <v>230</v>
      </c>
      <c r="W254" s="52" t="s">
        <v>225</v>
      </c>
      <c r="X254" s="52" t="s">
        <v>227</v>
      </c>
      <c r="Y254" s="52" t="s">
        <v>234</v>
      </c>
      <c r="Z254" s="52" t="s">
        <v>246</v>
      </c>
      <c r="AA254" s="52" t="s">
        <v>252</v>
      </c>
      <c r="AB254" s="52" t="s">
        <v>251</v>
      </c>
      <c r="AC254" s="52" t="s">
        <v>239</v>
      </c>
      <c r="AD254" s="52" t="s">
        <v>260</v>
      </c>
      <c r="AE254" s="52" t="s">
        <v>381</v>
      </c>
      <c r="AF254" s="52" t="s">
        <v>382</v>
      </c>
      <c r="AG254" s="52" t="s">
        <v>264</v>
      </c>
      <c r="AH254" s="52" t="s">
        <v>266</v>
      </c>
      <c r="AI254" s="52" t="s">
        <v>242</v>
      </c>
      <c r="AJ254" s="52" t="s">
        <v>489</v>
      </c>
      <c r="AK254" s="52" t="s">
        <v>247</v>
      </c>
      <c r="AL254" s="52" t="s">
        <v>250</v>
      </c>
      <c r="AM254" s="52" t="s">
        <v>236</v>
      </c>
      <c r="AN254" s="52" t="s">
        <v>268</v>
      </c>
      <c r="AO254" s="52" t="s">
        <v>258</v>
      </c>
      <c r="AP254" s="52" t="s">
        <v>253</v>
      </c>
      <c r="AQ254" s="52" t="s">
        <v>270</v>
      </c>
      <c r="AR254" s="52" t="s">
        <v>235</v>
      </c>
      <c r="AS254" s="407" t="s">
        <v>207</v>
      </c>
      <c r="AT254" s="407" t="s">
        <v>208</v>
      </c>
      <c r="AU254" s="407" t="s">
        <v>209</v>
      </c>
      <c r="AV254" s="407" t="s">
        <v>210</v>
      </c>
      <c r="AW254" s="407" t="s">
        <v>211</v>
      </c>
      <c r="AX254" s="407" t="s">
        <v>212</v>
      </c>
      <c r="AY254" s="407" t="s">
        <v>213</v>
      </c>
      <c r="AZ254" s="407" t="s">
        <v>214</v>
      </c>
      <c r="BA254" s="52" t="s">
        <v>256</v>
      </c>
      <c r="BB254" s="52" t="s">
        <v>490</v>
      </c>
      <c r="BC254" s="52" t="s">
        <v>272</v>
      </c>
      <c r="BD254" s="52" t="s">
        <v>491</v>
      </c>
      <c r="BE254" s="52" t="s">
        <v>492</v>
      </c>
      <c r="BF254" s="321" t="s">
        <v>604</v>
      </c>
      <c r="BG254" s="52" t="s">
        <v>274</v>
      </c>
      <c r="BH254" s="52" t="s">
        <v>262</v>
      </c>
      <c r="BI254" s="52" t="s">
        <v>244</v>
      </c>
      <c r="BJ254" s="52" t="s">
        <v>275</v>
      </c>
      <c r="BK254" s="52" t="s">
        <v>243</v>
      </c>
      <c r="BL254" s="52" t="s">
        <v>263</v>
      </c>
      <c r="BM254" s="52" t="s">
        <v>493</v>
      </c>
    </row>
    <row r="255" spans="3:65">
      <c r="C255" s="329" t="s">
        <v>383</v>
      </c>
      <c r="D255" s="329">
        <v>0.26633699999999999</v>
      </c>
      <c r="E255" s="329">
        <v>0.15967799999999999</v>
      </c>
      <c r="F255" s="329">
        <v>0.16910800000000001</v>
      </c>
      <c r="G255" s="329">
        <v>0.337032</v>
      </c>
      <c r="H255" s="329">
        <v>0.19900599999999999</v>
      </c>
      <c r="I255" s="329">
        <v>0.32331300000000002</v>
      </c>
      <c r="J255" s="329">
        <v>0.161216</v>
      </c>
      <c r="K255" s="329">
        <v>0.240646</v>
      </c>
      <c r="L255" s="329">
        <v>4.9681000000000003E-2</v>
      </c>
      <c r="M255" s="329">
        <v>0.15809799999999999</v>
      </c>
      <c r="N255" s="329">
        <v>0.31737599999999999</v>
      </c>
      <c r="O255" s="329">
        <v>0.13238900000000001</v>
      </c>
      <c r="P255" s="329">
        <v>0.26423799999999997</v>
      </c>
      <c r="Q255" s="329">
        <v>0.30629099999999998</v>
      </c>
      <c r="R255" s="329">
        <v>0.29045700000000002</v>
      </c>
      <c r="S255" s="329">
        <v>0.32593299999999997</v>
      </c>
      <c r="T255" s="329">
        <v>0.39086900000000002</v>
      </c>
      <c r="U255" s="329">
        <v>0.212343</v>
      </c>
      <c r="V255" s="329">
        <v>0.27801199999999998</v>
      </c>
      <c r="W255" s="329">
        <v>0.12076000000000001</v>
      </c>
      <c r="X255" s="329">
        <v>0.218085</v>
      </c>
      <c r="Y255" s="329">
        <v>8.8914000000000007E-2</v>
      </c>
      <c r="Z255" s="329">
        <v>0.228905</v>
      </c>
      <c r="AA255" s="329">
        <v>0.37771300000000002</v>
      </c>
      <c r="AB255" s="329">
        <v>0.29807600000000001</v>
      </c>
      <c r="AC255" s="329">
        <v>0.340839</v>
      </c>
      <c r="AD255" s="329">
        <v>0.22378600000000001</v>
      </c>
      <c r="AE255" s="52">
        <f>'User Add-in Location'!B261</f>
        <v>0</v>
      </c>
      <c r="AF255" s="52">
        <f>'User Add-in Location'!C261</f>
        <v>0</v>
      </c>
      <c r="AG255" s="329">
        <v>0.37637799999999999</v>
      </c>
      <c r="AH255" s="329">
        <v>0.17847099999999999</v>
      </c>
      <c r="AI255" s="329">
        <v>0.170845</v>
      </c>
      <c r="AJ255" s="329">
        <v>0.152528</v>
      </c>
      <c r="AK255" s="329">
        <v>0.24841199999999999</v>
      </c>
      <c r="AL255" s="329">
        <v>0.20887</v>
      </c>
      <c r="AM255" s="329">
        <v>0.34056700000000001</v>
      </c>
      <c r="AN255" s="329">
        <v>0.22210299999999999</v>
      </c>
      <c r="AO255" s="329">
        <v>0.19601499999999999</v>
      </c>
      <c r="AP255" s="329">
        <v>0.33371200000000001</v>
      </c>
      <c r="AQ255" s="329">
        <v>0.21294299999999999</v>
      </c>
      <c r="AR255" s="329">
        <v>0.29000199999999998</v>
      </c>
      <c r="AS255" s="324">
        <v>0</v>
      </c>
      <c r="AT255" s="324">
        <v>0</v>
      </c>
      <c r="AU255" s="324">
        <v>0</v>
      </c>
      <c r="AV255" s="324">
        <v>0</v>
      </c>
      <c r="AW255" s="324">
        <v>0</v>
      </c>
      <c r="AX255" s="324">
        <v>0</v>
      </c>
      <c r="AY255" s="324">
        <v>0</v>
      </c>
      <c r="AZ255" s="324">
        <v>0</v>
      </c>
      <c r="BA255" s="329">
        <v>5.3357000000000002E-2</v>
      </c>
      <c r="BB255" s="329">
        <v>0.20378499999999999</v>
      </c>
      <c r="BC255" s="329">
        <v>0.31576900000000002</v>
      </c>
      <c r="BD255" s="329">
        <v>0.251635</v>
      </c>
      <c r="BE255" s="329">
        <v>0.35004600000000002</v>
      </c>
      <c r="BF255" s="329">
        <v>0.44103799999999999</v>
      </c>
      <c r="BG255" s="329">
        <v>0.24514900000000001</v>
      </c>
      <c r="BH255" s="329">
        <v>0.23502700000000001</v>
      </c>
      <c r="BI255" s="329">
        <v>0.24241799999999999</v>
      </c>
      <c r="BJ255" s="329">
        <v>0.154581</v>
      </c>
      <c r="BK255" s="329">
        <v>0.13483999999999999</v>
      </c>
      <c r="BL255" s="329">
        <v>0.26329999999999998</v>
      </c>
      <c r="BM255" s="329">
        <v>0.13501299999999999</v>
      </c>
    </row>
    <row r="256" spans="3:65">
      <c r="C256" s="329" t="s">
        <v>384</v>
      </c>
      <c r="D256" s="329">
        <v>0.19158800000000001</v>
      </c>
      <c r="E256" s="329">
        <v>0.14491499999999999</v>
      </c>
      <c r="F256" s="329">
        <v>0.24118899999999999</v>
      </c>
      <c r="G256" s="329">
        <v>0.314886</v>
      </c>
      <c r="H256" s="329">
        <v>0.314971</v>
      </c>
      <c r="I256" s="329">
        <v>0.29038799999999998</v>
      </c>
      <c r="J256" s="329">
        <v>0.31458799999999998</v>
      </c>
      <c r="K256" s="329">
        <v>0.36010500000000001</v>
      </c>
      <c r="L256" s="329">
        <v>0.22822100000000001</v>
      </c>
      <c r="M256" s="329">
        <v>0.38103599999999999</v>
      </c>
      <c r="N256" s="329">
        <v>0.27995700000000001</v>
      </c>
      <c r="O256" s="329">
        <v>0.24321599999999999</v>
      </c>
      <c r="P256" s="329">
        <v>0.33119900000000002</v>
      </c>
      <c r="Q256" s="329">
        <v>0.427068</v>
      </c>
      <c r="R256" s="329">
        <v>0.311749</v>
      </c>
      <c r="S256" s="329">
        <v>0.28597600000000001</v>
      </c>
      <c r="T256" s="329">
        <v>0.47529900000000003</v>
      </c>
      <c r="U256" s="329">
        <v>0.28132600000000002</v>
      </c>
      <c r="V256" s="329">
        <v>0.30046600000000001</v>
      </c>
      <c r="W256" s="329">
        <v>0.32185999999999998</v>
      </c>
      <c r="X256" s="329">
        <v>0.34061399999999997</v>
      </c>
      <c r="Y256" s="329">
        <v>0.37836900000000001</v>
      </c>
      <c r="Z256" s="329">
        <v>0.31517499999999998</v>
      </c>
      <c r="AA256" s="329">
        <v>0.281248</v>
      </c>
      <c r="AB256" s="329">
        <v>0.32629399999999997</v>
      </c>
      <c r="AC256" s="329">
        <v>0.35357</v>
      </c>
      <c r="AD256" s="329">
        <v>0.24627299999999999</v>
      </c>
      <c r="AE256" s="52">
        <f>'User Add-in Location'!B262</f>
        <v>0</v>
      </c>
      <c r="AF256" s="52">
        <f>'User Add-in Location'!C262</f>
        <v>0</v>
      </c>
      <c r="AG256" s="329">
        <v>0.39422499999999999</v>
      </c>
      <c r="AH256" s="329">
        <v>0.25713900000000001</v>
      </c>
      <c r="AI256" s="329">
        <v>0.33070300000000002</v>
      </c>
      <c r="AJ256" s="329">
        <v>0.363506</v>
      </c>
      <c r="AK256" s="329">
        <v>0.186308</v>
      </c>
      <c r="AL256" s="329">
        <v>0.38341199999999998</v>
      </c>
      <c r="AM256" s="329">
        <v>0.34222399999999997</v>
      </c>
      <c r="AN256" s="329">
        <v>0.20467199999999999</v>
      </c>
      <c r="AO256" s="329">
        <v>0.180613</v>
      </c>
      <c r="AP256" s="329">
        <v>0.28939300000000001</v>
      </c>
      <c r="AQ256" s="329">
        <v>0.37829200000000002</v>
      </c>
      <c r="AR256" s="329">
        <v>0.234676</v>
      </c>
      <c r="AS256" s="324">
        <v>0</v>
      </c>
      <c r="AT256" s="324">
        <v>0</v>
      </c>
      <c r="AU256" s="324">
        <v>0</v>
      </c>
      <c r="AV256" s="324">
        <v>0</v>
      </c>
      <c r="AW256" s="324">
        <v>0</v>
      </c>
      <c r="AX256" s="324">
        <v>0</v>
      </c>
      <c r="AY256" s="324">
        <v>0</v>
      </c>
      <c r="AZ256" s="324">
        <v>0</v>
      </c>
      <c r="BA256" s="329">
        <v>0.22089900000000001</v>
      </c>
      <c r="BB256" s="329">
        <v>0.23558599999999999</v>
      </c>
      <c r="BC256" s="329">
        <v>0.37331799999999998</v>
      </c>
      <c r="BD256" s="329">
        <v>0.31030099999999999</v>
      </c>
      <c r="BE256" s="329">
        <v>0.268704</v>
      </c>
      <c r="BF256" s="329">
        <v>0.41145599999999999</v>
      </c>
      <c r="BG256" s="329">
        <v>0.27697899999999998</v>
      </c>
      <c r="BH256" s="329">
        <v>0.226771</v>
      </c>
      <c r="BI256" s="329">
        <v>0.30529299999999998</v>
      </c>
      <c r="BJ256" s="329">
        <v>0.393845</v>
      </c>
      <c r="BK256" s="329">
        <v>0.16690099999999999</v>
      </c>
      <c r="BL256" s="329">
        <v>0.18462400000000001</v>
      </c>
      <c r="BM256" s="329">
        <v>0.14622299999999999</v>
      </c>
    </row>
    <row r="257" spans="3:65">
      <c r="C257" s="329" t="s">
        <v>385</v>
      </c>
      <c r="D257" s="329">
        <v>0.18546599999999999</v>
      </c>
      <c r="E257" s="329">
        <v>0.14449200000000001</v>
      </c>
      <c r="F257" s="329">
        <v>0.149419</v>
      </c>
      <c r="G257" s="329">
        <v>0.20975099999999999</v>
      </c>
      <c r="H257" s="329">
        <v>0.21945100000000001</v>
      </c>
      <c r="I257" s="329">
        <v>0.20675199999999999</v>
      </c>
      <c r="J257" s="329">
        <v>0.22217300000000001</v>
      </c>
      <c r="K257" s="329">
        <v>0.158965</v>
      </c>
      <c r="L257" s="329">
        <v>9.8497000000000001E-2</v>
      </c>
      <c r="M257" s="329">
        <v>0.189221</v>
      </c>
      <c r="N257" s="329">
        <v>0.21132600000000001</v>
      </c>
      <c r="O257" s="329">
        <v>0.112023</v>
      </c>
      <c r="P257" s="329">
        <v>0.19364500000000001</v>
      </c>
      <c r="Q257" s="329">
        <v>0.23222699999999999</v>
      </c>
      <c r="R257" s="329">
        <v>0.224248</v>
      </c>
      <c r="S257" s="329">
        <v>0.21540400000000001</v>
      </c>
      <c r="T257" s="329">
        <v>0.247804</v>
      </c>
      <c r="U257" s="329">
        <v>0.18582599999999999</v>
      </c>
      <c r="V257" s="329">
        <v>0.26376100000000002</v>
      </c>
      <c r="W257" s="329">
        <v>0.19536300000000001</v>
      </c>
      <c r="X257" s="329">
        <v>0.183809</v>
      </c>
      <c r="Y257" s="329">
        <v>0.20925099999999999</v>
      </c>
      <c r="Z257" s="329">
        <v>0.18661800000000001</v>
      </c>
      <c r="AA257" s="329">
        <v>0.24134900000000001</v>
      </c>
      <c r="AB257" s="329">
        <v>0.231795</v>
      </c>
      <c r="AC257" s="329">
        <v>0.24829899999999999</v>
      </c>
      <c r="AD257" s="329">
        <v>0.17993000000000001</v>
      </c>
      <c r="AE257" s="52">
        <f>'User Add-in Location'!B263</f>
        <v>0</v>
      </c>
      <c r="AF257" s="52">
        <f>'User Add-in Location'!C263</f>
        <v>0</v>
      </c>
      <c r="AG257" s="329">
        <v>0.27942099999999997</v>
      </c>
      <c r="AH257" s="329">
        <v>0.15859899999999999</v>
      </c>
      <c r="AI257" s="329">
        <v>0.24204200000000001</v>
      </c>
      <c r="AJ257" s="329">
        <v>0.204841</v>
      </c>
      <c r="AK257" s="329">
        <v>0.18531700000000001</v>
      </c>
      <c r="AL257" s="329">
        <v>0.18159500000000001</v>
      </c>
      <c r="AM257" s="329">
        <v>0.24407599999999999</v>
      </c>
      <c r="AN257" s="329">
        <v>0.16281899999999999</v>
      </c>
      <c r="AO257" s="329">
        <v>0.17347000000000001</v>
      </c>
      <c r="AP257" s="329">
        <v>0.24346999999999999</v>
      </c>
      <c r="AQ257" s="329">
        <v>0.194187</v>
      </c>
      <c r="AR257" s="329">
        <v>0.23081199999999999</v>
      </c>
      <c r="AS257" s="324">
        <v>0</v>
      </c>
      <c r="AT257" s="324">
        <v>0</v>
      </c>
      <c r="AU257" s="324">
        <v>0</v>
      </c>
      <c r="AV257" s="324">
        <v>0</v>
      </c>
      <c r="AW257" s="324">
        <v>0</v>
      </c>
      <c r="AX257" s="324">
        <v>0</v>
      </c>
      <c r="AY257" s="324">
        <v>0</v>
      </c>
      <c r="AZ257" s="324">
        <v>0</v>
      </c>
      <c r="BA257" s="329">
        <v>0.12862199999999999</v>
      </c>
      <c r="BB257" s="329">
        <v>0.15010999999999999</v>
      </c>
      <c r="BC257" s="329">
        <v>0.23130300000000001</v>
      </c>
      <c r="BD257" s="329">
        <v>0.19453400000000001</v>
      </c>
      <c r="BE257" s="329">
        <v>0.27016299999999999</v>
      </c>
      <c r="BF257" s="329">
        <v>0.32356699999999999</v>
      </c>
      <c r="BG257" s="329">
        <v>0.209255</v>
      </c>
      <c r="BH257" s="329">
        <v>0.212559</v>
      </c>
      <c r="BI257" s="329">
        <v>0.205345</v>
      </c>
      <c r="BJ257" s="329">
        <v>0.15463199999999999</v>
      </c>
      <c r="BK257" s="329">
        <v>0.104536</v>
      </c>
      <c r="BL257" s="329">
        <v>0.15403600000000001</v>
      </c>
      <c r="BM257" s="329">
        <v>0.104435</v>
      </c>
    </row>
    <row r="258" spans="3:65">
      <c r="C258" s="329" t="s">
        <v>386</v>
      </c>
      <c r="D258" s="329">
        <v>0.24157600000000001</v>
      </c>
      <c r="E258" s="329">
        <v>0.206289</v>
      </c>
      <c r="F258" s="329">
        <v>0.18573400000000001</v>
      </c>
      <c r="G258" s="329">
        <v>0.26968300000000001</v>
      </c>
      <c r="H258" s="329">
        <v>0.28641</v>
      </c>
      <c r="I258" s="329">
        <v>0.265129</v>
      </c>
      <c r="J258" s="329">
        <v>0.31686700000000001</v>
      </c>
      <c r="K258" s="329">
        <v>0.20497899999999999</v>
      </c>
      <c r="L258" s="329">
        <v>0.122532</v>
      </c>
      <c r="M258" s="329">
        <v>0.22969999999999999</v>
      </c>
      <c r="N258" s="329">
        <v>0.26180500000000001</v>
      </c>
      <c r="O258" s="329">
        <v>0.14578199999999999</v>
      </c>
      <c r="P258" s="329">
        <v>0.238562</v>
      </c>
      <c r="Q258" s="329">
        <v>0.29958899999999999</v>
      </c>
      <c r="R258" s="329">
        <v>0.29395399999999999</v>
      </c>
      <c r="S258" s="329">
        <v>0.28602</v>
      </c>
      <c r="T258" s="329">
        <v>0.32018799999999997</v>
      </c>
      <c r="U258" s="329">
        <v>0.23785800000000001</v>
      </c>
      <c r="V258" s="329">
        <v>0.34883599999999998</v>
      </c>
      <c r="W258" s="329">
        <v>0.26405800000000001</v>
      </c>
      <c r="X258" s="329">
        <v>0.23657500000000001</v>
      </c>
      <c r="Y258" s="329">
        <v>0.286331</v>
      </c>
      <c r="Z258" s="329">
        <v>0.23691200000000001</v>
      </c>
      <c r="AA258" s="329">
        <v>0.31865900000000003</v>
      </c>
      <c r="AB258" s="329">
        <v>0.29731800000000003</v>
      </c>
      <c r="AC258" s="329">
        <v>0.32352300000000001</v>
      </c>
      <c r="AD258" s="329">
        <v>0.23550499999999999</v>
      </c>
      <c r="AE258" s="52">
        <f>'User Add-in Location'!B264</f>
        <v>0</v>
      </c>
      <c r="AF258" s="52">
        <f>'User Add-in Location'!C264</f>
        <v>0</v>
      </c>
      <c r="AG258" s="329">
        <v>0.37789899999999998</v>
      </c>
      <c r="AH258" s="329">
        <v>0.205813</v>
      </c>
      <c r="AI258" s="329">
        <v>0.370508</v>
      </c>
      <c r="AJ258" s="329">
        <v>0.270339</v>
      </c>
      <c r="AK258" s="329">
        <v>0.241867</v>
      </c>
      <c r="AL258" s="329">
        <v>0.23632800000000001</v>
      </c>
      <c r="AM258" s="329">
        <v>0.31789200000000001</v>
      </c>
      <c r="AN258" s="329">
        <v>0.21848899999999999</v>
      </c>
      <c r="AO258" s="329">
        <v>0.228077</v>
      </c>
      <c r="AP258" s="329">
        <v>0.32528899999999999</v>
      </c>
      <c r="AQ258" s="329">
        <v>0.25309500000000001</v>
      </c>
      <c r="AR258" s="329">
        <v>0.302898</v>
      </c>
      <c r="AS258" s="324">
        <v>0</v>
      </c>
      <c r="AT258" s="324">
        <v>0</v>
      </c>
      <c r="AU258" s="324">
        <v>0</v>
      </c>
      <c r="AV258" s="324">
        <v>0</v>
      </c>
      <c r="AW258" s="324">
        <v>0</v>
      </c>
      <c r="AX258" s="324">
        <v>0</v>
      </c>
      <c r="AY258" s="324">
        <v>0</v>
      </c>
      <c r="AZ258" s="324">
        <v>0</v>
      </c>
      <c r="BA258" s="329">
        <v>0.16736899999999999</v>
      </c>
      <c r="BB258" s="329">
        <v>0.186277</v>
      </c>
      <c r="BC258" s="329">
        <v>0.30521199999999998</v>
      </c>
      <c r="BD258" s="329">
        <v>0.26306200000000002</v>
      </c>
      <c r="BE258" s="329">
        <v>0.356487</v>
      </c>
      <c r="BF258" s="329">
        <v>0.415937</v>
      </c>
      <c r="BG258" s="329">
        <v>0.26444000000000001</v>
      </c>
      <c r="BH258" s="329">
        <v>0.29854199999999997</v>
      </c>
      <c r="BI258" s="329">
        <v>0.26180300000000001</v>
      </c>
      <c r="BJ258" s="329">
        <v>0.195411</v>
      </c>
      <c r="BK258" s="329">
        <v>0.13759099999999999</v>
      </c>
      <c r="BL258" s="329">
        <v>0.19639799999999999</v>
      </c>
      <c r="BM258" s="329">
        <v>0.14648700000000001</v>
      </c>
    </row>
    <row r="259" spans="3:65">
      <c r="C259" s="329" t="s">
        <v>387</v>
      </c>
      <c r="D259" s="329">
        <v>0.260023</v>
      </c>
      <c r="E259" s="329">
        <v>0.21951699999999999</v>
      </c>
      <c r="F259" s="329">
        <v>0.20599799999999999</v>
      </c>
      <c r="G259" s="329">
        <v>0.29005199999999998</v>
      </c>
      <c r="H259" s="329">
        <v>0.30632999999999999</v>
      </c>
      <c r="I259" s="329">
        <v>0.284883</v>
      </c>
      <c r="J259" s="329">
        <v>0.327436</v>
      </c>
      <c r="K259" s="329">
        <v>0.22673099999999999</v>
      </c>
      <c r="L259" s="329">
        <v>0.14053099999999999</v>
      </c>
      <c r="M259" s="329">
        <v>0.25510699999999997</v>
      </c>
      <c r="N259" s="329">
        <v>0.28659000000000001</v>
      </c>
      <c r="O259" s="329">
        <v>0.170823</v>
      </c>
      <c r="P259" s="329">
        <v>0.264399</v>
      </c>
      <c r="Q259" s="329">
        <v>0.32089299999999998</v>
      </c>
      <c r="R259" s="329">
        <v>0.31582900000000003</v>
      </c>
      <c r="S259" s="329">
        <v>0.30695899999999998</v>
      </c>
      <c r="T259" s="329">
        <v>0.33886699999999997</v>
      </c>
      <c r="U259" s="329">
        <v>0.26106000000000001</v>
      </c>
      <c r="V259" s="329">
        <v>0.36038399999999998</v>
      </c>
      <c r="W259" s="329">
        <v>0.28189199999999998</v>
      </c>
      <c r="X259" s="329">
        <v>0.25924799999999998</v>
      </c>
      <c r="Y259" s="329">
        <v>0.30010999999999999</v>
      </c>
      <c r="Z259" s="329">
        <v>0.26390599999999997</v>
      </c>
      <c r="AA259" s="329">
        <v>0.340507</v>
      </c>
      <c r="AB259" s="329">
        <v>0.31598199999999999</v>
      </c>
      <c r="AC259" s="329">
        <v>0.342968</v>
      </c>
      <c r="AD259" s="329">
        <v>0.24888199999999999</v>
      </c>
      <c r="AE259" s="52">
        <f>'User Add-in Location'!B265</f>
        <v>0</v>
      </c>
      <c r="AF259" s="52">
        <f>'User Add-in Location'!C265</f>
        <v>0</v>
      </c>
      <c r="AG259" s="329">
        <v>0.38860600000000001</v>
      </c>
      <c r="AH259" s="329">
        <v>0.22531599999999999</v>
      </c>
      <c r="AI259" s="329">
        <v>0.36779400000000001</v>
      </c>
      <c r="AJ259" s="329">
        <v>0.29036099999999998</v>
      </c>
      <c r="AK259" s="329">
        <v>0.26083400000000001</v>
      </c>
      <c r="AL259" s="329">
        <v>0.258239</v>
      </c>
      <c r="AM259" s="329">
        <v>0.33616099999999999</v>
      </c>
      <c r="AN259" s="329">
        <v>0.23536099999999999</v>
      </c>
      <c r="AO259" s="329">
        <v>0.25207099999999999</v>
      </c>
      <c r="AP259" s="329">
        <v>0.33993099999999998</v>
      </c>
      <c r="AQ259" s="329">
        <v>0.27595199999999998</v>
      </c>
      <c r="AR259" s="329">
        <v>0.32089400000000001</v>
      </c>
      <c r="AS259" s="324">
        <v>0</v>
      </c>
      <c r="AT259" s="324">
        <v>0</v>
      </c>
      <c r="AU259" s="324">
        <v>0</v>
      </c>
      <c r="AV259" s="324">
        <v>0</v>
      </c>
      <c r="AW259" s="324">
        <v>0</v>
      </c>
      <c r="AX259" s="324">
        <v>0</v>
      </c>
      <c r="AY259" s="324">
        <v>0</v>
      </c>
      <c r="AZ259" s="324">
        <v>0</v>
      </c>
      <c r="BA259" s="329">
        <v>0.18377199999999999</v>
      </c>
      <c r="BB259" s="329">
        <v>0.214812</v>
      </c>
      <c r="BC259" s="329">
        <v>0.31977299999999997</v>
      </c>
      <c r="BD259" s="329">
        <v>0.28196199999999999</v>
      </c>
      <c r="BE259" s="329">
        <v>0.36925400000000003</v>
      </c>
      <c r="BF259" s="329">
        <v>0.42561500000000002</v>
      </c>
      <c r="BG259" s="329">
        <v>0.28665800000000002</v>
      </c>
      <c r="BH259" s="329">
        <v>0.30989499999999998</v>
      </c>
      <c r="BI259" s="329">
        <v>0.28565499999999999</v>
      </c>
      <c r="BJ259" s="329">
        <v>0.21045900000000001</v>
      </c>
      <c r="BK259" s="329">
        <v>0.15693699999999999</v>
      </c>
      <c r="BL259" s="329">
        <v>0.221939</v>
      </c>
      <c r="BM259" s="329">
        <v>0.166017</v>
      </c>
    </row>
    <row r="260" spans="3:65">
      <c r="C260" s="329" t="s">
        <v>388</v>
      </c>
      <c r="D260" s="329">
        <v>0.23418600000000001</v>
      </c>
      <c r="E260" s="329">
        <v>0.231765</v>
      </c>
      <c r="F260" s="329">
        <v>0.19775699999999999</v>
      </c>
      <c r="G260" s="329">
        <v>0.27755999999999997</v>
      </c>
      <c r="H260" s="329">
        <v>0.32772299999999999</v>
      </c>
      <c r="I260" s="329">
        <v>0.309506</v>
      </c>
      <c r="J260" s="329">
        <v>0.26803300000000002</v>
      </c>
      <c r="K260" s="329">
        <v>0.248032</v>
      </c>
      <c r="L260" s="329">
        <v>9.8077999999999999E-2</v>
      </c>
      <c r="M260" s="329">
        <v>0.23510500000000001</v>
      </c>
      <c r="N260" s="329">
        <v>0.28475600000000001</v>
      </c>
      <c r="O260" s="329">
        <v>0.16320000000000001</v>
      </c>
      <c r="P260" s="329">
        <v>0.29022399999999998</v>
      </c>
      <c r="Q260" s="329">
        <v>0.33960099999999999</v>
      </c>
      <c r="R260" s="329">
        <v>0.30310300000000001</v>
      </c>
      <c r="S260" s="329">
        <v>0.30627700000000002</v>
      </c>
      <c r="T260" s="329">
        <v>0.38133499999999998</v>
      </c>
      <c r="U260" s="329">
        <v>0.26940799999999998</v>
      </c>
      <c r="V260" s="329">
        <v>0.37688899999999997</v>
      </c>
      <c r="W260" s="329">
        <v>0.200764</v>
      </c>
      <c r="X260" s="329">
        <v>0.20202600000000001</v>
      </c>
      <c r="Y260" s="329">
        <v>0.24926899999999999</v>
      </c>
      <c r="Z260" s="329">
        <v>0.25387999999999999</v>
      </c>
      <c r="AA260" s="329">
        <v>0.35178999999999999</v>
      </c>
      <c r="AB260" s="329">
        <v>0.31420100000000001</v>
      </c>
      <c r="AC260" s="329">
        <v>0.340895</v>
      </c>
      <c r="AD260" s="329">
        <v>0.28487299999999999</v>
      </c>
      <c r="AE260" s="52">
        <f>'User Add-in Location'!B266</f>
        <v>0</v>
      </c>
      <c r="AF260" s="52">
        <f>'User Add-in Location'!C266</f>
        <v>0</v>
      </c>
      <c r="AG260" s="329">
        <v>0.35639500000000002</v>
      </c>
      <c r="AH260" s="329">
        <v>0.21790399999999999</v>
      </c>
      <c r="AI260" s="329">
        <v>0.26197599999999999</v>
      </c>
      <c r="AJ260" s="329">
        <v>0.28381200000000001</v>
      </c>
      <c r="AK260" s="329">
        <v>0.29758499999999999</v>
      </c>
      <c r="AL260" s="329">
        <v>0.25672200000000001</v>
      </c>
      <c r="AM260" s="329">
        <v>0.30110399999999998</v>
      </c>
      <c r="AN260" s="329">
        <v>0.30012</v>
      </c>
      <c r="AO260" s="329">
        <v>0.23635700000000001</v>
      </c>
      <c r="AP260" s="329">
        <v>0.35820600000000002</v>
      </c>
      <c r="AQ260" s="329">
        <v>0.29549399999999998</v>
      </c>
      <c r="AR260" s="329">
        <v>0.36669499999999999</v>
      </c>
      <c r="AS260" s="324">
        <v>0</v>
      </c>
      <c r="AT260" s="324">
        <v>0</v>
      </c>
      <c r="AU260" s="324">
        <v>0</v>
      </c>
      <c r="AV260" s="324">
        <v>0</v>
      </c>
      <c r="AW260" s="324">
        <v>0</v>
      </c>
      <c r="AX260" s="324">
        <v>0</v>
      </c>
      <c r="AY260" s="324">
        <v>0</v>
      </c>
      <c r="AZ260" s="324">
        <v>0</v>
      </c>
      <c r="BA260" s="329">
        <v>0.15487500000000001</v>
      </c>
      <c r="BB260" s="329">
        <v>0.19328100000000001</v>
      </c>
      <c r="BC260" s="329">
        <v>0.328434</v>
      </c>
      <c r="BD260" s="329">
        <v>0.23798900000000001</v>
      </c>
      <c r="BE260" s="329">
        <v>0.43246200000000001</v>
      </c>
      <c r="BF260" s="329">
        <v>0.49929499999999999</v>
      </c>
      <c r="BG260" s="329">
        <v>0.34097300000000003</v>
      </c>
      <c r="BH260" s="329">
        <v>0.25034400000000001</v>
      </c>
      <c r="BI260" s="329">
        <v>0.255602</v>
      </c>
      <c r="BJ260" s="329">
        <v>0.20682500000000001</v>
      </c>
      <c r="BK260" s="329">
        <v>0.149365</v>
      </c>
      <c r="BL260" s="329">
        <v>0.19980700000000001</v>
      </c>
      <c r="BM260" s="329">
        <v>0.17474400000000001</v>
      </c>
    </row>
    <row r="261" spans="3:65">
      <c r="C261" s="329" t="s">
        <v>389</v>
      </c>
      <c r="D261" s="329">
        <v>0.20560899999999999</v>
      </c>
      <c r="E261" s="329">
        <v>0.21704100000000001</v>
      </c>
      <c r="F261" s="329">
        <v>0.178871</v>
      </c>
      <c r="G261" s="329">
        <v>0.21555199999999999</v>
      </c>
      <c r="H261" s="329">
        <v>0.33532600000000001</v>
      </c>
      <c r="I261" s="329">
        <v>0.27617000000000003</v>
      </c>
      <c r="J261" s="329">
        <v>0.28285100000000002</v>
      </c>
      <c r="K261" s="329">
        <v>0.26649499999999998</v>
      </c>
      <c r="L261" s="329">
        <v>0</v>
      </c>
      <c r="M261" s="329">
        <v>0.23660400000000001</v>
      </c>
      <c r="N261" s="329">
        <v>0.27130799999999999</v>
      </c>
      <c r="O261" s="329">
        <v>0.16841100000000001</v>
      </c>
      <c r="P261" s="329">
        <v>0.25514500000000001</v>
      </c>
      <c r="Q261" s="329">
        <v>0.33495999999999998</v>
      </c>
      <c r="R261" s="329">
        <v>0.289157</v>
      </c>
      <c r="S261" s="329">
        <v>0.29753099999999999</v>
      </c>
      <c r="T261" s="329">
        <v>0.334395</v>
      </c>
      <c r="U261" s="329">
        <v>0.23899599999999999</v>
      </c>
      <c r="V261" s="329">
        <v>0.35849199999999998</v>
      </c>
      <c r="W261" s="329">
        <v>0.185304</v>
      </c>
      <c r="X261" s="329">
        <v>0.24463199999999999</v>
      </c>
      <c r="Y261" s="329">
        <v>0.259044</v>
      </c>
      <c r="Z261" s="329">
        <v>0.249555</v>
      </c>
      <c r="AA261" s="329">
        <v>0.35900500000000002</v>
      </c>
      <c r="AB261" s="329">
        <v>0.28325699999999998</v>
      </c>
      <c r="AC261" s="329">
        <v>0.311502</v>
      </c>
      <c r="AD261" s="329">
        <v>0.237678</v>
      </c>
      <c r="AE261" s="52">
        <f>'User Add-in Location'!B267</f>
        <v>0</v>
      </c>
      <c r="AF261" s="52">
        <f>'User Add-in Location'!C267</f>
        <v>0</v>
      </c>
      <c r="AG261" s="329">
        <v>0.31148900000000002</v>
      </c>
      <c r="AH261" s="329">
        <v>0.18712500000000001</v>
      </c>
      <c r="AI261" s="329">
        <v>0.27525300000000003</v>
      </c>
      <c r="AJ261" s="329">
        <v>0.30705399999999999</v>
      </c>
      <c r="AK261" s="329">
        <v>0.236124</v>
      </c>
      <c r="AL261" s="329">
        <v>0.25009999999999999</v>
      </c>
      <c r="AM261" s="329">
        <v>0.32507999999999998</v>
      </c>
      <c r="AN261" s="329">
        <v>0.24965000000000001</v>
      </c>
      <c r="AO261" s="329">
        <v>0.22976099999999999</v>
      </c>
      <c r="AP261" s="329">
        <v>0.28495399999999999</v>
      </c>
      <c r="AQ261" s="329">
        <v>0.25848199999999999</v>
      </c>
      <c r="AR261" s="329">
        <v>0.336086</v>
      </c>
      <c r="AS261" s="324">
        <v>0</v>
      </c>
      <c r="AT261" s="324">
        <v>0</v>
      </c>
      <c r="AU261" s="324">
        <v>0</v>
      </c>
      <c r="AV261" s="324">
        <v>0</v>
      </c>
      <c r="AW261" s="324">
        <v>0</v>
      </c>
      <c r="AX261" s="324">
        <v>0</v>
      </c>
      <c r="AY261" s="324">
        <v>0</v>
      </c>
      <c r="AZ261" s="324">
        <v>0</v>
      </c>
      <c r="BA261" s="329">
        <v>0.196488</v>
      </c>
      <c r="BB261" s="329">
        <v>0.180585</v>
      </c>
      <c r="BC261" s="329">
        <v>0.283329</v>
      </c>
      <c r="BD261" s="329">
        <v>0.22229199999999999</v>
      </c>
      <c r="BE261" s="329">
        <v>0.38114799999999999</v>
      </c>
      <c r="BF261" s="329">
        <v>0.48766399999999999</v>
      </c>
      <c r="BG261" s="329">
        <v>0.30173899999999998</v>
      </c>
      <c r="BH261" s="329">
        <v>0.215387</v>
      </c>
      <c r="BI261" s="329">
        <v>0.234319</v>
      </c>
      <c r="BJ261" s="329">
        <v>0.22095400000000001</v>
      </c>
      <c r="BK261" s="329">
        <v>0.13096099999999999</v>
      </c>
      <c r="BL261" s="329">
        <v>0.19001899999999999</v>
      </c>
      <c r="BM261" s="329">
        <v>0.114494</v>
      </c>
    </row>
    <row r="262" spans="3:65">
      <c r="C262" s="329" t="s">
        <v>390</v>
      </c>
      <c r="D262" s="329">
        <v>0.236205</v>
      </c>
      <c r="E262" s="329">
        <v>0.19789399999999999</v>
      </c>
      <c r="F262" s="329">
        <v>0.21307100000000001</v>
      </c>
      <c r="G262" s="329">
        <v>0.25365100000000002</v>
      </c>
      <c r="H262" s="329">
        <v>0.34054200000000001</v>
      </c>
      <c r="I262" s="329">
        <v>0.35065099999999999</v>
      </c>
      <c r="J262" s="329">
        <v>0.31079699999999999</v>
      </c>
      <c r="K262" s="329">
        <v>0.21746699999999999</v>
      </c>
      <c r="L262" s="329">
        <v>0</v>
      </c>
      <c r="M262" s="329">
        <v>0.30227999999999999</v>
      </c>
      <c r="N262" s="329">
        <v>0.28076200000000001</v>
      </c>
      <c r="O262" s="329">
        <v>0</v>
      </c>
      <c r="P262" s="329">
        <v>0.28647899999999998</v>
      </c>
      <c r="Q262" s="329">
        <v>0.33397199999999999</v>
      </c>
      <c r="R262" s="329">
        <v>0.30726199999999998</v>
      </c>
      <c r="S262" s="329">
        <v>0.30694900000000003</v>
      </c>
      <c r="T262" s="329">
        <v>0.33413100000000001</v>
      </c>
      <c r="U262" s="329">
        <v>0.247054</v>
      </c>
      <c r="V262" s="329">
        <v>0.33486100000000002</v>
      </c>
      <c r="W262" s="329">
        <v>0.239846</v>
      </c>
      <c r="X262" s="329">
        <v>0.248195</v>
      </c>
      <c r="Y262" s="329">
        <v>0.308973</v>
      </c>
      <c r="Z262" s="329">
        <v>0.24887999999999999</v>
      </c>
      <c r="AA262" s="329">
        <v>0.34185700000000002</v>
      </c>
      <c r="AB262" s="329">
        <v>0.27263300000000001</v>
      </c>
      <c r="AC262" s="329">
        <v>0.33958899999999997</v>
      </c>
      <c r="AD262" s="329">
        <v>0.24774499999999999</v>
      </c>
      <c r="AE262" s="52">
        <f>'User Add-in Location'!B268</f>
        <v>0</v>
      </c>
      <c r="AF262" s="52">
        <f>'User Add-in Location'!C268</f>
        <v>0</v>
      </c>
      <c r="AG262" s="329">
        <v>0.32695099999999999</v>
      </c>
      <c r="AH262" s="329">
        <v>0.20888699999999999</v>
      </c>
      <c r="AI262" s="329">
        <v>0.26203799999999999</v>
      </c>
      <c r="AJ262" s="329">
        <v>0.30990099999999998</v>
      </c>
      <c r="AK262" s="329">
        <v>0.25614599999999998</v>
      </c>
      <c r="AL262" s="329">
        <v>0.27919699999999997</v>
      </c>
      <c r="AM262" s="329">
        <v>0.32644400000000001</v>
      </c>
      <c r="AN262" s="329">
        <v>0.26983299999999999</v>
      </c>
      <c r="AO262" s="329">
        <v>0.21804100000000001</v>
      </c>
      <c r="AP262" s="329">
        <v>0.27395199999999997</v>
      </c>
      <c r="AQ262" s="329">
        <v>0.28433599999999998</v>
      </c>
      <c r="AR262" s="329">
        <v>0.34125800000000001</v>
      </c>
      <c r="AS262" s="324">
        <v>0</v>
      </c>
      <c r="AT262" s="324">
        <v>0</v>
      </c>
      <c r="AU262" s="324">
        <v>0</v>
      </c>
      <c r="AV262" s="324">
        <v>0</v>
      </c>
      <c r="AW262" s="324">
        <v>0</v>
      </c>
      <c r="AX262" s="324">
        <v>0</v>
      </c>
      <c r="AY262" s="324">
        <v>0</v>
      </c>
      <c r="AZ262" s="324">
        <v>0</v>
      </c>
      <c r="BA262" s="329">
        <v>0.16723399999999999</v>
      </c>
      <c r="BB262" s="329">
        <v>0.19173499999999999</v>
      </c>
      <c r="BC262" s="329">
        <v>0.35020600000000002</v>
      </c>
      <c r="BD262" s="329">
        <v>0.24938099999999999</v>
      </c>
      <c r="BE262" s="329">
        <v>0.37649899999999997</v>
      </c>
      <c r="BF262" s="329">
        <v>0.46758300000000003</v>
      </c>
      <c r="BG262" s="329">
        <v>0.29256799999999999</v>
      </c>
      <c r="BH262" s="329">
        <v>0.20780699999999999</v>
      </c>
      <c r="BI262" s="329">
        <v>0.28502300000000003</v>
      </c>
      <c r="BJ262" s="329">
        <v>0.24157799999999999</v>
      </c>
      <c r="BK262" s="329">
        <v>0.15155299999999999</v>
      </c>
      <c r="BL262" s="329">
        <v>0.19414000000000001</v>
      </c>
      <c r="BM262" s="329">
        <v>0.13015199999999999</v>
      </c>
    </row>
    <row r="263" spans="3:65">
      <c r="C263" s="329" t="s">
        <v>391</v>
      </c>
      <c r="D263" s="329">
        <v>0.20331199999999999</v>
      </c>
      <c r="E263" s="329">
        <v>0.23889199999999999</v>
      </c>
      <c r="F263" s="329">
        <v>0.169683</v>
      </c>
      <c r="G263" s="329">
        <v>0.24503800000000001</v>
      </c>
      <c r="H263" s="329">
        <v>0.32753300000000002</v>
      </c>
      <c r="I263" s="329">
        <v>0.26194800000000001</v>
      </c>
      <c r="J263" s="329">
        <v>0.28400500000000001</v>
      </c>
      <c r="K263" s="329">
        <v>0.18854899999999999</v>
      </c>
      <c r="L263" s="329">
        <v>0.124569</v>
      </c>
      <c r="M263" s="329">
        <v>0.25840200000000002</v>
      </c>
      <c r="N263" s="329">
        <v>0.238292</v>
      </c>
      <c r="O263" s="329">
        <v>0</v>
      </c>
      <c r="P263" s="329">
        <v>0.26072200000000001</v>
      </c>
      <c r="Q263" s="329">
        <v>0.30359799999999998</v>
      </c>
      <c r="R263" s="329">
        <v>0.312693</v>
      </c>
      <c r="S263" s="329">
        <v>0.28405200000000003</v>
      </c>
      <c r="T263" s="329">
        <v>0.32087399999999999</v>
      </c>
      <c r="U263" s="329">
        <v>0.233789</v>
      </c>
      <c r="V263" s="329">
        <v>0.33051900000000001</v>
      </c>
      <c r="W263" s="329">
        <v>0.207145</v>
      </c>
      <c r="X263" s="329">
        <v>0.25417400000000001</v>
      </c>
      <c r="Y263" s="329">
        <v>0.26183499999999998</v>
      </c>
      <c r="Z263" s="329">
        <v>0.240781</v>
      </c>
      <c r="AA263" s="329">
        <v>0.32765</v>
      </c>
      <c r="AB263" s="329">
        <v>0.27388200000000001</v>
      </c>
      <c r="AC263" s="329">
        <v>0.271976</v>
      </c>
      <c r="AD263" s="329">
        <v>0.214808</v>
      </c>
      <c r="AE263" s="52">
        <f>'User Add-in Location'!B269</f>
        <v>0</v>
      </c>
      <c r="AF263" s="52">
        <f>'User Add-in Location'!C269</f>
        <v>0</v>
      </c>
      <c r="AG263" s="329">
        <v>0.25162299999999999</v>
      </c>
      <c r="AH263" s="329">
        <v>0.18529699999999999</v>
      </c>
      <c r="AI263" s="329">
        <v>0.20977199999999999</v>
      </c>
      <c r="AJ263" s="329">
        <v>0.281221</v>
      </c>
      <c r="AK263" s="329">
        <v>0.21451899999999999</v>
      </c>
      <c r="AL263" s="329">
        <v>0.270482</v>
      </c>
      <c r="AM263" s="329">
        <v>0.27262799999999998</v>
      </c>
      <c r="AN263" s="329">
        <v>0.248472</v>
      </c>
      <c r="AO263" s="329">
        <v>0.17388500000000001</v>
      </c>
      <c r="AP263" s="329">
        <v>0.26940199999999997</v>
      </c>
      <c r="AQ263" s="329">
        <v>0.25573400000000002</v>
      </c>
      <c r="AR263" s="329">
        <v>0.29518100000000003</v>
      </c>
      <c r="AS263" s="324">
        <v>0</v>
      </c>
      <c r="AT263" s="324">
        <v>0</v>
      </c>
      <c r="AU263" s="324">
        <v>0</v>
      </c>
      <c r="AV263" s="324">
        <v>0</v>
      </c>
      <c r="AW263" s="324">
        <v>0</v>
      </c>
      <c r="AX263" s="324">
        <v>0</v>
      </c>
      <c r="AY263" s="324">
        <v>0</v>
      </c>
      <c r="AZ263" s="324">
        <v>0</v>
      </c>
      <c r="BA263" s="329">
        <v>0.13544300000000001</v>
      </c>
      <c r="BB263" s="329">
        <v>0.15995699999999999</v>
      </c>
      <c r="BC263" s="329">
        <v>0.29310399999999998</v>
      </c>
      <c r="BD263" s="329">
        <v>0.20915500000000001</v>
      </c>
      <c r="BE263" s="329">
        <v>0.38336399999999998</v>
      </c>
      <c r="BF263" s="329">
        <v>0.43736399999999998</v>
      </c>
      <c r="BG263" s="329">
        <v>0.29829299999999997</v>
      </c>
      <c r="BH263" s="329">
        <v>0.203901</v>
      </c>
      <c r="BI263" s="329">
        <v>0.264461</v>
      </c>
      <c r="BJ263" s="329">
        <v>0.20516100000000001</v>
      </c>
      <c r="BK263" s="329">
        <v>0.124848</v>
      </c>
      <c r="BL263" s="329">
        <v>0.15809699999999999</v>
      </c>
      <c r="BM263" s="329">
        <v>0.113286</v>
      </c>
    </row>
    <row r="264" spans="3:65">
      <c r="C264" s="329" t="s">
        <v>392</v>
      </c>
      <c r="D264" s="329">
        <v>0.22881099999999999</v>
      </c>
      <c r="E264" s="329">
        <v>0</v>
      </c>
      <c r="F264" s="329">
        <v>0.15096200000000001</v>
      </c>
      <c r="G264" s="329">
        <v>0.25389400000000001</v>
      </c>
      <c r="H264" s="329">
        <v>0.343974</v>
      </c>
      <c r="I264" s="329">
        <v>0.23485600000000001</v>
      </c>
      <c r="J264" s="329">
        <v>0.30554399999999998</v>
      </c>
      <c r="K264" s="329">
        <v>0.237373</v>
      </c>
      <c r="L264" s="329">
        <v>0</v>
      </c>
      <c r="M264" s="329">
        <v>0.222496</v>
      </c>
      <c r="N264" s="329">
        <v>0.24885699999999999</v>
      </c>
      <c r="O264" s="329">
        <v>0</v>
      </c>
      <c r="P264" s="329">
        <v>0</v>
      </c>
      <c r="Q264" s="329">
        <v>0.31800400000000001</v>
      </c>
      <c r="R264" s="329">
        <v>0.31648199999999999</v>
      </c>
      <c r="S264" s="329">
        <v>0.29909599999999997</v>
      </c>
      <c r="T264" s="329">
        <v>0.330291</v>
      </c>
      <c r="U264" s="329">
        <v>0.25430399999999997</v>
      </c>
      <c r="V264" s="329">
        <v>0.34651599999999999</v>
      </c>
      <c r="W264" s="329">
        <v>0</v>
      </c>
      <c r="X264" s="329">
        <v>0.22864100000000001</v>
      </c>
      <c r="Y264" s="329">
        <v>0.290271</v>
      </c>
      <c r="Z264" s="329">
        <v>0.22742799999999999</v>
      </c>
      <c r="AA264" s="329">
        <v>0.408771</v>
      </c>
      <c r="AB264" s="329">
        <v>0.29509099999999999</v>
      </c>
      <c r="AC264" s="329">
        <v>0.298124</v>
      </c>
      <c r="AD264" s="329">
        <v>0</v>
      </c>
      <c r="AE264" s="52">
        <f>'User Add-in Location'!B270</f>
        <v>0</v>
      </c>
      <c r="AF264" s="52">
        <f>'User Add-in Location'!C270</f>
        <v>0</v>
      </c>
      <c r="AG264" s="329">
        <v>0</v>
      </c>
      <c r="AH264" s="329">
        <v>0.196852</v>
      </c>
      <c r="AI264" s="329">
        <v>0</v>
      </c>
      <c r="AJ264" s="329">
        <v>0.29471399999999998</v>
      </c>
      <c r="AK264" s="329">
        <v>0</v>
      </c>
      <c r="AL264" s="329">
        <v>0.25880999999999998</v>
      </c>
      <c r="AM264" s="329">
        <v>0.28912399999999999</v>
      </c>
      <c r="AN264" s="329">
        <v>0</v>
      </c>
      <c r="AO264" s="329">
        <v>0.207153</v>
      </c>
      <c r="AP264" s="329">
        <v>0.31886799999999998</v>
      </c>
      <c r="AQ264" s="329">
        <v>0.23813999999999999</v>
      </c>
      <c r="AR264" s="329">
        <v>0.332094</v>
      </c>
      <c r="AS264" s="324">
        <v>0</v>
      </c>
      <c r="AT264" s="324">
        <v>0</v>
      </c>
      <c r="AU264" s="324">
        <v>0</v>
      </c>
      <c r="AV264" s="324">
        <v>0</v>
      </c>
      <c r="AW264" s="324">
        <v>0</v>
      </c>
      <c r="AX264" s="324">
        <v>0</v>
      </c>
      <c r="AY264" s="324">
        <v>0</v>
      </c>
      <c r="AZ264" s="324">
        <v>0</v>
      </c>
      <c r="BA264" s="329">
        <v>0.148253</v>
      </c>
      <c r="BB264" s="329">
        <v>0.15596699999999999</v>
      </c>
      <c r="BC264" s="329">
        <v>0</v>
      </c>
      <c r="BD264" s="329">
        <v>0.181646</v>
      </c>
      <c r="BE264" s="329">
        <v>0.41137200000000002</v>
      </c>
      <c r="BF264" s="329">
        <v>0.44584299999999999</v>
      </c>
      <c r="BG264" s="329">
        <v>0.30843300000000001</v>
      </c>
      <c r="BH264" s="329">
        <v>0</v>
      </c>
      <c r="BI264" s="329">
        <v>0.27325100000000002</v>
      </c>
      <c r="BJ264" s="329">
        <v>0.233186</v>
      </c>
      <c r="BK264" s="329">
        <v>0.11124100000000001</v>
      </c>
      <c r="BL264" s="329">
        <v>0.15396599999999999</v>
      </c>
      <c r="BM264" s="329">
        <v>0</v>
      </c>
    </row>
    <row r="265" spans="3:65">
      <c r="C265" s="329" t="s">
        <v>393</v>
      </c>
      <c r="D265" s="329">
        <v>0.221133</v>
      </c>
      <c r="E265" s="329">
        <v>0</v>
      </c>
      <c r="F265" s="329">
        <v>0.13380900000000001</v>
      </c>
      <c r="G265" s="329">
        <v>0.25534299999999999</v>
      </c>
      <c r="H265" s="329">
        <v>0.37667099999999998</v>
      </c>
      <c r="I265" s="329">
        <v>0.24884700000000001</v>
      </c>
      <c r="J265" s="329">
        <v>0.31892199999999998</v>
      </c>
      <c r="K265" s="329">
        <v>0</v>
      </c>
      <c r="L265" s="329">
        <v>0.10972</v>
      </c>
      <c r="M265" s="329">
        <v>0.23178099999999999</v>
      </c>
      <c r="N265" s="329">
        <v>0.27814800000000001</v>
      </c>
      <c r="O265" s="329">
        <v>0</v>
      </c>
      <c r="P265" s="329">
        <v>0.25094300000000003</v>
      </c>
      <c r="Q265" s="329">
        <v>0.34089599999999998</v>
      </c>
      <c r="R265" s="329">
        <v>0.338422</v>
      </c>
      <c r="S265" s="329">
        <v>0</v>
      </c>
      <c r="T265" s="329">
        <v>0.37798500000000002</v>
      </c>
      <c r="U265" s="329">
        <v>0.25259799999999999</v>
      </c>
      <c r="V265" s="329">
        <v>0.36481400000000003</v>
      </c>
      <c r="W265" s="329">
        <v>0.192162</v>
      </c>
      <c r="X265" s="329">
        <v>0.21765499999999999</v>
      </c>
      <c r="Y265" s="329">
        <v>0.29973499999999997</v>
      </c>
      <c r="Z265" s="329">
        <v>0.25968000000000002</v>
      </c>
      <c r="AA265" s="329">
        <v>0.38258999999999999</v>
      </c>
      <c r="AB265" s="329">
        <v>0.29113699999999998</v>
      </c>
      <c r="AC265" s="329">
        <v>0</v>
      </c>
      <c r="AD265" s="329">
        <v>0.22720099999999999</v>
      </c>
      <c r="AE265" s="52">
        <f>'User Add-in Location'!B271</f>
        <v>0</v>
      </c>
      <c r="AF265" s="52">
        <f>'User Add-in Location'!C271</f>
        <v>0</v>
      </c>
      <c r="AG265" s="329">
        <v>0.282808</v>
      </c>
      <c r="AH265" s="329">
        <v>0.18688299999999999</v>
      </c>
      <c r="AI265" s="329">
        <v>0.27051900000000001</v>
      </c>
      <c r="AJ265" s="329">
        <v>0.30685699999999999</v>
      </c>
      <c r="AK265" s="329">
        <v>0.18466399999999999</v>
      </c>
      <c r="AL265" s="329">
        <v>0.26126700000000003</v>
      </c>
      <c r="AM265" s="329">
        <v>0.32476300000000002</v>
      </c>
      <c r="AN265" s="329">
        <v>0.27766200000000002</v>
      </c>
      <c r="AO265" s="329">
        <v>0.208318</v>
      </c>
      <c r="AP265" s="329">
        <v>0</v>
      </c>
      <c r="AQ265" s="329">
        <v>0</v>
      </c>
      <c r="AR265" s="329">
        <v>0.36923499999999998</v>
      </c>
      <c r="AS265" s="324">
        <v>0</v>
      </c>
      <c r="AT265" s="324">
        <v>0</v>
      </c>
      <c r="AU265" s="324">
        <v>0</v>
      </c>
      <c r="AV265" s="324">
        <v>0</v>
      </c>
      <c r="AW265" s="324">
        <v>0</v>
      </c>
      <c r="AX265" s="324">
        <v>0</v>
      </c>
      <c r="AY265" s="324">
        <v>0</v>
      </c>
      <c r="AZ265" s="324">
        <v>0</v>
      </c>
      <c r="BA265" s="329">
        <v>0.15037800000000001</v>
      </c>
      <c r="BB265" s="329">
        <v>0.170403</v>
      </c>
      <c r="BC265" s="329">
        <v>0</v>
      </c>
      <c r="BD265" s="329">
        <v>0.224716</v>
      </c>
      <c r="BE265" s="329">
        <v>0.42353400000000002</v>
      </c>
      <c r="BF265" s="329">
        <v>0.46809899999999999</v>
      </c>
      <c r="BG265" s="329">
        <v>0.33484399999999997</v>
      </c>
      <c r="BH265" s="329">
        <v>0.19702</v>
      </c>
      <c r="BI265" s="329">
        <v>0.278775</v>
      </c>
      <c r="BJ265" s="329">
        <v>0.18457499999999999</v>
      </c>
      <c r="BK265" s="329">
        <v>8.9585999999999999E-2</v>
      </c>
      <c r="BL265" s="329">
        <v>0.15153700000000001</v>
      </c>
      <c r="BM265" s="329">
        <v>9.8317000000000002E-2</v>
      </c>
    </row>
    <row r="266" spans="3:65">
      <c r="C266" s="329" t="s">
        <v>394</v>
      </c>
      <c r="D266" s="329">
        <v>0.19062699999999999</v>
      </c>
      <c r="E266" s="329">
        <v>0.176536</v>
      </c>
      <c r="F266" s="329">
        <v>0.23983499999999999</v>
      </c>
      <c r="G266" s="329">
        <v>0.193666</v>
      </c>
      <c r="H266" s="329">
        <v>0.24621199999999999</v>
      </c>
      <c r="I266" s="329">
        <v>0.26421499999999998</v>
      </c>
      <c r="J266" s="329">
        <v>0.23101099999999999</v>
      </c>
      <c r="K266" s="329">
        <v>0.216085</v>
      </c>
      <c r="L266" s="329">
        <v>0.164741</v>
      </c>
      <c r="M266" s="329">
        <v>0.25353500000000001</v>
      </c>
      <c r="N266" s="329">
        <v>0.22507099999999999</v>
      </c>
      <c r="O266" s="329">
        <v>0.24601700000000001</v>
      </c>
      <c r="P266" s="329">
        <v>0.232214</v>
      </c>
      <c r="Q266" s="329">
        <v>0.247729</v>
      </c>
      <c r="R266" s="329">
        <v>0.24390300000000001</v>
      </c>
      <c r="S266" s="329">
        <v>0.23182900000000001</v>
      </c>
      <c r="T266" s="329">
        <v>0.23646900000000001</v>
      </c>
      <c r="U266" s="329">
        <v>0.202764</v>
      </c>
      <c r="V266" s="329">
        <v>0.227271</v>
      </c>
      <c r="W266" s="329">
        <v>0.221279</v>
      </c>
      <c r="X266" s="329">
        <v>0.24102699999999999</v>
      </c>
      <c r="Y266" s="329">
        <v>0.24917700000000001</v>
      </c>
      <c r="Z266" s="329">
        <v>0.23834</v>
      </c>
      <c r="AA266" s="329">
        <v>0.265986</v>
      </c>
      <c r="AB266" s="329">
        <v>0.20743300000000001</v>
      </c>
      <c r="AC266" s="329">
        <v>0.27550000000000002</v>
      </c>
      <c r="AD266" s="329">
        <v>0.22553500000000001</v>
      </c>
      <c r="AE266" s="52">
        <f>'User Add-in Location'!B272</f>
        <v>0</v>
      </c>
      <c r="AF266" s="52">
        <f>'User Add-in Location'!C272</f>
        <v>0</v>
      </c>
      <c r="AG266" s="329">
        <v>0.23957300000000001</v>
      </c>
      <c r="AH266" s="329">
        <v>0.22910900000000001</v>
      </c>
      <c r="AI266" s="329">
        <v>0.20688300000000001</v>
      </c>
      <c r="AJ266" s="329">
        <v>0.245749</v>
      </c>
      <c r="AK266" s="329">
        <v>0.26022600000000001</v>
      </c>
      <c r="AL266" s="329">
        <v>0.25090800000000002</v>
      </c>
      <c r="AM266" s="329">
        <v>0.219913</v>
      </c>
      <c r="AN266" s="329">
        <v>0.205647</v>
      </c>
      <c r="AO266" s="329">
        <v>0.226692</v>
      </c>
      <c r="AP266" s="329">
        <v>0.239292</v>
      </c>
      <c r="AQ266" s="329">
        <v>0.266789</v>
      </c>
      <c r="AR266" s="329">
        <v>0.25014599999999998</v>
      </c>
      <c r="AS266" s="324">
        <v>0</v>
      </c>
      <c r="AT266" s="324">
        <v>0</v>
      </c>
      <c r="AU266" s="324">
        <v>0</v>
      </c>
      <c r="AV266" s="324">
        <v>0</v>
      </c>
      <c r="AW266" s="324">
        <v>0</v>
      </c>
      <c r="AX266" s="324">
        <v>0</v>
      </c>
      <c r="AY266" s="324">
        <v>0</v>
      </c>
      <c r="AZ266" s="324">
        <v>0</v>
      </c>
      <c r="BA266" s="329">
        <v>0.17397499999999999</v>
      </c>
      <c r="BB266" s="329">
        <v>0.16303100000000001</v>
      </c>
      <c r="BC266" s="329">
        <v>0.244504</v>
      </c>
      <c r="BD266" s="329">
        <v>0.24124499999999999</v>
      </c>
      <c r="BE266" s="329">
        <v>0.253525</v>
      </c>
      <c r="BF266" s="329">
        <v>0.35769600000000001</v>
      </c>
      <c r="BG266" s="329">
        <v>0.253141</v>
      </c>
      <c r="BH266" s="329">
        <v>0.244672</v>
      </c>
      <c r="BI266" s="329">
        <v>0.221331</v>
      </c>
      <c r="BJ266" s="329">
        <v>0.232877</v>
      </c>
      <c r="BK266" s="329">
        <v>0.178618</v>
      </c>
      <c r="BL266" s="329">
        <v>0.26746599999999998</v>
      </c>
      <c r="BM266" s="329">
        <v>0.16014600000000001</v>
      </c>
    </row>
    <row r="267" spans="3:65">
      <c r="C267" s="329" t="s">
        <v>395</v>
      </c>
      <c r="D267" s="329">
        <v>0.201073</v>
      </c>
      <c r="E267" s="329">
        <v>0.20530399999999999</v>
      </c>
      <c r="F267" s="329">
        <v>0.20680000000000001</v>
      </c>
      <c r="G267" s="329">
        <v>0.21130399999999999</v>
      </c>
      <c r="H267" s="329">
        <v>0.21129200000000001</v>
      </c>
      <c r="I267" s="329">
        <v>0.23651900000000001</v>
      </c>
      <c r="J267" s="329">
        <v>0.21836800000000001</v>
      </c>
      <c r="K267" s="329">
        <v>0.229243</v>
      </c>
      <c r="L267" s="329">
        <v>0.170793</v>
      </c>
      <c r="M267" s="329">
        <v>0.23461399999999999</v>
      </c>
      <c r="N267" s="329">
        <v>0.24529899999999999</v>
      </c>
      <c r="O267" s="329">
        <v>0.18887799999999999</v>
      </c>
      <c r="P267" s="329">
        <v>0.22017600000000001</v>
      </c>
      <c r="Q267" s="329">
        <v>0.24224200000000001</v>
      </c>
      <c r="R267" s="329">
        <v>0.23607400000000001</v>
      </c>
      <c r="S267" s="329">
        <v>0.24481</v>
      </c>
      <c r="T267" s="329">
        <v>0.23052300000000001</v>
      </c>
      <c r="U267" s="329">
        <v>0.218727</v>
      </c>
      <c r="V267" s="329">
        <v>0.220578</v>
      </c>
      <c r="W267" s="329">
        <v>0.213033</v>
      </c>
      <c r="X267" s="329">
        <v>0.23878199999999999</v>
      </c>
      <c r="Y267" s="329">
        <v>0.24454400000000001</v>
      </c>
      <c r="Z267" s="329">
        <v>0.23043</v>
      </c>
      <c r="AA267" s="329">
        <v>0.26527099999999998</v>
      </c>
      <c r="AB267" s="329">
        <v>0.20000799999999999</v>
      </c>
      <c r="AC267" s="329">
        <v>0.27046900000000001</v>
      </c>
      <c r="AD267" s="329">
        <v>0.23778299999999999</v>
      </c>
      <c r="AE267" s="52">
        <f>'User Add-in Location'!B273</f>
        <v>0</v>
      </c>
      <c r="AF267" s="52">
        <f>'User Add-in Location'!C273</f>
        <v>0</v>
      </c>
      <c r="AG267" s="329">
        <v>0.26017800000000002</v>
      </c>
      <c r="AH267" s="329">
        <v>0.20014799999999999</v>
      </c>
      <c r="AI267" s="329">
        <v>0.23874400000000001</v>
      </c>
      <c r="AJ267" s="329">
        <v>0.218891</v>
      </c>
      <c r="AK267" s="329">
        <v>0.22656399999999999</v>
      </c>
      <c r="AL267" s="329">
        <v>0.21607699999999999</v>
      </c>
      <c r="AM267" s="329">
        <v>0.22739300000000001</v>
      </c>
      <c r="AN267" s="329">
        <v>0.22627800000000001</v>
      </c>
      <c r="AO267" s="329">
        <v>0.21785099999999999</v>
      </c>
      <c r="AP267" s="329">
        <v>0.24718599999999999</v>
      </c>
      <c r="AQ267" s="329">
        <v>0.26217400000000002</v>
      </c>
      <c r="AR267" s="329">
        <v>0.268733</v>
      </c>
      <c r="AS267" s="324">
        <v>0</v>
      </c>
      <c r="AT267" s="324">
        <v>0</v>
      </c>
      <c r="AU267" s="324">
        <v>0</v>
      </c>
      <c r="AV267" s="324">
        <v>0</v>
      </c>
      <c r="AW267" s="324">
        <v>0</v>
      </c>
      <c r="AX267" s="324">
        <v>0</v>
      </c>
      <c r="AY267" s="324">
        <v>0</v>
      </c>
      <c r="AZ267" s="324">
        <v>0</v>
      </c>
      <c r="BA267" s="329">
        <v>0.182058</v>
      </c>
      <c r="BB267" s="329">
        <v>0.18412600000000001</v>
      </c>
      <c r="BC267" s="329">
        <v>0.238622</v>
      </c>
      <c r="BD267" s="329">
        <v>0.22157499999999999</v>
      </c>
      <c r="BE267" s="329">
        <v>0.25420300000000001</v>
      </c>
      <c r="BF267" s="329">
        <v>0.34464699999999998</v>
      </c>
      <c r="BG267" s="329">
        <v>0.230021</v>
      </c>
      <c r="BH267" s="329">
        <v>0.226077</v>
      </c>
      <c r="BI267" s="329">
        <v>0.24351</v>
      </c>
      <c r="BJ267" s="329">
        <v>0.18126300000000001</v>
      </c>
      <c r="BK267" s="329">
        <v>0.19097500000000001</v>
      </c>
      <c r="BL267" s="329">
        <v>0.262874</v>
      </c>
      <c r="BM267" s="329">
        <v>0.16906599999999999</v>
      </c>
    </row>
    <row r="268" spans="3:65">
      <c r="C268" s="329" t="s">
        <v>396</v>
      </c>
      <c r="D268" s="329">
        <v>0.23779400000000001</v>
      </c>
      <c r="E268" s="329">
        <v>0.186697</v>
      </c>
      <c r="F268" s="329">
        <v>0.22013099999999999</v>
      </c>
      <c r="G268" s="329">
        <v>0.26837100000000003</v>
      </c>
      <c r="H268" s="329">
        <v>0.23711599999999999</v>
      </c>
      <c r="I268" s="329">
        <v>0.25249700000000003</v>
      </c>
      <c r="J268" s="329">
        <v>0.222168</v>
      </c>
      <c r="K268" s="329">
        <v>0.28736200000000001</v>
      </c>
      <c r="L268" s="329">
        <v>0.19381200000000001</v>
      </c>
      <c r="M268" s="329">
        <v>0.241315</v>
      </c>
      <c r="N268" s="329">
        <v>0.26405099999999998</v>
      </c>
      <c r="O268" s="329">
        <v>0.172904</v>
      </c>
      <c r="P268" s="329">
        <v>0.24188899999999999</v>
      </c>
      <c r="Q268" s="329">
        <v>0.27287600000000001</v>
      </c>
      <c r="R268" s="329">
        <v>0.27041900000000002</v>
      </c>
      <c r="S268" s="329">
        <v>0.23733499999999999</v>
      </c>
      <c r="T268" s="329">
        <v>0.26571099999999997</v>
      </c>
      <c r="U268" s="329">
        <v>0.246147</v>
      </c>
      <c r="V268" s="329">
        <v>0.31728699999999999</v>
      </c>
      <c r="W268" s="329">
        <v>0.24502099999999999</v>
      </c>
      <c r="X268" s="329">
        <v>0.24168100000000001</v>
      </c>
      <c r="Y268" s="329">
        <v>0.24563599999999999</v>
      </c>
      <c r="Z268" s="329">
        <v>0.24248400000000001</v>
      </c>
      <c r="AA268" s="329">
        <v>0.27788099999999999</v>
      </c>
      <c r="AB268" s="329">
        <v>0.264233</v>
      </c>
      <c r="AC268" s="329">
        <v>0.29133100000000001</v>
      </c>
      <c r="AD268" s="329">
        <v>0.27488899999999999</v>
      </c>
      <c r="AE268" s="52">
        <f>'User Add-in Location'!B274</f>
        <v>0</v>
      </c>
      <c r="AF268" s="52">
        <f>'User Add-in Location'!C274</f>
        <v>0</v>
      </c>
      <c r="AG268" s="329">
        <v>0.186636</v>
      </c>
      <c r="AH268" s="329">
        <v>0.22529299999999999</v>
      </c>
      <c r="AI268" s="329">
        <v>0.23039799999999999</v>
      </c>
      <c r="AJ268" s="329">
        <v>0.23160800000000001</v>
      </c>
      <c r="AK268" s="329">
        <v>0.270453</v>
      </c>
      <c r="AL268" s="329">
        <v>0.26610699999999998</v>
      </c>
      <c r="AM268" s="329">
        <v>0.25773800000000002</v>
      </c>
      <c r="AN268" s="329">
        <v>0.25764100000000001</v>
      </c>
      <c r="AO268" s="329">
        <v>0.24204400000000001</v>
      </c>
      <c r="AP268" s="329">
        <v>0.229882</v>
      </c>
      <c r="AQ268" s="329">
        <v>0.2424</v>
      </c>
      <c r="AR268" s="329">
        <v>0.27342699999999998</v>
      </c>
      <c r="AS268" s="324">
        <v>0</v>
      </c>
      <c r="AT268" s="324">
        <v>0</v>
      </c>
      <c r="AU268" s="324">
        <v>0</v>
      </c>
      <c r="AV268" s="324">
        <v>0</v>
      </c>
      <c r="AW268" s="324">
        <v>0</v>
      </c>
      <c r="AX268" s="324">
        <v>0</v>
      </c>
      <c r="AY268" s="324">
        <v>0</v>
      </c>
      <c r="AZ268" s="324">
        <v>0</v>
      </c>
      <c r="BA268" s="329">
        <v>0.18735499999999999</v>
      </c>
      <c r="BB268" s="329">
        <v>0.19459699999999999</v>
      </c>
      <c r="BC268" s="329">
        <v>0.29373500000000002</v>
      </c>
      <c r="BD268" s="329">
        <v>0.24766199999999999</v>
      </c>
      <c r="BE268" s="329">
        <v>0.29682999999999998</v>
      </c>
      <c r="BF268" s="329">
        <v>0.41547200000000001</v>
      </c>
      <c r="BG268" s="329">
        <v>0.24832799999999999</v>
      </c>
      <c r="BH268" s="329">
        <v>0.28116000000000002</v>
      </c>
      <c r="BI268" s="329">
        <v>0.24233299999999999</v>
      </c>
      <c r="BJ268" s="329">
        <v>0.24546899999999999</v>
      </c>
      <c r="BK268" s="329">
        <v>0.22955800000000001</v>
      </c>
      <c r="BL268" s="329">
        <v>0.239675</v>
      </c>
      <c r="BM268" s="329">
        <v>0.181094</v>
      </c>
    </row>
    <row r="269" spans="3:65">
      <c r="C269" s="329" t="s">
        <v>397</v>
      </c>
      <c r="D269" s="329">
        <v>0.22844200000000001</v>
      </c>
      <c r="E269" s="329">
        <v>0.18693899999999999</v>
      </c>
      <c r="F269" s="329">
        <v>0.24809800000000001</v>
      </c>
      <c r="G269" s="329">
        <v>0.22639300000000001</v>
      </c>
      <c r="H269" s="329">
        <v>0.226854</v>
      </c>
      <c r="I269" s="329">
        <v>0.26709899999999998</v>
      </c>
      <c r="J269" s="329">
        <v>0.19293299999999999</v>
      </c>
      <c r="K269" s="329">
        <v>0.16539400000000001</v>
      </c>
      <c r="L269" s="329">
        <v>0.21176300000000001</v>
      </c>
      <c r="M269" s="329">
        <v>0.27208399999999999</v>
      </c>
      <c r="N269" s="329">
        <v>0.27251700000000001</v>
      </c>
      <c r="O269" s="329">
        <v>0.19109100000000001</v>
      </c>
      <c r="P269" s="329">
        <v>0.249533</v>
      </c>
      <c r="Q269" s="329">
        <v>0.24186199999999999</v>
      </c>
      <c r="R269" s="329">
        <v>0.21007700000000001</v>
      </c>
      <c r="S269" s="329">
        <v>0.20016700000000001</v>
      </c>
      <c r="T269" s="329">
        <v>0.25103599999999998</v>
      </c>
      <c r="U269" s="329">
        <v>0.22548499999999999</v>
      </c>
      <c r="V269" s="329">
        <v>0.245361</v>
      </c>
      <c r="W269" s="329">
        <v>0.202352</v>
      </c>
      <c r="X269" s="329">
        <v>0.211674</v>
      </c>
      <c r="Y269" s="329">
        <v>0.22287799999999999</v>
      </c>
      <c r="Z269" s="329">
        <v>0.23294000000000001</v>
      </c>
      <c r="AA269" s="329">
        <v>0.25826900000000003</v>
      </c>
      <c r="AB269" s="329">
        <v>0.22039600000000001</v>
      </c>
      <c r="AC269" s="329">
        <v>0.278256</v>
      </c>
      <c r="AD269" s="329">
        <v>0.25050699999999998</v>
      </c>
      <c r="AE269" s="52">
        <f>'User Add-in Location'!B275</f>
        <v>0</v>
      </c>
      <c r="AF269" s="52">
        <f>'User Add-in Location'!C275</f>
        <v>0</v>
      </c>
      <c r="AG269" s="329">
        <v>0.229356</v>
      </c>
      <c r="AH269" s="329">
        <v>0.23064799999999999</v>
      </c>
      <c r="AI269" s="329">
        <v>0.203318</v>
      </c>
      <c r="AJ269" s="329">
        <v>0.23119799999999999</v>
      </c>
      <c r="AK269" s="329">
        <v>0.21204899999999999</v>
      </c>
      <c r="AL269" s="329">
        <v>0.22911300000000001</v>
      </c>
      <c r="AM269" s="329">
        <v>0.24102100000000001</v>
      </c>
      <c r="AN269" s="329">
        <v>0.23896700000000001</v>
      </c>
      <c r="AO269" s="329">
        <v>0.236652</v>
      </c>
      <c r="AP269" s="329">
        <v>0.25093700000000002</v>
      </c>
      <c r="AQ269" s="329">
        <v>0.227241</v>
      </c>
      <c r="AR269" s="329">
        <v>0.25502200000000003</v>
      </c>
      <c r="AS269" s="324">
        <v>0</v>
      </c>
      <c r="AT269" s="324">
        <v>0</v>
      </c>
      <c r="AU269" s="324">
        <v>0</v>
      </c>
      <c r="AV269" s="324">
        <v>0</v>
      </c>
      <c r="AW269" s="324">
        <v>0</v>
      </c>
      <c r="AX269" s="324">
        <v>0</v>
      </c>
      <c r="AY269" s="324">
        <v>0</v>
      </c>
      <c r="AZ269" s="324">
        <v>0</v>
      </c>
      <c r="BA269" s="329">
        <v>0.214089</v>
      </c>
      <c r="BB269" s="329">
        <v>0.21395800000000001</v>
      </c>
      <c r="BC269" s="329">
        <v>0.25457200000000002</v>
      </c>
      <c r="BD269" s="329">
        <v>0.24016100000000001</v>
      </c>
      <c r="BE269" s="329">
        <v>0.274617</v>
      </c>
      <c r="BF269" s="329">
        <v>0.368421</v>
      </c>
      <c r="BG269" s="329">
        <v>0.26971200000000001</v>
      </c>
      <c r="BH269" s="329">
        <v>0.20131099999999999</v>
      </c>
      <c r="BI269" s="329">
        <v>0.235426</v>
      </c>
      <c r="BJ269" s="329">
        <v>0.24484700000000001</v>
      </c>
      <c r="BK269" s="329">
        <v>0.19542200000000001</v>
      </c>
      <c r="BL269" s="329">
        <v>0.25700600000000001</v>
      </c>
      <c r="BM269" s="329">
        <v>0.21523500000000001</v>
      </c>
    </row>
    <row r="270" spans="3:65">
      <c r="C270" s="329" t="s">
        <v>398</v>
      </c>
      <c r="D270" s="329">
        <v>0.24123800000000001</v>
      </c>
      <c r="E270" s="329">
        <v>0.22966500000000001</v>
      </c>
      <c r="F270" s="329">
        <v>0.282111</v>
      </c>
      <c r="G270" s="329">
        <v>0.25640400000000002</v>
      </c>
      <c r="H270" s="329">
        <v>0.26073499999999999</v>
      </c>
      <c r="I270" s="329">
        <v>0.32119199999999998</v>
      </c>
      <c r="J270" s="329">
        <v>0.23249900000000001</v>
      </c>
      <c r="K270" s="329">
        <v>0.11812400000000001</v>
      </c>
      <c r="L270" s="329">
        <v>0.219275</v>
      </c>
      <c r="M270" s="329">
        <v>0.35366900000000001</v>
      </c>
      <c r="N270" s="329">
        <v>0.21215200000000001</v>
      </c>
      <c r="O270" s="329">
        <v>0.277499</v>
      </c>
      <c r="P270" s="329">
        <v>0.299873</v>
      </c>
      <c r="Q270" s="329">
        <v>0.28105599999999997</v>
      </c>
      <c r="R270" s="329">
        <v>0.29999199999999998</v>
      </c>
      <c r="S270" s="329">
        <v>0.26241399999999998</v>
      </c>
      <c r="T270" s="329">
        <v>0.33216699999999999</v>
      </c>
      <c r="U270" s="329">
        <v>0.26159900000000003</v>
      </c>
      <c r="V270" s="329">
        <v>0.29642000000000002</v>
      </c>
      <c r="W270" s="329">
        <v>0.25085600000000002</v>
      </c>
      <c r="X270" s="329">
        <v>0.30389300000000002</v>
      </c>
      <c r="Y270" s="329">
        <v>0.23313400000000001</v>
      </c>
      <c r="Z270" s="329">
        <v>0.31461899999999998</v>
      </c>
      <c r="AA270" s="329">
        <v>0.29113499999999998</v>
      </c>
      <c r="AB270" s="329">
        <v>0.25512299999999999</v>
      </c>
      <c r="AC270" s="329">
        <v>0.28620200000000001</v>
      </c>
      <c r="AD270" s="329">
        <v>0.25983400000000001</v>
      </c>
      <c r="AE270" s="52">
        <f>'User Add-in Location'!B276</f>
        <v>0</v>
      </c>
      <c r="AF270" s="52">
        <f>'User Add-in Location'!C276</f>
        <v>0</v>
      </c>
      <c r="AG270" s="329">
        <v>0.30708400000000002</v>
      </c>
      <c r="AH270" s="329">
        <v>0.26862399999999997</v>
      </c>
      <c r="AI270" s="329">
        <v>0.241262</v>
      </c>
      <c r="AJ270" s="329">
        <v>0.291491</v>
      </c>
      <c r="AK270" s="329">
        <v>0.29700100000000001</v>
      </c>
      <c r="AL270" s="329">
        <v>0.135049</v>
      </c>
      <c r="AM270" s="329">
        <v>0.182278</v>
      </c>
      <c r="AN270" s="329">
        <v>0.27479399999999998</v>
      </c>
      <c r="AO270" s="329">
        <v>0.214559</v>
      </c>
      <c r="AP270" s="329">
        <v>0.33236900000000003</v>
      </c>
      <c r="AQ270" s="329">
        <v>0.31290600000000002</v>
      </c>
      <c r="AR270" s="329">
        <v>0.34157500000000002</v>
      </c>
      <c r="AS270" s="324">
        <v>0</v>
      </c>
      <c r="AT270" s="324">
        <v>0</v>
      </c>
      <c r="AU270" s="324">
        <v>0</v>
      </c>
      <c r="AV270" s="324">
        <v>0</v>
      </c>
      <c r="AW270" s="324">
        <v>0</v>
      </c>
      <c r="AX270" s="324">
        <v>0</v>
      </c>
      <c r="AY270" s="324">
        <v>0</v>
      </c>
      <c r="AZ270" s="324">
        <v>0</v>
      </c>
      <c r="BA270" s="329">
        <v>0.23440800000000001</v>
      </c>
      <c r="BB270" s="329">
        <v>0.23661199999999999</v>
      </c>
      <c r="BC270" s="329">
        <v>0.141765</v>
      </c>
      <c r="BD270" s="329">
        <v>0.28826099999999999</v>
      </c>
      <c r="BE270" s="329">
        <v>0.33948499999999998</v>
      </c>
      <c r="BF270" s="329">
        <v>0.38789800000000002</v>
      </c>
      <c r="BG270" s="329">
        <v>0.25463999999999998</v>
      </c>
      <c r="BH270" s="329">
        <v>0.288026</v>
      </c>
      <c r="BI270" s="329">
        <v>0.25806800000000002</v>
      </c>
      <c r="BJ270" s="329">
        <v>0.31498100000000001</v>
      </c>
      <c r="BK270" s="329">
        <v>0.25004599999999999</v>
      </c>
      <c r="BL270" s="329">
        <v>0.32956299999999999</v>
      </c>
      <c r="BM270" s="329">
        <v>0.24292</v>
      </c>
    </row>
    <row r="271" spans="3:65">
      <c r="C271" s="329" t="s">
        <v>399</v>
      </c>
      <c r="D271" s="329">
        <v>0.200123</v>
      </c>
      <c r="E271" s="329">
        <v>0.198379</v>
      </c>
      <c r="F271" s="329">
        <v>0.23155899999999999</v>
      </c>
      <c r="G271" s="329">
        <v>0.18759799999999999</v>
      </c>
      <c r="H271" s="329">
        <v>0.21373500000000001</v>
      </c>
      <c r="I271" s="329">
        <v>0.22834099999999999</v>
      </c>
      <c r="J271" s="329">
        <v>0.21262</v>
      </c>
      <c r="K271" s="329">
        <v>0.15384100000000001</v>
      </c>
      <c r="L271" s="329">
        <v>0.12406300000000001</v>
      </c>
      <c r="M271" s="329">
        <v>0.25097399999999997</v>
      </c>
      <c r="N271" s="329">
        <v>0.22597800000000001</v>
      </c>
      <c r="O271" s="329">
        <v>0.212036</v>
      </c>
      <c r="P271" s="329">
        <v>0.24843999999999999</v>
      </c>
      <c r="Q271" s="329">
        <v>0.21382899999999999</v>
      </c>
      <c r="R271" s="329">
        <v>0.202428</v>
      </c>
      <c r="S271" s="329">
        <v>0.22703799999999999</v>
      </c>
      <c r="T271" s="329">
        <v>0.22508</v>
      </c>
      <c r="U271" s="329">
        <v>0.21276500000000001</v>
      </c>
      <c r="V271" s="329">
        <v>0.23384099999999999</v>
      </c>
      <c r="W271" s="329">
        <v>0.21471499999999999</v>
      </c>
      <c r="X271" s="329">
        <v>0.239065</v>
      </c>
      <c r="Y271" s="329">
        <v>0.21628900000000001</v>
      </c>
      <c r="Z271" s="329">
        <v>0.22730900000000001</v>
      </c>
      <c r="AA271" s="329">
        <v>0.23479800000000001</v>
      </c>
      <c r="AB271" s="329">
        <v>0.21476000000000001</v>
      </c>
      <c r="AC271" s="329">
        <v>0.246838</v>
      </c>
      <c r="AD271" s="329">
        <v>0.233129</v>
      </c>
      <c r="AE271" s="52">
        <f>'User Add-in Location'!B277</f>
        <v>0</v>
      </c>
      <c r="AF271" s="52">
        <f>'User Add-in Location'!C277</f>
        <v>0</v>
      </c>
      <c r="AG271" s="329">
        <v>0.23957600000000001</v>
      </c>
      <c r="AH271" s="329">
        <v>0.216419</v>
      </c>
      <c r="AI271" s="329">
        <v>0.21918099999999999</v>
      </c>
      <c r="AJ271" s="329">
        <v>0.208262</v>
      </c>
      <c r="AK271" s="329">
        <v>0.26484799999999997</v>
      </c>
      <c r="AL271" s="329">
        <v>0.19874900000000001</v>
      </c>
      <c r="AM271" s="329">
        <v>0.18923799999999999</v>
      </c>
      <c r="AN271" s="329">
        <v>0.208034</v>
      </c>
      <c r="AO271" s="329">
        <v>0.22045100000000001</v>
      </c>
      <c r="AP271" s="329">
        <v>0.23619599999999999</v>
      </c>
      <c r="AQ271" s="329">
        <v>0.22303500000000001</v>
      </c>
      <c r="AR271" s="329">
        <v>0.231435</v>
      </c>
      <c r="AS271" s="324">
        <v>0</v>
      </c>
      <c r="AT271" s="324">
        <v>0</v>
      </c>
      <c r="AU271" s="324">
        <v>0</v>
      </c>
      <c r="AV271" s="324">
        <v>0</v>
      </c>
      <c r="AW271" s="324">
        <v>0</v>
      </c>
      <c r="AX271" s="324">
        <v>0</v>
      </c>
      <c r="AY271" s="324">
        <v>0</v>
      </c>
      <c r="AZ271" s="324">
        <v>0</v>
      </c>
      <c r="BA271" s="329">
        <v>0.17988299999999999</v>
      </c>
      <c r="BB271" s="329">
        <v>0.176679</v>
      </c>
      <c r="BC271" s="329">
        <v>0.22944800000000001</v>
      </c>
      <c r="BD271" s="329">
        <v>0.228903</v>
      </c>
      <c r="BE271" s="329">
        <v>0.23521</v>
      </c>
      <c r="BF271" s="329">
        <v>0.32845200000000002</v>
      </c>
      <c r="BG271" s="329">
        <v>0.26364500000000002</v>
      </c>
      <c r="BH271" s="329">
        <v>0.23891399999999999</v>
      </c>
      <c r="BI271" s="329">
        <v>0.21287200000000001</v>
      </c>
      <c r="BJ271" s="329">
        <v>0.22742100000000001</v>
      </c>
      <c r="BK271" s="329">
        <v>0.17480399999999999</v>
      </c>
      <c r="BL271" s="329">
        <v>0.24936</v>
      </c>
      <c r="BM271" s="329">
        <v>0.168347</v>
      </c>
    </row>
    <row r="272" spans="3:65">
      <c r="C272" s="329" t="s">
        <v>400</v>
      </c>
      <c r="D272" s="329">
        <v>0.16033900000000001</v>
      </c>
      <c r="E272" s="329">
        <v>0.172703</v>
      </c>
      <c r="F272" s="329">
        <v>0.186442</v>
      </c>
      <c r="G272" s="329">
        <v>0.19328999999999999</v>
      </c>
      <c r="H272" s="329">
        <v>0.148754</v>
      </c>
      <c r="I272" s="329">
        <v>0.17252700000000001</v>
      </c>
      <c r="J272" s="329">
        <v>0.148704</v>
      </c>
      <c r="K272" s="329">
        <v>0.14744399999999999</v>
      </c>
      <c r="L272" s="329">
        <v>0.104697</v>
      </c>
      <c r="M272" s="329">
        <v>0.18998000000000001</v>
      </c>
      <c r="N272" s="329">
        <v>0.178095</v>
      </c>
      <c r="O272" s="329">
        <v>0.18731300000000001</v>
      </c>
      <c r="P272" s="329">
        <v>0.202795</v>
      </c>
      <c r="Q272" s="329">
        <v>0.181954</v>
      </c>
      <c r="R272" s="329">
        <v>0.164772</v>
      </c>
      <c r="S272" s="329">
        <v>0.17565900000000001</v>
      </c>
      <c r="T272" s="329">
        <v>0.178928</v>
      </c>
      <c r="U272" s="329">
        <v>0.17477599999999999</v>
      </c>
      <c r="V272" s="329">
        <v>0.21456600000000001</v>
      </c>
      <c r="W272" s="329">
        <v>0.167492</v>
      </c>
      <c r="X272" s="329">
        <v>0.15357799999999999</v>
      </c>
      <c r="Y272" s="329">
        <v>0.123102</v>
      </c>
      <c r="Z272" s="329">
        <v>0.186838</v>
      </c>
      <c r="AA272" s="329">
        <v>0.18559100000000001</v>
      </c>
      <c r="AB272" s="329">
        <v>0.19197</v>
      </c>
      <c r="AC272" s="329">
        <v>0.18970699999999999</v>
      </c>
      <c r="AD272" s="329">
        <v>0.20208699999999999</v>
      </c>
      <c r="AE272" s="52">
        <f>'User Add-in Location'!B278</f>
        <v>0</v>
      </c>
      <c r="AF272" s="52">
        <f>'User Add-in Location'!C278</f>
        <v>0</v>
      </c>
      <c r="AG272" s="329">
        <v>0.20172399999999999</v>
      </c>
      <c r="AH272" s="329">
        <v>0.185666</v>
      </c>
      <c r="AI272" s="329">
        <v>0.144704</v>
      </c>
      <c r="AJ272" s="329">
        <v>0.145727</v>
      </c>
      <c r="AK272" s="329">
        <v>0.17109099999999999</v>
      </c>
      <c r="AL272" s="329">
        <v>0.15731200000000001</v>
      </c>
      <c r="AM272" s="329">
        <v>0.145425</v>
      </c>
      <c r="AN272" s="329">
        <v>0.17695900000000001</v>
      </c>
      <c r="AO272" s="329">
        <v>0.17721200000000001</v>
      </c>
      <c r="AP272" s="329">
        <v>0.19175800000000001</v>
      </c>
      <c r="AQ272" s="329">
        <v>0.200852</v>
      </c>
      <c r="AR272" s="329">
        <v>0.18858</v>
      </c>
      <c r="AS272" s="324">
        <v>0</v>
      </c>
      <c r="AT272" s="324">
        <v>0</v>
      </c>
      <c r="AU272" s="324">
        <v>0</v>
      </c>
      <c r="AV272" s="324">
        <v>0</v>
      </c>
      <c r="AW272" s="324">
        <v>0</v>
      </c>
      <c r="AX272" s="324">
        <v>0</v>
      </c>
      <c r="AY272" s="324">
        <v>0</v>
      </c>
      <c r="AZ272" s="324">
        <v>0</v>
      </c>
      <c r="BA272" s="329">
        <v>0.149283</v>
      </c>
      <c r="BB272" s="329">
        <v>0.14905299999999999</v>
      </c>
      <c r="BC272" s="329">
        <v>0.197269</v>
      </c>
      <c r="BD272" s="329">
        <v>0.155416</v>
      </c>
      <c r="BE272" s="329">
        <v>0.18256800000000001</v>
      </c>
      <c r="BF272" s="329">
        <v>0.24945100000000001</v>
      </c>
      <c r="BG272" s="329">
        <v>0.208814</v>
      </c>
      <c r="BH272" s="329">
        <v>0.16176199999999999</v>
      </c>
      <c r="BI272" s="329">
        <v>0.13936599999999999</v>
      </c>
      <c r="BJ272" s="329">
        <v>0.17971000000000001</v>
      </c>
      <c r="BK272" s="329">
        <v>0.19189300000000001</v>
      </c>
      <c r="BL272" s="329">
        <v>0.19794900000000001</v>
      </c>
      <c r="BM272" s="329">
        <v>0.145012</v>
      </c>
    </row>
    <row r="273" spans="3:65">
      <c r="C273" s="329" t="s">
        <v>401</v>
      </c>
      <c r="D273" s="329">
        <v>0.17594099999999999</v>
      </c>
      <c r="E273" s="329">
        <v>0.18670200000000001</v>
      </c>
      <c r="F273" s="329">
        <v>0.21459</v>
      </c>
      <c r="G273" s="329">
        <v>0.21593899999999999</v>
      </c>
      <c r="H273" s="329">
        <v>0.213426</v>
      </c>
      <c r="I273" s="329">
        <v>0.22322800000000001</v>
      </c>
      <c r="J273" s="329">
        <v>0.22171099999999999</v>
      </c>
      <c r="K273" s="329">
        <v>0.17847199999999999</v>
      </c>
      <c r="L273" s="329">
        <v>0.1366</v>
      </c>
      <c r="M273" s="329">
        <v>0.24762200000000001</v>
      </c>
      <c r="N273" s="329">
        <v>0.232402</v>
      </c>
      <c r="O273" s="329">
        <v>0.19817100000000001</v>
      </c>
      <c r="P273" s="329">
        <v>0.227578</v>
      </c>
      <c r="Q273" s="329">
        <v>0.24413099999999999</v>
      </c>
      <c r="R273" s="329">
        <v>0.21023900000000001</v>
      </c>
      <c r="S273" s="329">
        <v>0.207789</v>
      </c>
      <c r="T273" s="329">
        <v>0.21723700000000001</v>
      </c>
      <c r="U273" s="329">
        <v>0.201322</v>
      </c>
      <c r="V273" s="329">
        <v>0.239424</v>
      </c>
      <c r="W273" s="329">
        <v>0.19454199999999999</v>
      </c>
      <c r="X273" s="329">
        <v>0.214753</v>
      </c>
      <c r="Y273" s="329">
        <v>0.194662</v>
      </c>
      <c r="Z273" s="329">
        <v>0.20796799999999999</v>
      </c>
      <c r="AA273" s="329">
        <v>0.24815999999999999</v>
      </c>
      <c r="AB273" s="329">
        <v>0.213529</v>
      </c>
      <c r="AC273" s="329">
        <v>0.23389299999999999</v>
      </c>
      <c r="AD273" s="329">
        <v>0.216031</v>
      </c>
      <c r="AE273" s="52">
        <f>'User Add-in Location'!B279</f>
        <v>0</v>
      </c>
      <c r="AF273" s="52">
        <f>'User Add-in Location'!C279</f>
        <v>0</v>
      </c>
      <c r="AG273" s="329">
        <v>0.23954900000000001</v>
      </c>
      <c r="AH273" s="329">
        <v>0.218112</v>
      </c>
      <c r="AI273" s="329">
        <v>0.20275000000000001</v>
      </c>
      <c r="AJ273" s="329">
        <v>0.225692</v>
      </c>
      <c r="AK273" s="329">
        <v>0.200769</v>
      </c>
      <c r="AL273" s="329">
        <v>0.20662800000000001</v>
      </c>
      <c r="AM273" s="329">
        <v>0.198879</v>
      </c>
      <c r="AN273" s="329">
        <v>0.18654200000000001</v>
      </c>
      <c r="AO273" s="329">
        <v>0.21113699999999999</v>
      </c>
      <c r="AP273" s="329">
        <v>0.23419999999999999</v>
      </c>
      <c r="AQ273" s="329">
        <v>0.24171699999999999</v>
      </c>
      <c r="AR273" s="329">
        <v>0.25088100000000002</v>
      </c>
      <c r="AS273" s="324">
        <v>0</v>
      </c>
      <c r="AT273" s="324">
        <v>0</v>
      </c>
      <c r="AU273" s="324">
        <v>0</v>
      </c>
      <c r="AV273" s="324">
        <v>0</v>
      </c>
      <c r="AW273" s="324">
        <v>0</v>
      </c>
      <c r="AX273" s="324">
        <v>0</v>
      </c>
      <c r="AY273" s="324">
        <v>0</v>
      </c>
      <c r="AZ273" s="324">
        <v>0</v>
      </c>
      <c r="BA273" s="329">
        <v>0.17236299999999999</v>
      </c>
      <c r="BB273" s="329">
        <v>0.166107</v>
      </c>
      <c r="BC273" s="329">
        <v>0.227021</v>
      </c>
      <c r="BD273" s="329">
        <v>0.21484500000000001</v>
      </c>
      <c r="BE273" s="329">
        <v>0.23883699999999999</v>
      </c>
      <c r="BF273" s="329">
        <v>0.32898699999999997</v>
      </c>
      <c r="BG273" s="329">
        <v>0.24032700000000001</v>
      </c>
      <c r="BH273" s="329">
        <v>0.21238399999999999</v>
      </c>
      <c r="BI273" s="329">
        <v>0.196434</v>
      </c>
      <c r="BJ273" s="329">
        <v>0.22888700000000001</v>
      </c>
      <c r="BK273" s="329">
        <v>0.17141200000000001</v>
      </c>
      <c r="BL273" s="329">
        <v>0.22640199999999999</v>
      </c>
      <c r="BM273" s="329">
        <v>0.14610200000000001</v>
      </c>
    </row>
    <row r="274" spans="3:65">
      <c r="C274" s="329" t="s">
        <v>402</v>
      </c>
      <c r="D274" s="329">
        <v>0.202011</v>
      </c>
      <c r="E274" s="329">
        <v>0.18561</v>
      </c>
      <c r="F274" s="329">
        <v>0.21009</v>
      </c>
      <c r="G274" s="329">
        <v>0.21546799999999999</v>
      </c>
      <c r="H274" s="329">
        <v>0.21839500000000001</v>
      </c>
      <c r="I274" s="329">
        <v>0.228411</v>
      </c>
      <c r="J274" s="329">
        <v>0.20735300000000001</v>
      </c>
      <c r="K274" s="329">
        <v>0.172792</v>
      </c>
      <c r="L274" s="329">
        <v>0.15942899999999999</v>
      </c>
      <c r="M274" s="329">
        <v>0.237016</v>
      </c>
      <c r="N274" s="329">
        <v>0.22886699999999999</v>
      </c>
      <c r="O274" s="329">
        <v>0.17713000000000001</v>
      </c>
      <c r="P274" s="329">
        <v>0.22617300000000001</v>
      </c>
      <c r="Q274" s="329">
        <v>0.247558</v>
      </c>
      <c r="R274" s="329">
        <v>0.23316000000000001</v>
      </c>
      <c r="S274" s="329">
        <v>0.22290199999999999</v>
      </c>
      <c r="T274" s="329">
        <v>0.21884400000000001</v>
      </c>
      <c r="U274" s="329">
        <v>0.209676</v>
      </c>
      <c r="V274" s="329">
        <v>0.24250099999999999</v>
      </c>
      <c r="W274" s="329">
        <v>0.196635</v>
      </c>
      <c r="X274" s="329">
        <v>0.214087</v>
      </c>
      <c r="Y274" s="329">
        <v>0.21337500000000001</v>
      </c>
      <c r="Z274" s="329">
        <v>0.22905400000000001</v>
      </c>
      <c r="AA274" s="329">
        <v>0.25150699999999998</v>
      </c>
      <c r="AB274" s="329">
        <v>0.22148000000000001</v>
      </c>
      <c r="AC274" s="329">
        <v>0.25839200000000001</v>
      </c>
      <c r="AD274" s="329">
        <v>0.21734200000000001</v>
      </c>
      <c r="AE274" s="52">
        <f>'User Add-in Location'!B280</f>
        <v>0</v>
      </c>
      <c r="AF274" s="52">
        <f>'User Add-in Location'!C280</f>
        <v>0</v>
      </c>
      <c r="AG274" s="329">
        <v>0.24210100000000001</v>
      </c>
      <c r="AH274" s="329">
        <v>0.18820300000000001</v>
      </c>
      <c r="AI274" s="329">
        <v>0.199047</v>
      </c>
      <c r="AJ274" s="329">
        <v>0.21677099999999999</v>
      </c>
      <c r="AK274" s="329">
        <v>0.22594600000000001</v>
      </c>
      <c r="AL274" s="329">
        <v>0.19756899999999999</v>
      </c>
      <c r="AM274" s="329">
        <v>0.215748</v>
      </c>
      <c r="AN274" s="329">
        <v>0.19915099999999999</v>
      </c>
      <c r="AO274" s="329">
        <v>0.216221</v>
      </c>
      <c r="AP274" s="329">
        <v>0.23765800000000001</v>
      </c>
      <c r="AQ274" s="329">
        <v>0.224133</v>
      </c>
      <c r="AR274" s="329">
        <v>0.22895599999999999</v>
      </c>
      <c r="AS274" s="324">
        <v>0</v>
      </c>
      <c r="AT274" s="324">
        <v>0</v>
      </c>
      <c r="AU274" s="324">
        <v>0</v>
      </c>
      <c r="AV274" s="324">
        <v>0</v>
      </c>
      <c r="AW274" s="324">
        <v>0</v>
      </c>
      <c r="AX274" s="324">
        <v>0</v>
      </c>
      <c r="AY274" s="324">
        <v>0</v>
      </c>
      <c r="AZ274" s="324">
        <v>0</v>
      </c>
      <c r="BA274" s="329">
        <v>0.172157</v>
      </c>
      <c r="BB274" s="329">
        <v>0.17636499999999999</v>
      </c>
      <c r="BC274" s="329">
        <v>0.22720199999999999</v>
      </c>
      <c r="BD274" s="329">
        <v>0.21363799999999999</v>
      </c>
      <c r="BE274" s="329">
        <v>0.25757799999999997</v>
      </c>
      <c r="BF274" s="329">
        <v>0.33541300000000002</v>
      </c>
      <c r="BG274" s="329">
        <v>0.22700699999999999</v>
      </c>
      <c r="BH274" s="329">
        <v>0.211286</v>
      </c>
      <c r="BI274" s="329">
        <v>0.22015399999999999</v>
      </c>
      <c r="BJ274" s="329">
        <v>0.21857299999999999</v>
      </c>
      <c r="BK274" s="329">
        <v>0.17676900000000001</v>
      </c>
      <c r="BL274" s="329">
        <v>0.224768</v>
      </c>
      <c r="BM274" s="329">
        <v>0.14854800000000001</v>
      </c>
    </row>
    <row r="275" spans="3:65">
      <c r="C275" s="329" t="s">
        <v>403</v>
      </c>
      <c r="D275" s="329">
        <v>3.3723999999999997E-2</v>
      </c>
      <c r="E275" s="329">
        <v>7.9749999999999995E-3</v>
      </c>
      <c r="F275" s="329">
        <v>5.2033999999999997E-2</v>
      </c>
      <c r="G275" s="329">
        <v>4.4935000000000003E-2</v>
      </c>
      <c r="H275" s="329">
        <v>5.2832999999999998E-2</v>
      </c>
      <c r="I275" s="329">
        <v>3.1562E-2</v>
      </c>
      <c r="J275" s="329">
        <v>4.9875999999999997E-2</v>
      </c>
      <c r="K275" s="329">
        <v>1.4239E-2</v>
      </c>
      <c r="L275" s="329">
        <v>1.0267999999999999E-2</v>
      </c>
      <c r="M275" s="329">
        <v>3.8032000000000003E-2</v>
      </c>
      <c r="N275" s="329">
        <v>1.4215999999999999E-2</v>
      </c>
      <c r="O275" s="329">
        <v>2.2911000000000001E-2</v>
      </c>
      <c r="P275" s="329">
        <v>5.5377999999999997E-2</v>
      </c>
      <c r="Q275" s="329">
        <v>2.1894E-2</v>
      </c>
      <c r="R275" s="329">
        <v>3.3298000000000001E-2</v>
      </c>
      <c r="S275" s="329">
        <v>2.4465000000000001E-2</v>
      </c>
      <c r="T275" s="329">
        <v>4.0065999999999997E-2</v>
      </c>
      <c r="U275" s="329">
        <v>3.9532999999999999E-2</v>
      </c>
      <c r="V275" s="329">
        <v>4.7731000000000003E-2</v>
      </c>
      <c r="W275" s="329">
        <v>3.1951E-2</v>
      </c>
      <c r="X275" s="329">
        <v>1.0071999999999999E-2</v>
      </c>
      <c r="Y275" s="329">
        <v>1.4362E-2</v>
      </c>
      <c r="Z275" s="329">
        <v>3.0502999999999999E-2</v>
      </c>
      <c r="AA275" s="329">
        <v>5.9733000000000001E-2</v>
      </c>
      <c r="AB275" s="329">
        <v>2.8573000000000001E-2</v>
      </c>
      <c r="AC275" s="329">
        <v>3.8900999999999998E-2</v>
      </c>
      <c r="AD275" s="329">
        <v>3.5437000000000003E-2</v>
      </c>
      <c r="AE275" s="52">
        <f>'User Add-in Location'!B281</f>
        <v>0</v>
      </c>
      <c r="AF275" s="52">
        <f>'User Add-in Location'!C281</f>
        <v>0</v>
      </c>
      <c r="AG275" s="329">
        <v>2.3746E-2</v>
      </c>
      <c r="AH275" s="329">
        <v>2.1715000000000002E-2</v>
      </c>
      <c r="AI275" s="329">
        <v>2.0804E-2</v>
      </c>
      <c r="AJ275" s="329">
        <v>3.3008999999999997E-2</v>
      </c>
      <c r="AK275" s="329">
        <v>3.7498999999999998E-2</v>
      </c>
      <c r="AL275" s="329">
        <v>3.9190999999999997E-2</v>
      </c>
      <c r="AM275" s="329">
        <v>1.8491E-2</v>
      </c>
      <c r="AN275" s="329">
        <v>7.5728000000000004E-2</v>
      </c>
      <c r="AO275" s="329">
        <v>2.4851999999999999E-2</v>
      </c>
      <c r="AP275" s="329">
        <v>8.3804000000000003E-2</v>
      </c>
      <c r="AQ275" s="329">
        <v>5.1038E-2</v>
      </c>
      <c r="AR275" s="329">
        <v>5.3400999999999997E-2</v>
      </c>
      <c r="AS275" s="324">
        <v>0</v>
      </c>
      <c r="AT275" s="324">
        <v>0</v>
      </c>
      <c r="AU275" s="324">
        <v>0</v>
      </c>
      <c r="AV275" s="324">
        <v>0</v>
      </c>
      <c r="AW275" s="324">
        <v>0</v>
      </c>
      <c r="AX275" s="324">
        <v>0</v>
      </c>
      <c r="AY275" s="324">
        <v>0</v>
      </c>
      <c r="AZ275" s="324">
        <v>0</v>
      </c>
      <c r="BA275" s="329">
        <v>1.5219E-2</v>
      </c>
      <c r="BB275" s="329">
        <v>1.9772000000000001E-2</v>
      </c>
      <c r="BC275" s="329">
        <v>8.3570000000000005E-2</v>
      </c>
      <c r="BD275" s="329">
        <v>4.0036000000000002E-2</v>
      </c>
      <c r="BE275" s="329">
        <v>4.4193999999999997E-2</v>
      </c>
      <c r="BF275" s="329">
        <v>5.7513000000000002E-2</v>
      </c>
      <c r="BG275" s="329">
        <v>3.5985999999999997E-2</v>
      </c>
      <c r="BH275" s="329">
        <v>1.4673E-2</v>
      </c>
      <c r="BI275" s="329">
        <v>4.4021999999999999E-2</v>
      </c>
      <c r="BJ275" s="329">
        <v>6.0580000000000002E-2</v>
      </c>
      <c r="BK275" s="329">
        <v>2.8545999999999998E-2</v>
      </c>
      <c r="BL275" s="329">
        <v>3.3739999999999999E-2</v>
      </c>
      <c r="BM275" s="329">
        <v>2.7945999999999999E-2</v>
      </c>
    </row>
    <row r="276" spans="3:65">
      <c r="C276" s="329" t="s">
        <v>404</v>
      </c>
      <c r="D276" s="329">
        <v>0.22911799999999999</v>
      </c>
      <c r="E276" s="329">
        <v>0.17296300000000001</v>
      </c>
      <c r="F276" s="329">
        <v>0.24683099999999999</v>
      </c>
      <c r="G276" s="329">
        <v>0.21842800000000001</v>
      </c>
      <c r="H276" s="329">
        <v>0.27019399999999999</v>
      </c>
      <c r="I276" s="329">
        <v>0.36274000000000001</v>
      </c>
      <c r="J276" s="329">
        <v>0.32480199999999998</v>
      </c>
      <c r="K276" s="329">
        <v>0.28984500000000002</v>
      </c>
      <c r="L276" s="329">
        <v>0.14292199999999999</v>
      </c>
      <c r="M276" s="329">
        <v>0.33024500000000001</v>
      </c>
      <c r="N276" s="329">
        <v>0.24124799999999999</v>
      </c>
      <c r="O276" s="329">
        <v>0.26278299999999999</v>
      </c>
      <c r="P276" s="329">
        <v>0.26551900000000001</v>
      </c>
      <c r="Q276" s="329">
        <v>0.341053</v>
      </c>
      <c r="R276" s="329">
        <v>0.24119499999999999</v>
      </c>
      <c r="S276" s="329">
        <v>0.25597900000000001</v>
      </c>
      <c r="T276" s="329">
        <v>0.32319199999999998</v>
      </c>
      <c r="U276" s="329">
        <v>0.238182</v>
      </c>
      <c r="V276" s="329">
        <v>0.39654600000000001</v>
      </c>
      <c r="W276" s="329">
        <v>0.215778</v>
      </c>
      <c r="X276" s="329">
        <v>0.30403000000000002</v>
      </c>
      <c r="Y276" s="329">
        <v>0.33243600000000001</v>
      </c>
      <c r="Z276" s="329">
        <v>0.312477</v>
      </c>
      <c r="AA276" s="329">
        <v>0.37559900000000002</v>
      </c>
      <c r="AB276" s="329">
        <v>0.319546</v>
      </c>
      <c r="AC276" s="329">
        <v>0.309257</v>
      </c>
      <c r="AD276" s="329">
        <v>0.20663699999999999</v>
      </c>
      <c r="AE276" s="52">
        <f>'User Add-in Location'!B282</f>
        <v>0</v>
      </c>
      <c r="AF276" s="52">
        <f>'User Add-in Location'!C282</f>
        <v>0</v>
      </c>
      <c r="AG276" s="329">
        <v>0.29454399999999997</v>
      </c>
      <c r="AH276" s="329">
        <v>0.26685799999999998</v>
      </c>
      <c r="AI276" s="329">
        <v>0.29546299999999998</v>
      </c>
      <c r="AJ276" s="329">
        <v>0.37458399999999997</v>
      </c>
      <c r="AK276" s="329">
        <v>0.29321900000000001</v>
      </c>
      <c r="AL276" s="329">
        <v>0.36807200000000001</v>
      </c>
      <c r="AM276" s="329">
        <v>0.24675800000000001</v>
      </c>
      <c r="AN276" s="329">
        <v>0.24173700000000001</v>
      </c>
      <c r="AO276" s="329">
        <v>0.29327799999999998</v>
      </c>
      <c r="AP276" s="329">
        <v>0.247278</v>
      </c>
      <c r="AQ276" s="329">
        <v>0.25122800000000001</v>
      </c>
      <c r="AR276" s="329">
        <v>0.303506</v>
      </c>
      <c r="AS276" s="324">
        <v>0</v>
      </c>
      <c r="AT276" s="324">
        <v>0</v>
      </c>
      <c r="AU276" s="324">
        <v>0</v>
      </c>
      <c r="AV276" s="324">
        <v>0</v>
      </c>
      <c r="AW276" s="324">
        <v>0</v>
      </c>
      <c r="AX276" s="324">
        <v>0</v>
      </c>
      <c r="AY276" s="324">
        <v>0</v>
      </c>
      <c r="AZ276" s="324">
        <v>0</v>
      </c>
      <c r="BA276" s="329">
        <v>0.16698299999999999</v>
      </c>
      <c r="BB276" s="329">
        <v>0.14072399999999999</v>
      </c>
      <c r="BC276" s="329">
        <v>0.35333700000000001</v>
      </c>
      <c r="BD276" s="329">
        <v>0.28194599999999997</v>
      </c>
      <c r="BE276" s="329">
        <v>0.308342</v>
      </c>
      <c r="BF276" s="329">
        <v>0.420651</v>
      </c>
      <c r="BG276" s="329">
        <v>0.34676099999999999</v>
      </c>
      <c r="BH276" s="329">
        <v>0.30747600000000003</v>
      </c>
      <c r="BI276" s="329">
        <v>0.31670700000000002</v>
      </c>
      <c r="BJ276" s="329">
        <v>0.32123299999999999</v>
      </c>
      <c r="BK276" s="329">
        <v>0.22828300000000001</v>
      </c>
      <c r="BL276" s="329">
        <v>0.24001400000000001</v>
      </c>
      <c r="BM276" s="329">
        <v>0</v>
      </c>
    </row>
    <row r="277" spans="3:65">
      <c r="C277" s="329"/>
      <c r="D277" s="329"/>
      <c r="E277" s="329"/>
      <c r="F277" s="329"/>
      <c r="G277" s="329"/>
      <c r="H277" s="329"/>
      <c r="I277" s="329"/>
      <c r="J277" s="329"/>
      <c r="K277" s="329"/>
      <c r="L277" s="329"/>
      <c r="M277" s="329"/>
      <c r="N277" s="329"/>
      <c r="O277" s="329"/>
      <c r="P277" s="329"/>
      <c r="Q277" s="329"/>
      <c r="R277" s="329"/>
      <c r="S277" s="329"/>
      <c r="T277" s="329"/>
      <c r="U277" s="329"/>
      <c r="V277" s="329"/>
      <c r="W277" s="329"/>
      <c r="X277" s="329"/>
      <c r="Y277" s="329"/>
      <c r="Z277" s="329"/>
      <c r="AA277" s="329"/>
      <c r="AB277" s="329"/>
      <c r="AC277" s="329"/>
      <c r="AD277" s="329"/>
      <c r="AG277" s="329"/>
      <c r="AH277" s="329"/>
      <c r="AI277" s="329"/>
      <c r="AJ277" s="329"/>
      <c r="AK277" s="329"/>
      <c r="AL277" s="329"/>
      <c r="AM277" s="329"/>
      <c r="AN277" s="329"/>
      <c r="AO277" s="329"/>
      <c r="AP277" s="329"/>
      <c r="AQ277" s="329"/>
      <c r="AR277" s="329"/>
      <c r="AS277" s="324"/>
      <c r="AT277" s="324"/>
      <c r="AU277" s="324"/>
      <c r="AV277" s="324"/>
      <c r="AW277" s="324"/>
      <c r="AX277" s="324"/>
      <c r="AY277" s="324"/>
      <c r="AZ277" s="324"/>
      <c r="BA277" s="329"/>
      <c r="BB277" s="329"/>
      <c r="BC277" s="329"/>
      <c r="BD277" s="329"/>
      <c r="BE277" s="329"/>
      <c r="BF277" s="329"/>
      <c r="BG277" s="329"/>
      <c r="BH277" s="329"/>
      <c r="BI277" s="329"/>
      <c r="BJ277" s="329"/>
      <c r="BK277" s="329"/>
      <c r="BL277" s="329"/>
      <c r="BM277" s="329"/>
    </row>
    <row r="278" spans="3:65">
      <c r="C278" s="319" t="s">
        <v>415</v>
      </c>
      <c r="AS278" s="324"/>
      <c r="AT278" s="324"/>
      <c r="AU278" s="324"/>
      <c r="AV278" s="324"/>
      <c r="AW278" s="324"/>
      <c r="AX278" s="324"/>
      <c r="AY278" s="324"/>
      <c r="AZ278" s="324"/>
    </row>
    <row r="279" spans="3:65">
      <c r="C279" s="320" t="s">
        <v>418</v>
      </c>
      <c r="D279" s="52" t="s">
        <v>219</v>
      </c>
      <c r="E279" s="52" t="s">
        <v>222</v>
      </c>
      <c r="F279" s="52" t="s">
        <v>231</v>
      </c>
      <c r="G279" s="52" t="s">
        <v>221</v>
      </c>
      <c r="H279" s="52" t="s">
        <v>223</v>
      </c>
      <c r="I279" s="52" t="s">
        <v>240</v>
      </c>
      <c r="J279" s="52" t="s">
        <v>216</v>
      </c>
      <c r="K279" s="52" t="s">
        <v>217</v>
      </c>
      <c r="L279" s="52" t="s">
        <v>218</v>
      </c>
      <c r="M279" s="52" t="s">
        <v>228</v>
      </c>
      <c r="N279" s="52" t="s">
        <v>237</v>
      </c>
      <c r="O279" s="52" t="s">
        <v>232</v>
      </c>
      <c r="P279" s="52" t="s">
        <v>248</v>
      </c>
      <c r="Q279" s="52" t="s">
        <v>220</v>
      </c>
      <c r="R279" s="52" t="s">
        <v>229</v>
      </c>
      <c r="S279" s="52" t="s">
        <v>238</v>
      </c>
      <c r="T279" s="52" t="s">
        <v>254</v>
      </c>
      <c r="U279" s="52" t="s">
        <v>245</v>
      </c>
      <c r="V279" s="52" t="s">
        <v>230</v>
      </c>
      <c r="W279" s="52" t="s">
        <v>225</v>
      </c>
      <c r="X279" s="52" t="s">
        <v>227</v>
      </c>
      <c r="Y279" s="52" t="s">
        <v>234</v>
      </c>
      <c r="Z279" s="52" t="s">
        <v>246</v>
      </c>
      <c r="AA279" s="52" t="s">
        <v>252</v>
      </c>
      <c r="AB279" s="52" t="s">
        <v>251</v>
      </c>
      <c r="AC279" s="52" t="s">
        <v>239</v>
      </c>
      <c r="AD279" s="52" t="s">
        <v>260</v>
      </c>
      <c r="AE279" s="52" t="s">
        <v>381</v>
      </c>
      <c r="AF279" s="52" t="s">
        <v>382</v>
      </c>
      <c r="AG279" s="52" t="s">
        <v>264</v>
      </c>
      <c r="AH279" s="52" t="s">
        <v>266</v>
      </c>
      <c r="AI279" s="52" t="s">
        <v>242</v>
      </c>
      <c r="AJ279" s="52" t="s">
        <v>489</v>
      </c>
      <c r="AK279" s="52" t="s">
        <v>247</v>
      </c>
      <c r="AL279" s="52" t="s">
        <v>250</v>
      </c>
      <c r="AM279" s="52" t="s">
        <v>236</v>
      </c>
      <c r="AN279" s="52" t="s">
        <v>268</v>
      </c>
      <c r="AO279" s="52" t="s">
        <v>258</v>
      </c>
      <c r="AP279" s="52" t="s">
        <v>253</v>
      </c>
      <c r="AQ279" s="52" t="s">
        <v>270</v>
      </c>
      <c r="AR279" s="52" t="s">
        <v>235</v>
      </c>
      <c r="AS279" s="407" t="s">
        <v>207</v>
      </c>
      <c r="AT279" s="407" t="s">
        <v>208</v>
      </c>
      <c r="AU279" s="407" t="s">
        <v>209</v>
      </c>
      <c r="AV279" s="407" t="s">
        <v>210</v>
      </c>
      <c r="AW279" s="407" t="s">
        <v>211</v>
      </c>
      <c r="AX279" s="407" t="s">
        <v>212</v>
      </c>
      <c r="AY279" s="407" t="s">
        <v>213</v>
      </c>
      <c r="AZ279" s="407" t="s">
        <v>214</v>
      </c>
      <c r="BA279" s="52" t="s">
        <v>256</v>
      </c>
      <c r="BB279" s="52" t="s">
        <v>490</v>
      </c>
      <c r="BC279" s="52" t="s">
        <v>272</v>
      </c>
      <c r="BD279" s="52" t="s">
        <v>491</v>
      </c>
      <c r="BE279" s="52" t="s">
        <v>492</v>
      </c>
      <c r="BF279" s="321" t="s">
        <v>604</v>
      </c>
      <c r="BG279" s="52" t="s">
        <v>274</v>
      </c>
      <c r="BH279" s="52" t="s">
        <v>262</v>
      </c>
      <c r="BI279" s="52" t="s">
        <v>244</v>
      </c>
      <c r="BJ279" s="52" t="s">
        <v>275</v>
      </c>
      <c r="BK279" s="52" t="s">
        <v>243</v>
      </c>
      <c r="BL279" s="52" t="s">
        <v>263</v>
      </c>
      <c r="BM279" s="52" t="s">
        <v>493</v>
      </c>
    </row>
    <row r="280" spans="3:65">
      <c r="C280" s="329" t="s">
        <v>383</v>
      </c>
      <c r="D280" s="329">
        <v>0.17146</v>
      </c>
      <c r="E280" s="329">
        <v>0.15740899999999999</v>
      </c>
      <c r="F280" s="329">
        <v>0.187032</v>
      </c>
      <c r="G280" s="329">
        <v>0.175985</v>
      </c>
      <c r="H280" s="329">
        <v>0.26661400000000002</v>
      </c>
      <c r="I280" s="329">
        <v>0.16120599999999999</v>
      </c>
      <c r="J280" s="329">
        <v>0.24127699999999999</v>
      </c>
      <c r="K280" s="329">
        <v>0.25419000000000003</v>
      </c>
      <c r="L280" s="329">
        <v>0.233877</v>
      </c>
      <c r="M280" s="329">
        <v>0.23691400000000001</v>
      </c>
      <c r="N280" s="329">
        <v>0.21585499999999999</v>
      </c>
      <c r="O280" s="329">
        <v>0.24215900000000001</v>
      </c>
      <c r="P280" s="329">
        <v>0.16955999999999999</v>
      </c>
      <c r="Q280" s="329">
        <v>0.23824200000000001</v>
      </c>
      <c r="R280" s="329">
        <v>0.20894799999999999</v>
      </c>
      <c r="S280" s="329">
        <v>0.16023100000000001</v>
      </c>
      <c r="T280" s="329">
        <v>0.14791000000000001</v>
      </c>
      <c r="U280" s="329">
        <v>0.19181699999999999</v>
      </c>
      <c r="V280" s="329">
        <v>0.211004</v>
      </c>
      <c r="W280" s="329">
        <v>0.29510500000000001</v>
      </c>
      <c r="X280" s="329">
        <v>0.17258599999999999</v>
      </c>
      <c r="Y280" s="329">
        <v>0.337227</v>
      </c>
      <c r="Z280" s="329">
        <v>0.17485200000000001</v>
      </c>
      <c r="AA280" s="329">
        <v>0.21303900000000001</v>
      </c>
      <c r="AB280" s="329">
        <v>0.21096300000000001</v>
      </c>
      <c r="AC280" s="329">
        <v>0.14396500000000001</v>
      </c>
      <c r="AD280" s="329">
        <v>0.14025699999999999</v>
      </c>
      <c r="AE280" s="52">
        <f>'User Add-in Location'!B286</f>
        <v>0</v>
      </c>
      <c r="AF280" s="52">
        <f>'User Add-in Location'!C286</f>
        <v>0</v>
      </c>
      <c r="AG280" s="329">
        <v>0.15998200000000001</v>
      </c>
      <c r="AH280" s="329">
        <v>0.113454</v>
      </c>
      <c r="AI280" s="329">
        <v>0.32832800000000001</v>
      </c>
      <c r="AJ280" s="329">
        <v>0.26222800000000002</v>
      </c>
      <c r="AK280" s="329">
        <v>0.18704499999999999</v>
      </c>
      <c r="AL280" s="329">
        <v>0.169737</v>
      </c>
      <c r="AM280" s="329">
        <v>0.187419</v>
      </c>
      <c r="AN280" s="329">
        <v>0.13705100000000001</v>
      </c>
      <c r="AO280" s="329">
        <v>0.17174400000000001</v>
      </c>
      <c r="AP280" s="329">
        <v>0.14385700000000001</v>
      </c>
      <c r="AQ280" s="329">
        <v>0.25486599999999998</v>
      </c>
      <c r="AR280" s="329">
        <v>0.234931</v>
      </c>
      <c r="AS280" s="324">
        <v>0</v>
      </c>
      <c r="AT280" s="324">
        <v>0</v>
      </c>
      <c r="AU280" s="324">
        <v>0</v>
      </c>
      <c r="AV280" s="324">
        <v>0</v>
      </c>
      <c r="AW280" s="324">
        <v>0</v>
      </c>
      <c r="AX280" s="324">
        <v>0</v>
      </c>
      <c r="AY280" s="324">
        <v>0</v>
      </c>
      <c r="AZ280" s="324">
        <v>0</v>
      </c>
      <c r="BA280" s="329">
        <v>0.29342800000000002</v>
      </c>
      <c r="BB280" s="329">
        <v>9.9235000000000004E-2</v>
      </c>
      <c r="BC280" s="329">
        <v>0.205378</v>
      </c>
      <c r="BD280" s="329">
        <v>7.4497999999999995E-2</v>
      </c>
      <c r="BE280" s="329">
        <v>0.178895</v>
      </c>
      <c r="BF280" s="329">
        <v>0.423682</v>
      </c>
      <c r="BG280" s="329">
        <v>0.14197699999999999</v>
      </c>
      <c r="BH280" s="329">
        <v>0.21296599999999999</v>
      </c>
      <c r="BI280" s="329">
        <v>0.14737600000000001</v>
      </c>
      <c r="BJ280" s="329">
        <v>0.28798699999999999</v>
      </c>
      <c r="BK280" s="329">
        <v>8.2461999999999994E-2</v>
      </c>
      <c r="BL280" s="329">
        <v>0.140235</v>
      </c>
      <c r="BM280" s="329">
        <v>6.6555000000000003E-2</v>
      </c>
    </row>
    <row r="281" spans="3:65">
      <c r="C281" s="329" t="s">
        <v>384</v>
      </c>
      <c r="D281" s="329">
        <v>0.11651599999999999</v>
      </c>
      <c r="E281" s="329">
        <v>0.14251800000000001</v>
      </c>
      <c r="F281" s="329">
        <v>0.14766099999999999</v>
      </c>
      <c r="G281" s="329">
        <v>0.13694799999999999</v>
      </c>
      <c r="H281" s="329">
        <v>0.17715900000000001</v>
      </c>
      <c r="I281" s="329">
        <v>0.35457699999999998</v>
      </c>
      <c r="J281" s="329">
        <v>0.19162599999999999</v>
      </c>
      <c r="K281" s="329">
        <v>0.13723199999999999</v>
      </c>
      <c r="L281" s="329">
        <v>0.16204499999999999</v>
      </c>
      <c r="M281" s="329">
        <v>0.15971099999999999</v>
      </c>
      <c r="N281" s="329">
        <v>0.18770000000000001</v>
      </c>
      <c r="O281" s="329">
        <v>0.13137099999999999</v>
      </c>
      <c r="P281" s="329">
        <v>0.203151</v>
      </c>
      <c r="Q281" s="329">
        <v>0.24263699999999999</v>
      </c>
      <c r="R281" s="329">
        <v>0.182092</v>
      </c>
      <c r="S281" s="329">
        <v>0.14933099999999999</v>
      </c>
      <c r="T281" s="329">
        <v>0.19578699999999999</v>
      </c>
      <c r="U281" s="329">
        <v>0.130027</v>
      </c>
      <c r="V281" s="329">
        <v>0.229602</v>
      </c>
      <c r="W281" s="329">
        <v>0.14685300000000001</v>
      </c>
      <c r="X281" s="329">
        <v>0.15431</v>
      </c>
      <c r="Y281" s="329">
        <v>0.207842</v>
      </c>
      <c r="Z281" s="329">
        <v>0.171177</v>
      </c>
      <c r="AA281" s="329">
        <v>0.219365</v>
      </c>
      <c r="AB281" s="329">
        <v>0.15110599999999999</v>
      </c>
      <c r="AC281" s="329">
        <v>0.19040000000000001</v>
      </c>
      <c r="AD281" s="329">
        <v>0.18493000000000001</v>
      </c>
      <c r="AE281" s="52">
        <f>'User Add-in Location'!B287</f>
        <v>0</v>
      </c>
      <c r="AF281" s="52">
        <f>'User Add-in Location'!C287</f>
        <v>0</v>
      </c>
      <c r="AG281" s="329">
        <v>0.196995</v>
      </c>
      <c r="AH281" s="329">
        <v>0.16971800000000001</v>
      </c>
      <c r="AI281" s="329">
        <v>0.23777799999999999</v>
      </c>
      <c r="AJ281" s="329">
        <v>0.47653600000000002</v>
      </c>
      <c r="AK281" s="329">
        <v>0.13075600000000001</v>
      </c>
      <c r="AL281" s="329">
        <v>0.50000999999999995</v>
      </c>
      <c r="AM281" s="329">
        <v>0.14360100000000001</v>
      </c>
      <c r="AN281" s="329">
        <v>0.15861900000000001</v>
      </c>
      <c r="AO281" s="329">
        <v>0.11235100000000001</v>
      </c>
      <c r="AP281" s="329">
        <v>0.16884399999999999</v>
      </c>
      <c r="AQ281" s="329">
        <v>0.180338</v>
      </c>
      <c r="AR281" s="329">
        <v>0.19162799999999999</v>
      </c>
      <c r="AS281" s="324">
        <v>0</v>
      </c>
      <c r="AT281" s="324">
        <v>0</v>
      </c>
      <c r="AU281" s="324">
        <v>0</v>
      </c>
      <c r="AV281" s="324">
        <v>0</v>
      </c>
      <c r="AW281" s="324">
        <v>0</v>
      </c>
      <c r="AX281" s="324">
        <v>0</v>
      </c>
      <c r="AY281" s="324">
        <v>0</v>
      </c>
      <c r="AZ281" s="324">
        <v>0</v>
      </c>
      <c r="BA281" s="329">
        <v>0.13706399999999999</v>
      </c>
      <c r="BB281" s="329">
        <v>9.4361E-2</v>
      </c>
      <c r="BC281" s="329">
        <v>0.22124099999999999</v>
      </c>
      <c r="BD281" s="329">
        <v>0.14812500000000001</v>
      </c>
      <c r="BE281" s="329">
        <v>0.25901299999999999</v>
      </c>
      <c r="BF281" s="329">
        <v>0.44639200000000001</v>
      </c>
      <c r="BG281" s="329">
        <v>0.15376300000000001</v>
      </c>
      <c r="BH281" s="329">
        <v>0.14885399999999999</v>
      </c>
      <c r="BI281" s="329">
        <v>0.17047799999999999</v>
      </c>
      <c r="BJ281" s="329">
        <v>0.21993399999999999</v>
      </c>
      <c r="BK281" s="329">
        <v>9.9963999999999997E-2</v>
      </c>
      <c r="BL281" s="329">
        <v>0.11790399999999999</v>
      </c>
      <c r="BM281" s="329">
        <v>7.8710000000000002E-2</v>
      </c>
    </row>
    <row r="282" spans="3:65">
      <c r="C282" s="329" t="s">
        <v>385</v>
      </c>
      <c r="D282" s="329">
        <v>0.21174599999999999</v>
      </c>
      <c r="E282" s="329">
        <v>0.28742000000000001</v>
      </c>
      <c r="F282" s="329">
        <v>0.21949199999999999</v>
      </c>
      <c r="G282" s="329">
        <v>0.215723</v>
      </c>
      <c r="H282" s="329">
        <v>0.28976499999999999</v>
      </c>
      <c r="I282" s="329">
        <v>0.27110099999999998</v>
      </c>
      <c r="J282" s="329">
        <v>0.34176499999999999</v>
      </c>
      <c r="K282" s="329">
        <v>0.22758600000000001</v>
      </c>
      <c r="L282" s="329">
        <v>9.1610999999999998E-2</v>
      </c>
      <c r="M282" s="329">
        <v>0.25334499999999999</v>
      </c>
      <c r="N282" s="329">
        <v>0.25198799999999999</v>
      </c>
      <c r="O282" s="329">
        <v>0.26509199999999999</v>
      </c>
      <c r="P282" s="329">
        <v>0.22448199999999999</v>
      </c>
      <c r="Q282" s="329">
        <v>0.34074399999999999</v>
      </c>
      <c r="R282" s="329">
        <v>0.28993000000000002</v>
      </c>
      <c r="S282" s="329">
        <v>0.26416800000000001</v>
      </c>
      <c r="T282" s="329">
        <v>0.25789200000000001</v>
      </c>
      <c r="U282" s="329">
        <v>0.22331999999999999</v>
      </c>
      <c r="V282" s="329">
        <v>0.29626999999999998</v>
      </c>
      <c r="W282" s="329">
        <v>0.290074</v>
      </c>
      <c r="X282" s="329">
        <v>0.28513300000000003</v>
      </c>
      <c r="Y282" s="329">
        <v>0.33267099999999999</v>
      </c>
      <c r="Z282" s="329">
        <v>0.29255599999999998</v>
      </c>
      <c r="AA282" s="329">
        <v>0.37435200000000002</v>
      </c>
      <c r="AB282" s="329">
        <v>0.22003600000000001</v>
      </c>
      <c r="AC282" s="329">
        <v>0.345447</v>
      </c>
      <c r="AD282" s="329">
        <v>0.236843</v>
      </c>
      <c r="AE282" s="52">
        <f>'User Add-in Location'!B288</f>
        <v>0</v>
      </c>
      <c r="AF282" s="52">
        <f>'User Add-in Location'!C288</f>
        <v>0</v>
      </c>
      <c r="AG282" s="329">
        <v>0.30422100000000002</v>
      </c>
      <c r="AH282" s="329">
        <v>0.24202399999999999</v>
      </c>
      <c r="AI282" s="329">
        <v>0.430869</v>
      </c>
      <c r="AJ282" s="329">
        <v>0.34059800000000001</v>
      </c>
      <c r="AK282" s="329">
        <v>0.238681</v>
      </c>
      <c r="AL282" s="329">
        <v>0.26841900000000002</v>
      </c>
      <c r="AM282" s="329">
        <v>0.24682599999999999</v>
      </c>
      <c r="AN282" s="329">
        <v>0.23386799999999999</v>
      </c>
      <c r="AO282" s="329">
        <v>0.27585399999999999</v>
      </c>
      <c r="AP282" s="329">
        <v>0.26679900000000001</v>
      </c>
      <c r="AQ282" s="329">
        <v>0.30330099999999999</v>
      </c>
      <c r="AR282" s="329">
        <v>0.35756199999999999</v>
      </c>
      <c r="AS282" s="324">
        <v>0</v>
      </c>
      <c r="AT282" s="324">
        <v>0</v>
      </c>
      <c r="AU282" s="324">
        <v>0</v>
      </c>
      <c r="AV282" s="324">
        <v>0</v>
      </c>
      <c r="AW282" s="324">
        <v>0</v>
      </c>
      <c r="AX282" s="324">
        <v>0</v>
      </c>
      <c r="AY282" s="324">
        <v>0</v>
      </c>
      <c r="AZ282" s="324">
        <v>0</v>
      </c>
      <c r="BA282" s="329">
        <v>0.21704999999999999</v>
      </c>
      <c r="BB282" s="329">
        <v>0.171186</v>
      </c>
      <c r="BC282" s="329">
        <v>0.30152099999999998</v>
      </c>
      <c r="BD282" s="329">
        <v>0.28725200000000001</v>
      </c>
      <c r="BE282" s="329">
        <v>0.326434</v>
      </c>
      <c r="BF282" s="329">
        <v>0.55388499999999996</v>
      </c>
      <c r="BG282" s="329">
        <v>0.25323099999999998</v>
      </c>
      <c r="BH282" s="329">
        <v>0.34314499999999998</v>
      </c>
      <c r="BI282" s="329">
        <v>0.267735</v>
      </c>
      <c r="BJ282" s="329">
        <v>0.279528</v>
      </c>
      <c r="BK282" s="329">
        <v>0.178535</v>
      </c>
      <c r="BL282" s="329">
        <v>0.28970600000000002</v>
      </c>
      <c r="BM282" s="329">
        <v>0.11751300000000001</v>
      </c>
    </row>
    <row r="283" spans="3:65">
      <c r="C283" s="329" t="s">
        <v>386</v>
      </c>
      <c r="D283" s="329">
        <v>0.166357</v>
      </c>
      <c r="E283" s="329">
        <v>0.234042</v>
      </c>
      <c r="F283" s="329">
        <v>0.16272700000000001</v>
      </c>
      <c r="G283" s="329">
        <v>0.169681</v>
      </c>
      <c r="H283" s="329">
        <v>0.23000300000000001</v>
      </c>
      <c r="I283" s="329">
        <v>0.21579100000000001</v>
      </c>
      <c r="J283" s="329">
        <v>0.29645199999999999</v>
      </c>
      <c r="K283" s="329">
        <v>0.17294599999999999</v>
      </c>
      <c r="L283" s="329">
        <v>6.7433000000000007E-2</v>
      </c>
      <c r="M283" s="329">
        <v>0.19139400000000001</v>
      </c>
      <c r="N283" s="329">
        <v>0.19383800000000001</v>
      </c>
      <c r="O283" s="329">
        <v>0.19687499999999999</v>
      </c>
      <c r="P283" s="329">
        <v>0.17240900000000001</v>
      </c>
      <c r="Q283" s="329">
        <v>0.27286300000000002</v>
      </c>
      <c r="R283" s="329">
        <v>0.232374</v>
      </c>
      <c r="S283" s="329">
        <v>0.21435000000000001</v>
      </c>
      <c r="T283" s="329">
        <v>0.208261</v>
      </c>
      <c r="U283" s="329">
        <v>0.17266400000000001</v>
      </c>
      <c r="V283" s="329">
        <v>0.23849799999999999</v>
      </c>
      <c r="W283" s="329">
        <v>0.23603499999999999</v>
      </c>
      <c r="X283" s="329">
        <v>0.22143099999999999</v>
      </c>
      <c r="Y283" s="329">
        <v>0.27736899999999998</v>
      </c>
      <c r="Z283" s="329">
        <v>0.22703599999999999</v>
      </c>
      <c r="AA283" s="329">
        <v>0.30941299999999999</v>
      </c>
      <c r="AB283" s="329">
        <v>0.17468</v>
      </c>
      <c r="AC283" s="329">
        <v>0.28466799999999998</v>
      </c>
      <c r="AD283" s="329">
        <v>0.18709600000000001</v>
      </c>
      <c r="AE283" s="52">
        <f>'User Add-in Location'!B289</f>
        <v>0</v>
      </c>
      <c r="AF283" s="52">
        <f>'User Add-in Location'!C289</f>
        <v>0</v>
      </c>
      <c r="AG283" s="329">
        <v>0.260266</v>
      </c>
      <c r="AH283" s="329">
        <v>0.18351400000000001</v>
      </c>
      <c r="AI283" s="329">
        <v>0.40305200000000002</v>
      </c>
      <c r="AJ283" s="329">
        <v>0.27507599999999999</v>
      </c>
      <c r="AK283" s="329">
        <v>0.18403700000000001</v>
      </c>
      <c r="AL283" s="329">
        <v>0.21074699999999999</v>
      </c>
      <c r="AM283" s="329">
        <v>0.197827</v>
      </c>
      <c r="AN283" s="329">
        <v>0.181701</v>
      </c>
      <c r="AO283" s="329">
        <v>0.21355199999999999</v>
      </c>
      <c r="AP283" s="329">
        <v>0.21970500000000001</v>
      </c>
      <c r="AQ283" s="329">
        <v>0.24265900000000001</v>
      </c>
      <c r="AR283" s="329">
        <v>0.29028900000000002</v>
      </c>
      <c r="AS283" s="324">
        <v>0</v>
      </c>
      <c r="AT283" s="324">
        <v>0</v>
      </c>
      <c r="AU283" s="324">
        <v>0</v>
      </c>
      <c r="AV283" s="324">
        <v>0</v>
      </c>
      <c r="AW283" s="324">
        <v>0</v>
      </c>
      <c r="AX283" s="324">
        <v>0</v>
      </c>
      <c r="AY283" s="324">
        <v>0</v>
      </c>
      <c r="AZ283" s="324">
        <v>0</v>
      </c>
      <c r="BA283" s="329">
        <v>0.16395599999999999</v>
      </c>
      <c r="BB283" s="329">
        <v>0.12585099999999999</v>
      </c>
      <c r="BC283" s="329">
        <v>0.247111</v>
      </c>
      <c r="BD283" s="329">
        <v>0.23411699999999999</v>
      </c>
      <c r="BE283" s="329">
        <v>0.269092</v>
      </c>
      <c r="BF283" s="329">
        <v>0.46576200000000001</v>
      </c>
      <c r="BG283" s="329">
        <v>0.19698499999999999</v>
      </c>
      <c r="BH283" s="329">
        <v>0.29371700000000001</v>
      </c>
      <c r="BI283" s="329">
        <v>0.20814299999999999</v>
      </c>
      <c r="BJ283" s="329">
        <v>0.21030799999999999</v>
      </c>
      <c r="BK283" s="329">
        <v>0.13122</v>
      </c>
      <c r="BL283" s="329">
        <v>0.22267400000000001</v>
      </c>
      <c r="BM283" s="329">
        <v>8.6973999999999996E-2</v>
      </c>
    </row>
    <row r="284" spans="3:65">
      <c r="C284" s="329" t="s">
        <v>387</v>
      </c>
      <c r="D284" s="329">
        <v>0.171711</v>
      </c>
      <c r="E284" s="329">
        <v>0.236405</v>
      </c>
      <c r="F284" s="329">
        <v>0.17271800000000001</v>
      </c>
      <c r="G284" s="329">
        <v>0.176011</v>
      </c>
      <c r="H284" s="329">
        <v>0.24096699999999999</v>
      </c>
      <c r="I284" s="329">
        <v>0.22477800000000001</v>
      </c>
      <c r="J284" s="329">
        <v>0.29658000000000001</v>
      </c>
      <c r="K284" s="329">
        <v>0.18479100000000001</v>
      </c>
      <c r="L284" s="329">
        <v>7.2138999999999995E-2</v>
      </c>
      <c r="M284" s="329">
        <v>0.20549700000000001</v>
      </c>
      <c r="N284" s="329">
        <v>0.206701</v>
      </c>
      <c r="O284" s="329">
        <v>0.208008</v>
      </c>
      <c r="P284" s="329">
        <v>0.18484300000000001</v>
      </c>
      <c r="Q284" s="329">
        <v>0.282445</v>
      </c>
      <c r="R284" s="329">
        <v>0.24063499999999999</v>
      </c>
      <c r="S284" s="329">
        <v>0.22114800000000001</v>
      </c>
      <c r="T284" s="329">
        <v>0.21274599999999999</v>
      </c>
      <c r="U284" s="329">
        <v>0.18199100000000001</v>
      </c>
      <c r="V284" s="329">
        <v>0.24482999999999999</v>
      </c>
      <c r="W284" s="329">
        <v>0.237342</v>
      </c>
      <c r="X284" s="329">
        <v>0.23227500000000001</v>
      </c>
      <c r="Y284" s="329">
        <v>0.28497800000000001</v>
      </c>
      <c r="Z284" s="329">
        <v>0.23893600000000001</v>
      </c>
      <c r="AA284" s="329">
        <v>0.31822400000000001</v>
      </c>
      <c r="AB284" s="329">
        <v>0.180641</v>
      </c>
      <c r="AC284" s="329">
        <v>0.29000500000000001</v>
      </c>
      <c r="AD284" s="329">
        <v>0.19633</v>
      </c>
      <c r="AE284" s="52">
        <f>'User Add-in Location'!B290</f>
        <v>0</v>
      </c>
      <c r="AF284" s="52">
        <f>'User Add-in Location'!C290</f>
        <v>0</v>
      </c>
      <c r="AG284" s="329">
        <v>0.260129</v>
      </c>
      <c r="AH284" s="329">
        <v>0.19254599999999999</v>
      </c>
      <c r="AI284" s="329">
        <v>0.38338499999999998</v>
      </c>
      <c r="AJ284" s="329">
        <v>0.28694599999999998</v>
      </c>
      <c r="AK284" s="329">
        <v>0.19284799999999999</v>
      </c>
      <c r="AL284" s="329">
        <v>0.221446</v>
      </c>
      <c r="AM284" s="329">
        <v>0.205871</v>
      </c>
      <c r="AN284" s="329">
        <v>0.19025300000000001</v>
      </c>
      <c r="AO284" s="329">
        <v>0.22150900000000001</v>
      </c>
      <c r="AP284" s="329">
        <v>0.22414100000000001</v>
      </c>
      <c r="AQ284" s="329">
        <v>0.25490200000000002</v>
      </c>
      <c r="AR284" s="329">
        <v>0.30205300000000002</v>
      </c>
      <c r="AS284" s="324">
        <v>0</v>
      </c>
      <c r="AT284" s="324">
        <v>0</v>
      </c>
      <c r="AU284" s="324">
        <v>0</v>
      </c>
      <c r="AV284" s="324">
        <v>0</v>
      </c>
      <c r="AW284" s="324">
        <v>0</v>
      </c>
      <c r="AX284" s="324">
        <v>0</v>
      </c>
      <c r="AY284" s="324">
        <v>0</v>
      </c>
      <c r="AZ284" s="324">
        <v>0</v>
      </c>
      <c r="BA284" s="329">
        <v>0.17170099999999999</v>
      </c>
      <c r="BB284" s="329">
        <v>0.135959</v>
      </c>
      <c r="BC284" s="329">
        <v>0.25163200000000002</v>
      </c>
      <c r="BD284" s="329">
        <v>0.23899000000000001</v>
      </c>
      <c r="BE284" s="329">
        <v>0.27874199999999999</v>
      </c>
      <c r="BF284" s="329">
        <v>0.47744399999999998</v>
      </c>
      <c r="BG284" s="329">
        <v>0.20958599999999999</v>
      </c>
      <c r="BH284" s="329">
        <v>0.28986699999999999</v>
      </c>
      <c r="BI284" s="329">
        <v>0.21865000000000001</v>
      </c>
      <c r="BJ284" s="329">
        <v>0.224798</v>
      </c>
      <c r="BK284" s="329">
        <v>0.13739399999999999</v>
      </c>
      <c r="BL284" s="329">
        <v>0.231348</v>
      </c>
      <c r="BM284" s="329">
        <v>9.1740000000000002E-2</v>
      </c>
    </row>
    <row r="285" spans="3:65">
      <c r="C285" s="329" t="s">
        <v>388</v>
      </c>
      <c r="D285" s="329">
        <v>0.107821</v>
      </c>
      <c r="E285" s="329">
        <v>0.111707</v>
      </c>
      <c r="F285" s="329">
        <v>0.13472799999999999</v>
      </c>
      <c r="G285" s="329">
        <v>0.123863</v>
      </c>
      <c r="H285" s="329">
        <v>0.18106900000000001</v>
      </c>
      <c r="I285" s="329">
        <v>0.177425</v>
      </c>
      <c r="J285" s="329">
        <v>0.21281700000000001</v>
      </c>
      <c r="K285" s="329">
        <v>0.118535</v>
      </c>
      <c r="L285" s="329">
        <v>3.9286000000000001E-2</v>
      </c>
      <c r="M285" s="329">
        <v>0.16216800000000001</v>
      </c>
      <c r="N285" s="329">
        <v>0.15007100000000001</v>
      </c>
      <c r="O285" s="329">
        <v>0.114847</v>
      </c>
      <c r="P285" s="329">
        <v>0.150038</v>
      </c>
      <c r="Q285" s="329">
        <v>0.21030399999999999</v>
      </c>
      <c r="R285" s="329">
        <v>0.15706800000000001</v>
      </c>
      <c r="S285" s="329">
        <v>0.14838299999999999</v>
      </c>
      <c r="T285" s="329">
        <v>0.15528800000000001</v>
      </c>
      <c r="U285" s="329">
        <v>0.119334</v>
      </c>
      <c r="V285" s="329">
        <v>0.13073599999999999</v>
      </c>
      <c r="W285" s="329">
        <v>0.14963599999999999</v>
      </c>
      <c r="X285" s="329">
        <v>0.149339</v>
      </c>
      <c r="Y285" s="329">
        <v>0.183975</v>
      </c>
      <c r="Z285" s="329">
        <v>0.16880000000000001</v>
      </c>
      <c r="AA285" s="329">
        <v>0.236956</v>
      </c>
      <c r="AB285" s="329">
        <v>0.126142</v>
      </c>
      <c r="AC285" s="329">
        <v>0.19723099999999999</v>
      </c>
      <c r="AD285" s="329">
        <v>0.10933900000000001</v>
      </c>
      <c r="AE285" s="52">
        <f>'User Add-in Location'!B291</f>
        <v>0</v>
      </c>
      <c r="AF285" s="52">
        <f>'User Add-in Location'!C291</f>
        <v>0</v>
      </c>
      <c r="AG285" s="329">
        <v>0.162581</v>
      </c>
      <c r="AH285" s="329">
        <v>0.138046</v>
      </c>
      <c r="AI285" s="329">
        <v>0.225303</v>
      </c>
      <c r="AJ285" s="329">
        <v>0.211974</v>
      </c>
      <c r="AK285" s="329">
        <v>0.109765</v>
      </c>
      <c r="AL285" s="329">
        <v>0.15848699999999999</v>
      </c>
      <c r="AM285" s="329">
        <v>0.128223</v>
      </c>
      <c r="AN285" s="329">
        <v>0.110833</v>
      </c>
      <c r="AO285" s="329">
        <v>0.14228399999999999</v>
      </c>
      <c r="AP285" s="329">
        <v>0.16331300000000001</v>
      </c>
      <c r="AQ285" s="329">
        <v>0.181062</v>
      </c>
      <c r="AR285" s="329">
        <v>0.225434</v>
      </c>
      <c r="AS285" s="324">
        <v>0</v>
      </c>
      <c r="AT285" s="324">
        <v>0</v>
      </c>
      <c r="AU285" s="324">
        <v>0</v>
      </c>
      <c r="AV285" s="324">
        <v>0</v>
      </c>
      <c r="AW285" s="324">
        <v>0</v>
      </c>
      <c r="AX285" s="324">
        <v>0</v>
      </c>
      <c r="AY285" s="324">
        <v>0</v>
      </c>
      <c r="AZ285" s="324">
        <v>0</v>
      </c>
      <c r="BA285" s="329">
        <v>0.11627</v>
      </c>
      <c r="BB285" s="329">
        <v>8.9866000000000001E-2</v>
      </c>
      <c r="BC285" s="329">
        <v>0.17954999999999999</v>
      </c>
      <c r="BD285" s="329">
        <v>0.13202700000000001</v>
      </c>
      <c r="BE285" s="329">
        <v>0.18566299999999999</v>
      </c>
      <c r="BF285" s="329">
        <v>0.38313799999999998</v>
      </c>
      <c r="BG285" s="329">
        <v>0.16192899999999999</v>
      </c>
      <c r="BH285" s="329">
        <v>0.17005400000000001</v>
      </c>
      <c r="BI285" s="329">
        <v>0.14438799999999999</v>
      </c>
      <c r="BJ285" s="329">
        <v>0.13735800000000001</v>
      </c>
      <c r="BK285" s="329">
        <v>7.5310000000000002E-2</v>
      </c>
      <c r="BL285" s="329">
        <v>0.14904500000000001</v>
      </c>
      <c r="BM285" s="329">
        <v>4.2724999999999999E-2</v>
      </c>
    </row>
    <row r="286" spans="3:65">
      <c r="C286" s="329" t="s">
        <v>389</v>
      </c>
      <c r="D286" s="329">
        <v>0.12889600000000001</v>
      </c>
      <c r="E286" s="329">
        <v>0.155643</v>
      </c>
      <c r="F286" s="329">
        <v>0.13883599999999999</v>
      </c>
      <c r="G286" s="329">
        <v>0.136769</v>
      </c>
      <c r="H286" s="329">
        <v>0.20869099999999999</v>
      </c>
      <c r="I286" s="329">
        <v>0.18381500000000001</v>
      </c>
      <c r="J286" s="329">
        <v>0.22070999999999999</v>
      </c>
      <c r="K286" s="329">
        <v>0.14530000000000001</v>
      </c>
      <c r="L286" s="329">
        <v>0</v>
      </c>
      <c r="M286" s="329">
        <v>0.186283</v>
      </c>
      <c r="N286" s="329">
        <v>0.169492</v>
      </c>
      <c r="O286" s="329">
        <v>0.15702099999999999</v>
      </c>
      <c r="P286" s="329">
        <v>0.162047</v>
      </c>
      <c r="Q286" s="329">
        <v>0.25737599999999999</v>
      </c>
      <c r="R286" s="329">
        <v>0.202735</v>
      </c>
      <c r="S286" s="329">
        <v>0.17957000000000001</v>
      </c>
      <c r="T286" s="329">
        <v>0.175848</v>
      </c>
      <c r="U286" s="329">
        <v>0.15302299999999999</v>
      </c>
      <c r="V286" s="329">
        <v>0.19722400000000001</v>
      </c>
      <c r="W286" s="329">
        <v>0.158333</v>
      </c>
      <c r="X286" s="329">
        <v>0.17746700000000001</v>
      </c>
      <c r="Y286" s="329">
        <v>0.20899599999999999</v>
      </c>
      <c r="Z286" s="329">
        <v>0.21684700000000001</v>
      </c>
      <c r="AA286" s="329">
        <v>0.28121699999999999</v>
      </c>
      <c r="AB286" s="329">
        <v>0.162962</v>
      </c>
      <c r="AC286" s="329">
        <v>0.23832500000000001</v>
      </c>
      <c r="AD286" s="329">
        <v>0.14578199999999999</v>
      </c>
      <c r="AE286" s="52">
        <f>'User Add-in Location'!B292</f>
        <v>0</v>
      </c>
      <c r="AF286" s="52">
        <f>'User Add-in Location'!C292</f>
        <v>0</v>
      </c>
      <c r="AG286" s="329">
        <v>0.20041200000000001</v>
      </c>
      <c r="AH286" s="329">
        <v>0.15923100000000001</v>
      </c>
      <c r="AI286" s="329">
        <v>0.21848000000000001</v>
      </c>
      <c r="AJ286" s="329">
        <v>0.24926400000000001</v>
      </c>
      <c r="AK286" s="329">
        <v>0.15661600000000001</v>
      </c>
      <c r="AL286" s="329">
        <v>0.18496000000000001</v>
      </c>
      <c r="AM286" s="329">
        <v>0.15989100000000001</v>
      </c>
      <c r="AN286" s="329">
        <v>0.16544400000000001</v>
      </c>
      <c r="AO286" s="329">
        <v>0.182999</v>
      </c>
      <c r="AP286" s="329">
        <v>0.19050800000000001</v>
      </c>
      <c r="AQ286" s="329">
        <v>0.21507699999999999</v>
      </c>
      <c r="AR286" s="329">
        <v>0.26915899999999998</v>
      </c>
      <c r="AS286" s="324">
        <v>0</v>
      </c>
      <c r="AT286" s="324">
        <v>0</v>
      </c>
      <c r="AU286" s="324">
        <v>0</v>
      </c>
      <c r="AV286" s="324">
        <v>0</v>
      </c>
      <c r="AW286" s="324">
        <v>0</v>
      </c>
      <c r="AX286" s="324">
        <v>0</v>
      </c>
      <c r="AY286" s="324">
        <v>0</v>
      </c>
      <c r="AZ286" s="324">
        <v>0</v>
      </c>
      <c r="BA286" s="329">
        <v>0.14110600000000001</v>
      </c>
      <c r="BB286" s="329">
        <v>0.121319</v>
      </c>
      <c r="BC286" s="329">
        <v>0.21826100000000001</v>
      </c>
      <c r="BD286" s="329">
        <v>0.183229</v>
      </c>
      <c r="BE286" s="329">
        <v>0.236346</v>
      </c>
      <c r="BF286" s="329">
        <v>0.45109500000000002</v>
      </c>
      <c r="BG286" s="329">
        <v>0.19020300000000001</v>
      </c>
      <c r="BH286" s="329">
        <v>0.20305500000000001</v>
      </c>
      <c r="BI286" s="329">
        <v>0.20792099999999999</v>
      </c>
      <c r="BJ286" s="329">
        <v>0.175481</v>
      </c>
      <c r="BK286" s="329">
        <v>0.10359599999999999</v>
      </c>
      <c r="BL286" s="329">
        <v>0.20791399999999999</v>
      </c>
      <c r="BM286" s="329">
        <v>6.6327999999999998E-2</v>
      </c>
    </row>
    <row r="287" spans="3:65">
      <c r="C287" s="329" t="s">
        <v>390</v>
      </c>
      <c r="D287" s="329">
        <v>0.144401</v>
      </c>
      <c r="E287" s="329">
        <v>0.13682800000000001</v>
      </c>
      <c r="F287" s="329">
        <v>0.17305000000000001</v>
      </c>
      <c r="G287" s="329">
        <v>0.14646000000000001</v>
      </c>
      <c r="H287" s="329">
        <v>0.230768</v>
      </c>
      <c r="I287" s="329">
        <v>0.20024</v>
      </c>
      <c r="J287" s="329">
        <v>0.25224299999999999</v>
      </c>
      <c r="K287" s="329">
        <v>0.14021600000000001</v>
      </c>
      <c r="L287" s="329">
        <v>0</v>
      </c>
      <c r="M287" s="329">
        <v>0.199489</v>
      </c>
      <c r="N287" s="329">
        <v>0.18157999999999999</v>
      </c>
      <c r="O287" s="329">
        <v>0</v>
      </c>
      <c r="P287" s="329">
        <v>0.17002500000000001</v>
      </c>
      <c r="Q287" s="329">
        <v>0.27521000000000001</v>
      </c>
      <c r="R287" s="329">
        <v>0.218918</v>
      </c>
      <c r="S287" s="329">
        <v>0.18163899999999999</v>
      </c>
      <c r="T287" s="329">
        <v>0.213257</v>
      </c>
      <c r="U287" s="329">
        <v>0.18426999999999999</v>
      </c>
      <c r="V287" s="329">
        <v>0.225693</v>
      </c>
      <c r="W287" s="329">
        <v>0.16938900000000001</v>
      </c>
      <c r="X287" s="329">
        <v>0.20010700000000001</v>
      </c>
      <c r="Y287" s="329">
        <v>0.24318300000000001</v>
      </c>
      <c r="Z287" s="329">
        <v>0.24434</v>
      </c>
      <c r="AA287" s="329">
        <v>0.308228</v>
      </c>
      <c r="AB287" s="329">
        <v>0.156581</v>
      </c>
      <c r="AC287" s="329">
        <v>0.25360899999999997</v>
      </c>
      <c r="AD287" s="329">
        <v>0.167851</v>
      </c>
      <c r="AE287" s="52">
        <f>'User Add-in Location'!B293</f>
        <v>0</v>
      </c>
      <c r="AF287" s="52">
        <f>'User Add-in Location'!C293</f>
        <v>0</v>
      </c>
      <c r="AG287" s="329">
        <v>0.19441800000000001</v>
      </c>
      <c r="AH287" s="329">
        <v>0.178033</v>
      </c>
      <c r="AI287" s="329">
        <v>0.26671299999999998</v>
      </c>
      <c r="AJ287" s="329">
        <v>0.296072</v>
      </c>
      <c r="AK287" s="329">
        <v>0.16233900000000001</v>
      </c>
      <c r="AL287" s="329">
        <v>0.19758300000000001</v>
      </c>
      <c r="AM287" s="329">
        <v>0.17885799999999999</v>
      </c>
      <c r="AN287" s="329">
        <v>0.13166900000000001</v>
      </c>
      <c r="AO287" s="329">
        <v>0.205064</v>
      </c>
      <c r="AP287" s="329">
        <v>0.228908</v>
      </c>
      <c r="AQ287" s="329">
        <v>0.20680999999999999</v>
      </c>
      <c r="AR287" s="329">
        <v>0.29385499999999998</v>
      </c>
      <c r="AS287" s="324">
        <v>0</v>
      </c>
      <c r="AT287" s="324">
        <v>0</v>
      </c>
      <c r="AU287" s="324">
        <v>0</v>
      </c>
      <c r="AV287" s="324">
        <v>0</v>
      </c>
      <c r="AW287" s="324">
        <v>0</v>
      </c>
      <c r="AX287" s="324">
        <v>0</v>
      </c>
      <c r="AY287" s="324">
        <v>0</v>
      </c>
      <c r="AZ287" s="324">
        <v>0</v>
      </c>
      <c r="BA287" s="329">
        <v>0.14322199999999999</v>
      </c>
      <c r="BB287" s="329">
        <v>0.130908</v>
      </c>
      <c r="BC287" s="329">
        <v>0.19443099999999999</v>
      </c>
      <c r="BD287" s="329">
        <v>0.189023</v>
      </c>
      <c r="BE287" s="329">
        <v>0.26043100000000002</v>
      </c>
      <c r="BF287" s="329">
        <v>0.469584</v>
      </c>
      <c r="BG287" s="329">
        <v>0.21082999999999999</v>
      </c>
      <c r="BH287" s="329">
        <v>0.21876699999999999</v>
      </c>
      <c r="BI287" s="329">
        <v>0.20935300000000001</v>
      </c>
      <c r="BJ287" s="329">
        <v>0.210312</v>
      </c>
      <c r="BK287" s="329">
        <v>0.12969600000000001</v>
      </c>
      <c r="BL287" s="329">
        <v>0.20732</v>
      </c>
      <c r="BM287" s="329">
        <v>9.4959000000000002E-2</v>
      </c>
    </row>
    <row r="288" spans="3:65">
      <c r="C288" s="329" t="s">
        <v>391</v>
      </c>
      <c r="D288" s="329">
        <v>0.133657</v>
      </c>
      <c r="E288" s="329">
        <v>0.25608999999999998</v>
      </c>
      <c r="F288" s="329">
        <v>0.17135700000000001</v>
      </c>
      <c r="G288" s="329">
        <v>0.138768</v>
      </c>
      <c r="H288" s="329">
        <v>0.22920099999999999</v>
      </c>
      <c r="I288" s="329">
        <v>0.155335</v>
      </c>
      <c r="J288" s="329">
        <v>0.226636</v>
      </c>
      <c r="K288" s="329">
        <v>0.188028</v>
      </c>
      <c r="L288" s="329">
        <v>0.109676</v>
      </c>
      <c r="M288" s="329">
        <v>0.183313</v>
      </c>
      <c r="N288" s="329">
        <v>0.186448</v>
      </c>
      <c r="O288" s="329">
        <v>0</v>
      </c>
      <c r="P288" s="329">
        <v>0.15073800000000001</v>
      </c>
      <c r="Q288" s="329">
        <v>0.25689200000000001</v>
      </c>
      <c r="R288" s="329">
        <v>0.19314999999999999</v>
      </c>
      <c r="S288" s="329">
        <v>0.17882700000000001</v>
      </c>
      <c r="T288" s="329">
        <v>0.17956900000000001</v>
      </c>
      <c r="U288" s="329">
        <v>0.166576</v>
      </c>
      <c r="V288" s="329">
        <v>0.19287099999999999</v>
      </c>
      <c r="W288" s="329">
        <v>0.180894</v>
      </c>
      <c r="X288" s="329">
        <v>0.181563</v>
      </c>
      <c r="Y288" s="329">
        <v>0.224136</v>
      </c>
      <c r="Z288" s="329">
        <v>0.20883099999999999</v>
      </c>
      <c r="AA288" s="329">
        <v>0.25098399999999998</v>
      </c>
      <c r="AB288" s="329">
        <v>0.14464199999999999</v>
      </c>
      <c r="AC288" s="329">
        <v>0.20019100000000001</v>
      </c>
      <c r="AD288" s="329">
        <v>0.13935900000000001</v>
      </c>
      <c r="AE288" s="52">
        <f>'User Add-in Location'!B294</f>
        <v>0</v>
      </c>
      <c r="AF288" s="52">
        <f>'User Add-in Location'!C294</f>
        <v>0</v>
      </c>
      <c r="AG288" s="329">
        <v>0.15705</v>
      </c>
      <c r="AH288" s="329">
        <v>0.16342999999999999</v>
      </c>
      <c r="AI288" s="329">
        <v>0.19089999999999999</v>
      </c>
      <c r="AJ288" s="329">
        <v>0.23591899999999999</v>
      </c>
      <c r="AK288" s="329">
        <v>0.13328599999999999</v>
      </c>
      <c r="AL288" s="329">
        <v>0.20125399999999999</v>
      </c>
      <c r="AM288" s="329">
        <v>0.15948899999999999</v>
      </c>
      <c r="AN288" s="329">
        <v>0.106851</v>
      </c>
      <c r="AO288" s="329">
        <v>0.16659199999999999</v>
      </c>
      <c r="AP288" s="329">
        <v>0.19834199999999999</v>
      </c>
      <c r="AQ288" s="329">
        <v>0.19287499999999999</v>
      </c>
      <c r="AR288" s="329">
        <v>0.26244699999999999</v>
      </c>
      <c r="AS288" s="324">
        <v>0</v>
      </c>
      <c r="AT288" s="324">
        <v>0</v>
      </c>
      <c r="AU288" s="324">
        <v>0</v>
      </c>
      <c r="AV288" s="324">
        <v>0</v>
      </c>
      <c r="AW288" s="324">
        <v>0</v>
      </c>
      <c r="AX288" s="324">
        <v>0</v>
      </c>
      <c r="AY288" s="324">
        <v>0</v>
      </c>
      <c r="AZ288" s="324">
        <v>0</v>
      </c>
      <c r="BA288" s="329">
        <v>0.14683399999999999</v>
      </c>
      <c r="BB288" s="329">
        <v>0.100284</v>
      </c>
      <c r="BC288" s="329">
        <v>0.17243900000000001</v>
      </c>
      <c r="BD288" s="329">
        <v>0.15162600000000001</v>
      </c>
      <c r="BE288" s="329">
        <v>0.24154999999999999</v>
      </c>
      <c r="BF288" s="329">
        <v>0.43125200000000002</v>
      </c>
      <c r="BG288" s="329">
        <v>0.209866</v>
      </c>
      <c r="BH288" s="329">
        <v>0.212253</v>
      </c>
      <c r="BI288" s="329">
        <v>0.18620500000000001</v>
      </c>
      <c r="BJ288" s="329">
        <v>0.195768</v>
      </c>
      <c r="BK288" s="329">
        <v>0.120216</v>
      </c>
      <c r="BL288" s="329">
        <v>0.19946</v>
      </c>
      <c r="BM288" s="329">
        <v>7.9409999999999994E-2</v>
      </c>
    </row>
    <row r="289" spans="3:65">
      <c r="C289" s="329" t="s">
        <v>392</v>
      </c>
      <c r="D289" s="329">
        <v>0.128137</v>
      </c>
      <c r="E289" s="329">
        <v>0</v>
      </c>
      <c r="F289" s="329">
        <v>0.14074800000000001</v>
      </c>
      <c r="G289" s="329">
        <v>0.16362099999999999</v>
      </c>
      <c r="H289" s="329">
        <v>0.2205</v>
      </c>
      <c r="I289" s="329">
        <v>0.16492799999999999</v>
      </c>
      <c r="J289" s="329">
        <v>0.23125799999999999</v>
      </c>
      <c r="K289" s="329">
        <v>0.17637700000000001</v>
      </c>
      <c r="L289" s="329">
        <v>0</v>
      </c>
      <c r="M289" s="329">
        <v>0.193026</v>
      </c>
      <c r="N289" s="329">
        <v>0.189383</v>
      </c>
      <c r="O289" s="329">
        <v>0</v>
      </c>
      <c r="P289" s="329">
        <v>0</v>
      </c>
      <c r="Q289" s="329">
        <v>0.27466400000000002</v>
      </c>
      <c r="R289" s="329">
        <v>0.21487100000000001</v>
      </c>
      <c r="S289" s="329">
        <v>0.186803</v>
      </c>
      <c r="T289" s="329">
        <v>0.19320100000000001</v>
      </c>
      <c r="U289" s="329">
        <v>0.170905</v>
      </c>
      <c r="V289" s="329">
        <v>0.219666</v>
      </c>
      <c r="W289" s="329">
        <v>0</v>
      </c>
      <c r="X289" s="329">
        <v>0.21338299999999999</v>
      </c>
      <c r="Y289" s="329">
        <v>0.197043</v>
      </c>
      <c r="Z289" s="329">
        <v>0.22942399999999999</v>
      </c>
      <c r="AA289" s="329">
        <v>0.24623400000000001</v>
      </c>
      <c r="AB289" s="329">
        <v>0.15413099999999999</v>
      </c>
      <c r="AC289" s="329">
        <v>0.221525</v>
      </c>
      <c r="AD289" s="329">
        <v>0</v>
      </c>
      <c r="AE289" s="52">
        <f>'User Add-in Location'!B295</f>
        <v>0</v>
      </c>
      <c r="AF289" s="52">
        <f>'User Add-in Location'!C295</f>
        <v>0</v>
      </c>
      <c r="AG289" s="329">
        <v>0</v>
      </c>
      <c r="AH289" s="329">
        <v>0.16992199999999999</v>
      </c>
      <c r="AI289" s="329">
        <v>0</v>
      </c>
      <c r="AJ289" s="329">
        <v>0.242565</v>
      </c>
      <c r="AK289" s="329">
        <v>0</v>
      </c>
      <c r="AL289" s="329">
        <v>0.19512399999999999</v>
      </c>
      <c r="AM289" s="329">
        <v>0.17573</v>
      </c>
      <c r="AN289" s="329">
        <v>0</v>
      </c>
      <c r="AO289" s="329">
        <v>0.18205399999999999</v>
      </c>
      <c r="AP289" s="329">
        <v>0.19295100000000001</v>
      </c>
      <c r="AQ289" s="329">
        <v>0.18703600000000001</v>
      </c>
      <c r="AR289" s="329">
        <v>0.27368300000000001</v>
      </c>
      <c r="AS289" s="324">
        <v>0</v>
      </c>
      <c r="AT289" s="324">
        <v>0</v>
      </c>
      <c r="AU289" s="324">
        <v>0</v>
      </c>
      <c r="AV289" s="324">
        <v>0</v>
      </c>
      <c r="AW289" s="324">
        <v>0</v>
      </c>
      <c r="AX289" s="324">
        <v>0</v>
      </c>
      <c r="AY289" s="324">
        <v>0</v>
      </c>
      <c r="AZ289" s="324">
        <v>0</v>
      </c>
      <c r="BA289" s="329">
        <v>0.146068</v>
      </c>
      <c r="BB289" s="329">
        <v>0.110528</v>
      </c>
      <c r="BC289" s="329">
        <v>0</v>
      </c>
      <c r="BD289" s="329">
        <v>0.174873</v>
      </c>
      <c r="BE289" s="329">
        <v>0.25397900000000001</v>
      </c>
      <c r="BF289" s="329">
        <v>0.43768299999999999</v>
      </c>
      <c r="BG289" s="329">
        <v>0.20186000000000001</v>
      </c>
      <c r="BH289" s="329">
        <v>0</v>
      </c>
      <c r="BI289" s="329">
        <v>0.19156599999999999</v>
      </c>
      <c r="BJ289" s="329">
        <v>0.146868</v>
      </c>
      <c r="BK289" s="329">
        <v>0.13109100000000001</v>
      </c>
      <c r="BL289" s="329">
        <v>0.188997</v>
      </c>
      <c r="BM289" s="329">
        <v>0</v>
      </c>
    </row>
    <row r="290" spans="3:65">
      <c r="C290" s="329" t="s">
        <v>393</v>
      </c>
      <c r="D290" s="329">
        <v>9.8424999999999999E-2</v>
      </c>
      <c r="E290" s="329">
        <v>0</v>
      </c>
      <c r="F290" s="329">
        <v>0.111705</v>
      </c>
      <c r="G290" s="329">
        <v>0.13377600000000001</v>
      </c>
      <c r="H290" s="329">
        <v>0.178172</v>
      </c>
      <c r="I290" s="329">
        <v>0.136658</v>
      </c>
      <c r="J290" s="329">
        <v>0.19681999999999999</v>
      </c>
      <c r="K290" s="329">
        <v>0</v>
      </c>
      <c r="L290" s="329">
        <v>9.9623000000000003E-2</v>
      </c>
      <c r="M290" s="329">
        <v>0.14430399999999999</v>
      </c>
      <c r="N290" s="329">
        <v>0.14665900000000001</v>
      </c>
      <c r="O290" s="329">
        <v>0</v>
      </c>
      <c r="P290" s="329">
        <v>0.12173200000000001</v>
      </c>
      <c r="Q290" s="329">
        <v>0.23716699999999999</v>
      </c>
      <c r="R290" s="329">
        <v>0.171846</v>
      </c>
      <c r="S290" s="329">
        <v>0</v>
      </c>
      <c r="T290" s="329">
        <v>0.154691</v>
      </c>
      <c r="U290" s="329">
        <v>0.12903800000000001</v>
      </c>
      <c r="V290" s="329">
        <v>0.17643400000000001</v>
      </c>
      <c r="W290" s="329">
        <v>0.140179</v>
      </c>
      <c r="X290" s="329">
        <v>0.17163500000000001</v>
      </c>
      <c r="Y290" s="329">
        <v>0.16921700000000001</v>
      </c>
      <c r="Z290" s="329">
        <v>0.154498</v>
      </c>
      <c r="AA290" s="329">
        <v>0.226442</v>
      </c>
      <c r="AB290" s="329">
        <v>0.12778200000000001</v>
      </c>
      <c r="AC290" s="329">
        <v>0</v>
      </c>
      <c r="AD290" s="329">
        <v>0.105613</v>
      </c>
      <c r="AE290" s="52">
        <f>'User Add-in Location'!B296</f>
        <v>0</v>
      </c>
      <c r="AF290" s="52">
        <f>'User Add-in Location'!C296</f>
        <v>0</v>
      </c>
      <c r="AG290" s="329">
        <v>0.158967</v>
      </c>
      <c r="AH290" s="329">
        <v>0.1338</v>
      </c>
      <c r="AI290" s="329">
        <v>0.186975</v>
      </c>
      <c r="AJ290" s="329">
        <v>0.20671100000000001</v>
      </c>
      <c r="AK290" s="329">
        <v>0.10231</v>
      </c>
      <c r="AL290" s="329">
        <v>0.14865600000000001</v>
      </c>
      <c r="AM290" s="329">
        <v>0.146482</v>
      </c>
      <c r="AN290" s="329">
        <v>9.6029000000000003E-2</v>
      </c>
      <c r="AO290" s="329">
        <v>0.137298</v>
      </c>
      <c r="AP290" s="329">
        <v>0</v>
      </c>
      <c r="AQ290" s="329">
        <v>0</v>
      </c>
      <c r="AR290" s="329">
        <v>0.21712699999999999</v>
      </c>
      <c r="AS290" s="324">
        <v>0</v>
      </c>
      <c r="AT290" s="324">
        <v>0</v>
      </c>
      <c r="AU290" s="324">
        <v>0</v>
      </c>
      <c r="AV290" s="324">
        <v>0</v>
      </c>
      <c r="AW290" s="324">
        <v>0</v>
      </c>
      <c r="AX290" s="324">
        <v>0</v>
      </c>
      <c r="AY290" s="324">
        <v>0</v>
      </c>
      <c r="AZ290" s="324">
        <v>0</v>
      </c>
      <c r="BA290" s="329">
        <v>9.9821999999999994E-2</v>
      </c>
      <c r="BB290" s="329">
        <v>8.6692000000000005E-2</v>
      </c>
      <c r="BC290" s="329">
        <v>0</v>
      </c>
      <c r="BD290" s="329">
        <v>0.11708</v>
      </c>
      <c r="BE290" s="329">
        <v>0.219587</v>
      </c>
      <c r="BF290" s="329">
        <v>0.37544300000000003</v>
      </c>
      <c r="BG290" s="329">
        <v>0.158085</v>
      </c>
      <c r="BH290" s="329">
        <v>0.15835099999999999</v>
      </c>
      <c r="BI290" s="329">
        <v>0.148756</v>
      </c>
      <c r="BJ290" s="329">
        <v>0.124628</v>
      </c>
      <c r="BK290" s="329">
        <v>9.6211000000000005E-2</v>
      </c>
      <c r="BL290" s="329">
        <v>0.12503400000000001</v>
      </c>
      <c r="BM290" s="329">
        <v>4.5586000000000002E-2</v>
      </c>
    </row>
    <row r="291" spans="3:65">
      <c r="C291" s="329" t="s">
        <v>394</v>
      </c>
      <c r="D291" s="329">
        <v>0.15846499999999999</v>
      </c>
      <c r="E291" s="329">
        <v>0.15040500000000001</v>
      </c>
      <c r="F291" s="329">
        <v>0.19392999999999999</v>
      </c>
      <c r="G291" s="329">
        <v>0.152368</v>
      </c>
      <c r="H291" s="329">
        <v>0.20353499999999999</v>
      </c>
      <c r="I291" s="329">
        <v>0.22586000000000001</v>
      </c>
      <c r="J291" s="329">
        <v>0.23107800000000001</v>
      </c>
      <c r="K291" s="329">
        <v>0.173429</v>
      </c>
      <c r="L291" s="329">
        <v>8.2414000000000001E-2</v>
      </c>
      <c r="M291" s="329">
        <v>0.220438</v>
      </c>
      <c r="N291" s="329">
        <v>0.20102400000000001</v>
      </c>
      <c r="O291" s="329">
        <v>0.20025699999999999</v>
      </c>
      <c r="P291" s="329">
        <v>0.17954100000000001</v>
      </c>
      <c r="Q291" s="329">
        <v>0.26267299999999999</v>
      </c>
      <c r="R291" s="329">
        <v>0.22014900000000001</v>
      </c>
      <c r="S291" s="329">
        <v>0.189496</v>
      </c>
      <c r="T291" s="329">
        <v>0.18845200000000001</v>
      </c>
      <c r="U291" s="329">
        <v>0.15537400000000001</v>
      </c>
      <c r="V291" s="329">
        <v>0.202573</v>
      </c>
      <c r="W291" s="329">
        <v>0.19035099999999999</v>
      </c>
      <c r="X291" s="329">
        <v>0.218116</v>
      </c>
      <c r="Y291" s="329">
        <v>0.243369</v>
      </c>
      <c r="Z291" s="329">
        <v>0.23585800000000001</v>
      </c>
      <c r="AA291" s="329">
        <v>0.28677399999999997</v>
      </c>
      <c r="AB291" s="329">
        <v>0.152702</v>
      </c>
      <c r="AC291" s="329">
        <v>0.26095299999999999</v>
      </c>
      <c r="AD291" s="329">
        <v>0.17718999999999999</v>
      </c>
      <c r="AE291" s="52">
        <f>'User Add-in Location'!B297</f>
        <v>0</v>
      </c>
      <c r="AF291" s="52">
        <f>'User Add-in Location'!C297</f>
        <v>0</v>
      </c>
      <c r="AG291" s="329">
        <v>0.20169500000000001</v>
      </c>
      <c r="AH291" s="329">
        <v>0.18295600000000001</v>
      </c>
      <c r="AI291" s="329">
        <v>0.28463500000000003</v>
      </c>
      <c r="AJ291" s="329">
        <v>0.248613</v>
      </c>
      <c r="AK291" s="329">
        <v>0.17811399999999999</v>
      </c>
      <c r="AL291" s="329">
        <v>0.206482</v>
      </c>
      <c r="AM291" s="329">
        <v>0.18293899999999999</v>
      </c>
      <c r="AN291" s="329">
        <v>0.17008200000000001</v>
      </c>
      <c r="AO291" s="329">
        <v>0.21215000000000001</v>
      </c>
      <c r="AP291" s="329">
        <v>0.187329</v>
      </c>
      <c r="AQ291" s="329">
        <v>0.23604600000000001</v>
      </c>
      <c r="AR291" s="329">
        <v>0.27467900000000001</v>
      </c>
      <c r="AS291" s="324">
        <v>0</v>
      </c>
      <c r="AT291" s="324">
        <v>0</v>
      </c>
      <c r="AU291" s="324">
        <v>0</v>
      </c>
      <c r="AV291" s="324">
        <v>0</v>
      </c>
      <c r="AW291" s="324">
        <v>0</v>
      </c>
      <c r="AX291" s="324">
        <v>0</v>
      </c>
      <c r="AY291" s="324">
        <v>0</v>
      </c>
      <c r="AZ291" s="324">
        <v>0</v>
      </c>
      <c r="BA291" s="329">
        <v>0.16592999999999999</v>
      </c>
      <c r="BB291" s="329">
        <v>0.13091700000000001</v>
      </c>
      <c r="BC291" s="329">
        <v>0.20887</v>
      </c>
      <c r="BD291" s="329">
        <v>0.195137</v>
      </c>
      <c r="BE291" s="329">
        <v>0.231354</v>
      </c>
      <c r="BF291" s="329">
        <v>0.43610199999999999</v>
      </c>
      <c r="BG291" s="329">
        <v>0.21127699999999999</v>
      </c>
      <c r="BH291" s="329">
        <v>0.21232000000000001</v>
      </c>
      <c r="BI291" s="329">
        <v>0.21585799999999999</v>
      </c>
      <c r="BJ291" s="329">
        <v>0.212395</v>
      </c>
      <c r="BK291" s="329">
        <v>0.12865799999999999</v>
      </c>
      <c r="BL291" s="329">
        <v>0.240726</v>
      </c>
      <c r="BM291" s="329">
        <v>9.0496999999999994E-2</v>
      </c>
    </row>
    <row r="292" spans="3:65">
      <c r="C292" s="329" t="s">
        <v>395</v>
      </c>
      <c r="D292" s="329">
        <v>0.18051300000000001</v>
      </c>
      <c r="E292" s="329">
        <v>0.23350000000000001</v>
      </c>
      <c r="F292" s="329">
        <v>0.21407699999999999</v>
      </c>
      <c r="G292" s="329">
        <v>0.188721</v>
      </c>
      <c r="H292" s="329">
        <v>0.25003199999999998</v>
      </c>
      <c r="I292" s="329">
        <v>0.23586599999999999</v>
      </c>
      <c r="J292" s="329">
        <v>0.269038</v>
      </c>
      <c r="K292" s="329">
        <v>0.221141</v>
      </c>
      <c r="L292" s="329">
        <v>9.4988000000000003E-2</v>
      </c>
      <c r="M292" s="329">
        <v>0.255546</v>
      </c>
      <c r="N292" s="329">
        <v>0.23711699999999999</v>
      </c>
      <c r="O292" s="329">
        <v>0.225519</v>
      </c>
      <c r="P292" s="329">
        <v>0.22011</v>
      </c>
      <c r="Q292" s="329">
        <v>0.28736099999999998</v>
      </c>
      <c r="R292" s="329">
        <v>0.24964800000000001</v>
      </c>
      <c r="S292" s="329">
        <v>0.21912000000000001</v>
      </c>
      <c r="T292" s="329">
        <v>0.20311699999999999</v>
      </c>
      <c r="U292" s="329">
        <v>0.20711299999999999</v>
      </c>
      <c r="V292" s="329">
        <v>0.228912</v>
      </c>
      <c r="W292" s="329">
        <v>0.23264699999999999</v>
      </c>
      <c r="X292" s="329">
        <v>0.25440800000000002</v>
      </c>
      <c r="Y292" s="329">
        <v>0.28412300000000001</v>
      </c>
      <c r="Z292" s="329">
        <v>0.27007199999999998</v>
      </c>
      <c r="AA292" s="329">
        <v>0.31128299999999998</v>
      </c>
      <c r="AB292" s="329">
        <v>0.18714800000000001</v>
      </c>
      <c r="AC292" s="329">
        <v>0.28482200000000002</v>
      </c>
      <c r="AD292" s="329">
        <v>0.24856700000000001</v>
      </c>
      <c r="AE292" s="52">
        <f>'User Add-in Location'!B298</f>
        <v>0</v>
      </c>
      <c r="AF292" s="52">
        <f>'User Add-in Location'!C298</f>
        <v>0</v>
      </c>
      <c r="AG292" s="329">
        <v>0.238644</v>
      </c>
      <c r="AH292" s="329">
        <v>0.21023900000000001</v>
      </c>
      <c r="AI292" s="329">
        <v>0.318498</v>
      </c>
      <c r="AJ292" s="329">
        <v>0.30473499999999998</v>
      </c>
      <c r="AK292" s="329">
        <v>0.223547</v>
      </c>
      <c r="AL292" s="329">
        <v>0.243253</v>
      </c>
      <c r="AM292" s="329">
        <v>0.213145</v>
      </c>
      <c r="AN292" s="329">
        <v>0.21281600000000001</v>
      </c>
      <c r="AO292" s="329">
        <v>0.232545</v>
      </c>
      <c r="AP292" s="329">
        <v>0.223722</v>
      </c>
      <c r="AQ292" s="329">
        <v>0.29098299999999999</v>
      </c>
      <c r="AR292" s="329">
        <v>0.31845299999999999</v>
      </c>
      <c r="AS292" s="324">
        <v>0</v>
      </c>
      <c r="AT292" s="324">
        <v>0</v>
      </c>
      <c r="AU292" s="324">
        <v>0</v>
      </c>
      <c r="AV292" s="324">
        <v>0</v>
      </c>
      <c r="AW292" s="324">
        <v>0</v>
      </c>
      <c r="AX292" s="324">
        <v>0</v>
      </c>
      <c r="AY292" s="324">
        <v>0</v>
      </c>
      <c r="AZ292" s="324">
        <v>0</v>
      </c>
      <c r="BA292" s="329">
        <v>0.205731</v>
      </c>
      <c r="BB292" s="329">
        <v>0.16273199999999999</v>
      </c>
      <c r="BC292" s="329">
        <v>0.25096000000000002</v>
      </c>
      <c r="BD292" s="329">
        <v>0.24218999999999999</v>
      </c>
      <c r="BE292" s="329">
        <v>0.276667</v>
      </c>
      <c r="BF292" s="329">
        <v>0.49576399999999998</v>
      </c>
      <c r="BG292" s="329">
        <v>0.23405300000000001</v>
      </c>
      <c r="BH292" s="329">
        <v>0.26871099999999998</v>
      </c>
      <c r="BI292" s="329">
        <v>0.23973700000000001</v>
      </c>
      <c r="BJ292" s="329">
        <v>0.25644699999999998</v>
      </c>
      <c r="BK292" s="329">
        <v>0.16356899999999999</v>
      </c>
      <c r="BL292" s="329">
        <v>0.26042700000000002</v>
      </c>
      <c r="BM292" s="329">
        <v>0.104201</v>
      </c>
    </row>
    <row r="293" spans="3:65">
      <c r="C293" s="329" t="s">
        <v>396</v>
      </c>
      <c r="D293" s="329">
        <v>0.140204</v>
      </c>
      <c r="E293" s="329">
        <v>0.10172</v>
      </c>
      <c r="F293" s="329">
        <v>0.150751</v>
      </c>
      <c r="G293" s="329">
        <v>0.16378000000000001</v>
      </c>
      <c r="H293" s="329">
        <v>0.20041</v>
      </c>
      <c r="I293" s="329">
        <v>0.22392200000000001</v>
      </c>
      <c r="J293" s="329">
        <v>0.20985599999999999</v>
      </c>
      <c r="K293" s="329">
        <v>0.15771299999999999</v>
      </c>
      <c r="L293" s="329">
        <v>6.4745999999999998E-2</v>
      </c>
      <c r="M293" s="329">
        <v>0.172815</v>
      </c>
      <c r="N293" s="329">
        <v>0.186501</v>
      </c>
      <c r="O293" s="329">
        <v>0.13009000000000001</v>
      </c>
      <c r="P293" s="329">
        <v>0.168157</v>
      </c>
      <c r="Q293" s="329">
        <v>0.25042500000000001</v>
      </c>
      <c r="R293" s="329">
        <v>0.20341100000000001</v>
      </c>
      <c r="S293" s="329">
        <v>0.17505699999999999</v>
      </c>
      <c r="T293" s="329">
        <v>0.21477099999999999</v>
      </c>
      <c r="U293" s="329">
        <v>0.157883</v>
      </c>
      <c r="V293" s="329">
        <v>0.189583</v>
      </c>
      <c r="W293" s="329">
        <v>0.16947999999999999</v>
      </c>
      <c r="X293" s="329">
        <v>0.18915699999999999</v>
      </c>
      <c r="Y293" s="329">
        <v>0.18821199999999999</v>
      </c>
      <c r="Z293" s="329">
        <v>0.20775299999999999</v>
      </c>
      <c r="AA293" s="329">
        <v>0.25899100000000003</v>
      </c>
      <c r="AB293" s="329">
        <v>0.14228299999999999</v>
      </c>
      <c r="AC293" s="329">
        <v>0.23058400000000001</v>
      </c>
      <c r="AD293" s="329">
        <v>0.162051</v>
      </c>
      <c r="AE293" s="52">
        <f>'User Add-in Location'!B299</f>
        <v>0</v>
      </c>
      <c r="AF293" s="52">
        <f>'User Add-in Location'!C299</f>
        <v>0</v>
      </c>
      <c r="AG293" s="329">
        <v>0.24965999999999999</v>
      </c>
      <c r="AH293" s="329">
        <v>0.15029500000000001</v>
      </c>
      <c r="AI293" s="329">
        <v>0.18492400000000001</v>
      </c>
      <c r="AJ293" s="329">
        <v>0.22411800000000001</v>
      </c>
      <c r="AK293" s="329">
        <v>0.16023699999999999</v>
      </c>
      <c r="AL293" s="329">
        <v>0.173676</v>
      </c>
      <c r="AM293" s="329">
        <v>0.16384599999999999</v>
      </c>
      <c r="AN293" s="329">
        <v>0.17734800000000001</v>
      </c>
      <c r="AO293" s="329">
        <v>0.20905699999999999</v>
      </c>
      <c r="AP293" s="329">
        <v>0.27910800000000002</v>
      </c>
      <c r="AQ293" s="329">
        <v>0.197299</v>
      </c>
      <c r="AR293" s="329">
        <v>0.31236900000000001</v>
      </c>
      <c r="AS293" s="324">
        <v>0</v>
      </c>
      <c r="AT293" s="324">
        <v>0</v>
      </c>
      <c r="AU293" s="324">
        <v>0</v>
      </c>
      <c r="AV293" s="324">
        <v>0</v>
      </c>
      <c r="AW293" s="324">
        <v>0</v>
      </c>
      <c r="AX293" s="324">
        <v>0</v>
      </c>
      <c r="AY293" s="324">
        <v>0</v>
      </c>
      <c r="AZ293" s="324">
        <v>0</v>
      </c>
      <c r="BA293" s="329">
        <v>0.114259</v>
      </c>
      <c r="BB293" s="329">
        <v>0.111398</v>
      </c>
      <c r="BC293" s="329">
        <v>0.20738899999999999</v>
      </c>
      <c r="BD293" s="329">
        <v>0.195689</v>
      </c>
      <c r="BE293" s="329">
        <v>0.28236899999999998</v>
      </c>
      <c r="BF293" s="329">
        <v>0.44080399999999997</v>
      </c>
      <c r="BG293" s="329">
        <v>0.18786800000000001</v>
      </c>
      <c r="BH293" s="329">
        <v>0.195326</v>
      </c>
      <c r="BI293" s="329">
        <v>0.18221499999999999</v>
      </c>
      <c r="BJ293" s="329">
        <v>0.18621299999999999</v>
      </c>
      <c r="BK293" s="329">
        <v>0.124722</v>
      </c>
      <c r="BL293" s="329">
        <v>0.21781700000000001</v>
      </c>
      <c r="BM293" s="329">
        <v>0.114817</v>
      </c>
    </row>
    <row r="294" spans="3:65">
      <c r="C294" s="329" t="s">
        <v>397</v>
      </c>
      <c r="D294" s="329">
        <v>7.4555999999999997E-2</v>
      </c>
      <c r="E294" s="329">
        <v>6.7072999999999994E-2</v>
      </c>
      <c r="F294" s="329">
        <v>9.7600000000000006E-2</v>
      </c>
      <c r="G294" s="329">
        <v>7.7424999999999994E-2</v>
      </c>
      <c r="H294" s="329">
        <v>0.105272</v>
      </c>
      <c r="I294" s="329">
        <v>0.110499</v>
      </c>
      <c r="J294" s="329">
        <v>0.117045</v>
      </c>
      <c r="K294" s="329">
        <v>5.5570000000000001E-2</v>
      </c>
      <c r="L294" s="329">
        <v>4.5726000000000003E-2</v>
      </c>
      <c r="M294" s="329">
        <v>0.11654200000000001</v>
      </c>
      <c r="N294" s="329">
        <v>0.10119</v>
      </c>
      <c r="O294" s="329">
        <v>8.6164000000000004E-2</v>
      </c>
      <c r="P294" s="329">
        <v>8.5900000000000004E-2</v>
      </c>
      <c r="Q294" s="329">
        <v>0.13611999999999999</v>
      </c>
      <c r="R294" s="329">
        <v>0.13220899999999999</v>
      </c>
      <c r="S294" s="329">
        <v>9.1381000000000004E-2</v>
      </c>
      <c r="T294" s="329">
        <v>0.102712</v>
      </c>
      <c r="U294" s="329">
        <v>9.0871999999999994E-2</v>
      </c>
      <c r="V294" s="329">
        <v>9.4587000000000004E-2</v>
      </c>
      <c r="W294" s="329">
        <v>9.0026999999999996E-2</v>
      </c>
      <c r="X294" s="329">
        <v>0.102325</v>
      </c>
      <c r="Y294" s="329">
        <v>0.114513</v>
      </c>
      <c r="Z294" s="329">
        <v>0.11491</v>
      </c>
      <c r="AA294" s="329">
        <v>0.15403600000000001</v>
      </c>
      <c r="AB294" s="329">
        <v>6.4554E-2</v>
      </c>
      <c r="AC294" s="329">
        <v>0.13520099999999999</v>
      </c>
      <c r="AD294" s="329">
        <v>8.8235999999999995E-2</v>
      </c>
      <c r="AE294" s="52">
        <f>'User Add-in Location'!B300</f>
        <v>0</v>
      </c>
      <c r="AF294" s="52">
        <f>'User Add-in Location'!C300</f>
        <v>0</v>
      </c>
      <c r="AG294" s="329">
        <v>0.10044</v>
      </c>
      <c r="AH294" s="329">
        <v>7.4232999999999993E-2</v>
      </c>
      <c r="AI294" s="329">
        <v>0.106415</v>
      </c>
      <c r="AJ294" s="329">
        <v>0.12590899999999999</v>
      </c>
      <c r="AK294" s="329">
        <v>7.3135000000000006E-2</v>
      </c>
      <c r="AL294" s="329">
        <v>0.102324</v>
      </c>
      <c r="AM294" s="329">
        <v>8.8471999999999995E-2</v>
      </c>
      <c r="AN294" s="329">
        <v>9.4083E-2</v>
      </c>
      <c r="AO294" s="329">
        <v>9.9618999999999999E-2</v>
      </c>
      <c r="AP294" s="329">
        <v>9.0190000000000006E-2</v>
      </c>
      <c r="AQ294" s="329">
        <v>9.9458000000000005E-2</v>
      </c>
      <c r="AR294" s="329">
        <v>0.143262</v>
      </c>
      <c r="AS294" s="324">
        <v>0</v>
      </c>
      <c r="AT294" s="324">
        <v>0</v>
      </c>
      <c r="AU294" s="324">
        <v>0</v>
      </c>
      <c r="AV294" s="324">
        <v>0</v>
      </c>
      <c r="AW294" s="324">
        <v>0</v>
      </c>
      <c r="AX294" s="324">
        <v>0</v>
      </c>
      <c r="AY294" s="324">
        <v>0</v>
      </c>
      <c r="AZ294" s="324">
        <v>0</v>
      </c>
      <c r="BA294" s="329">
        <v>7.3935000000000001E-2</v>
      </c>
      <c r="BB294" s="329">
        <v>6.7353999999999997E-2</v>
      </c>
      <c r="BC294" s="329">
        <v>0.106179</v>
      </c>
      <c r="BD294" s="329">
        <v>0.113731</v>
      </c>
      <c r="BE294" s="329">
        <v>0.14020299999999999</v>
      </c>
      <c r="BF294" s="329">
        <v>0.247171</v>
      </c>
      <c r="BG294" s="329">
        <v>0.104126</v>
      </c>
      <c r="BH294" s="329">
        <v>9.3446000000000001E-2</v>
      </c>
      <c r="BI294" s="329">
        <v>9.4258999999999996E-2</v>
      </c>
      <c r="BJ294" s="329">
        <v>9.7598000000000004E-2</v>
      </c>
      <c r="BK294" s="329">
        <v>5.7540000000000001E-2</v>
      </c>
      <c r="BL294" s="329">
        <v>0.116407</v>
      </c>
      <c r="BM294" s="329">
        <v>4.1931999999999997E-2</v>
      </c>
    </row>
    <row r="295" spans="3:65">
      <c r="C295" s="329" t="s">
        <v>398</v>
      </c>
      <c r="D295" s="329">
        <v>0.15868599999999999</v>
      </c>
      <c r="E295" s="329">
        <v>0.16712099999999999</v>
      </c>
      <c r="F295" s="329">
        <v>0.233625</v>
      </c>
      <c r="G295" s="329">
        <v>0.160223</v>
      </c>
      <c r="H295" s="329">
        <v>0.26267800000000002</v>
      </c>
      <c r="I295" s="329">
        <v>0.24691299999999999</v>
      </c>
      <c r="J295" s="329">
        <v>0.33217999999999998</v>
      </c>
      <c r="K295" s="329">
        <v>0.130718</v>
      </c>
      <c r="L295" s="329">
        <v>0.103273</v>
      </c>
      <c r="M295" s="329">
        <v>0.29664299999999999</v>
      </c>
      <c r="N295" s="329">
        <v>0.16935700000000001</v>
      </c>
      <c r="O295" s="329">
        <v>0.21443100000000001</v>
      </c>
      <c r="P295" s="329">
        <v>0.19571</v>
      </c>
      <c r="Q295" s="329">
        <v>0.30838300000000002</v>
      </c>
      <c r="R295" s="329">
        <v>0.25179600000000002</v>
      </c>
      <c r="S295" s="329">
        <v>0.19359899999999999</v>
      </c>
      <c r="T295" s="329">
        <v>0.22612399999999999</v>
      </c>
      <c r="U295" s="329">
        <v>0.19562599999999999</v>
      </c>
      <c r="V295" s="329">
        <v>0.21210000000000001</v>
      </c>
      <c r="W295" s="329">
        <v>0.23055600000000001</v>
      </c>
      <c r="X295" s="329">
        <v>0.28536600000000001</v>
      </c>
      <c r="Y295" s="329">
        <v>0.29998999999999998</v>
      </c>
      <c r="Z295" s="329">
        <v>0.28400199999999998</v>
      </c>
      <c r="AA295" s="329">
        <v>0.30679099999999998</v>
      </c>
      <c r="AB295" s="329">
        <v>0.15179999999999999</v>
      </c>
      <c r="AC295" s="329">
        <v>0.29642600000000002</v>
      </c>
      <c r="AD295" s="329">
        <v>0.18792700000000001</v>
      </c>
      <c r="AE295" s="52">
        <f>'User Add-in Location'!B301</f>
        <v>0</v>
      </c>
      <c r="AF295" s="52">
        <f>'User Add-in Location'!C301</f>
        <v>0</v>
      </c>
      <c r="AG295" s="329">
        <v>0.25326700000000002</v>
      </c>
      <c r="AH295" s="329">
        <v>0.172879</v>
      </c>
      <c r="AI295" s="329">
        <v>0.31845000000000001</v>
      </c>
      <c r="AJ295" s="329">
        <v>0.353715</v>
      </c>
      <c r="AK295" s="329">
        <v>0.201347</v>
      </c>
      <c r="AL295" s="329">
        <v>0.21729899999999999</v>
      </c>
      <c r="AM295" s="329">
        <v>0.16589899999999999</v>
      </c>
      <c r="AN295" s="329">
        <v>0.19042899999999999</v>
      </c>
      <c r="AO295" s="329">
        <v>0.17529800000000001</v>
      </c>
      <c r="AP295" s="329">
        <v>0.202214</v>
      </c>
      <c r="AQ295" s="329">
        <v>0.24684400000000001</v>
      </c>
      <c r="AR295" s="329">
        <v>0.31267400000000001</v>
      </c>
      <c r="AS295" s="324">
        <v>0</v>
      </c>
      <c r="AT295" s="324">
        <v>0</v>
      </c>
      <c r="AU295" s="324">
        <v>0</v>
      </c>
      <c r="AV295" s="324">
        <v>0</v>
      </c>
      <c r="AW295" s="324">
        <v>0</v>
      </c>
      <c r="AX295" s="324">
        <v>0</v>
      </c>
      <c r="AY295" s="324">
        <v>0</v>
      </c>
      <c r="AZ295" s="324">
        <v>0</v>
      </c>
      <c r="BA295" s="329">
        <v>0.2054</v>
      </c>
      <c r="BB295" s="329">
        <v>0.18873100000000001</v>
      </c>
      <c r="BC295" s="329">
        <v>0.15262400000000001</v>
      </c>
      <c r="BD295" s="329">
        <v>0.23538999999999999</v>
      </c>
      <c r="BE295" s="329">
        <v>0.288908</v>
      </c>
      <c r="BF295" s="329">
        <v>0.50304599999999999</v>
      </c>
      <c r="BG295" s="329">
        <v>0.176233</v>
      </c>
      <c r="BH295" s="329">
        <v>0.26070500000000002</v>
      </c>
      <c r="BI295" s="329">
        <v>0.25223499999999999</v>
      </c>
      <c r="BJ295" s="329">
        <v>0.24262500000000001</v>
      </c>
      <c r="BK295" s="329">
        <v>0.14882500000000001</v>
      </c>
      <c r="BL295" s="329">
        <v>0.26808999999999999</v>
      </c>
      <c r="BM295" s="329">
        <v>8.1744999999999998E-2</v>
      </c>
    </row>
    <row r="296" spans="3:65">
      <c r="C296" s="329" t="s">
        <v>399</v>
      </c>
      <c r="D296" s="329">
        <v>0.21801999999999999</v>
      </c>
      <c r="E296" s="329">
        <v>0.27160499999999999</v>
      </c>
      <c r="F296" s="329">
        <v>0.26594899999999999</v>
      </c>
      <c r="G296" s="329">
        <v>0.25570799999999999</v>
      </c>
      <c r="H296" s="329">
        <v>0.31024299999999999</v>
      </c>
      <c r="I296" s="329">
        <v>0.30996600000000002</v>
      </c>
      <c r="J296" s="329">
        <v>0.329623</v>
      </c>
      <c r="K296" s="329">
        <v>0.24674199999999999</v>
      </c>
      <c r="L296" s="329">
        <v>0.13469500000000001</v>
      </c>
      <c r="M296" s="329">
        <v>0.32485399999999998</v>
      </c>
      <c r="N296" s="329">
        <v>0.30664799999999998</v>
      </c>
      <c r="O296" s="329">
        <v>0.289821</v>
      </c>
      <c r="P296" s="329">
        <v>0.252722</v>
      </c>
      <c r="Q296" s="329">
        <v>0.37107099999999998</v>
      </c>
      <c r="R296" s="329">
        <v>0.26480599999999999</v>
      </c>
      <c r="S296" s="329">
        <v>0.25408799999999998</v>
      </c>
      <c r="T296" s="329">
        <v>0.25809100000000001</v>
      </c>
      <c r="U296" s="329">
        <v>0.236174</v>
      </c>
      <c r="V296" s="329">
        <v>0.284439</v>
      </c>
      <c r="W296" s="329">
        <v>0.27861200000000003</v>
      </c>
      <c r="X296" s="329">
        <v>0.31754599999999999</v>
      </c>
      <c r="Y296" s="329">
        <v>0.33769399999999999</v>
      </c>
      <c r="Z296" s="329">
        <v>0.338918</v>
      </c>
      <c r="AA296" s="329">
        <v>0.404088</v>
      </c>
      <c r="AB296" s="329">
        <v>0.22148499999999999</v>
      </c>
      <c r="AC296" s="329">
        <v>0.354856</v>
      </c>
      <c r="AD296" s="329">
        <v>0.2475</v>
      </c>
      <c r="AE296" s="52">
        <f>'User Add-in Location'!B302</f>
        <v>0</v>
      </c>
      <c r="AF296" s="52">
        <f>'User Add-in Location'!C302</f>
        <v>0</v>
      </c>
      <c r="AG296" s="329">
        <v>0.281003</v>
      </c>
      <c r="AH296" s="329">
        <v>0.28128500000000001</v>
      </c>
      <c r="AI296" s="329">
        <v>0.331874</v>
      </c>
      <c r="AJ296" s="329">
        <v>0.374081</v>
      </c>
      <c r="AK296" s="329">
        <v>0.27293800000000001</v>
      </c>
      <c r="AL296" s="329">
        <v>0.290821</v>
      </c>
      <c r="AM296" s="329">
        <v>0.244085</v>
      </c>
      <c r="AN296" s="329">
        <v>0.241124</v>
      </c>
      <c r="AO296" s="329">
        <v>0.30541200000000002</v>
      </c>
      <c r="AP296" s="329">
        <v>0.26278699999999999</v>
      </c>
      <c r="AQ296" s="329">
        <v>0.311749</v>
      </c>
      <c r="AR296" s="329">
        <v>0.38409399999999999</v>
      </c>
      <c r="AS296" s="324">
        <v>0</v>
      </c>
      <c r="AT296" s="324">
        <v>0</v>
      </c>
      <c r="AU296" s="324">
        <v>0</v>
      </c>
      <c r="AV296" s="324">
        <v>0</v>
      </c>
      <c r="AW296" s="324">
        <v>0</v>
      </c>
      <c r="AX296" s="324">
        <v>0</v>
      </c>
      <c r="AY296" s="324">
        <v>0</v>
      </c>
      <c r="AZ296" s="324">
        <v>0</v>
      </c>
      <c r="BA296" s="329">
        <v>0.23009099999999999</v>
      </c>
      <c r="BB296" s="329">
        <v>0.19765199999999999</v>
      </c>
      <c r="BC296" s="329">
        <v>0.283194</v>
      </c>
      <c r="BD296" s="329">
        <v>0.29164400000000001</v>
      </c>
      <c r="BE296" s="329">
        <v>0.32846599999999998</v>
      </c>
      <c r="BF296" s="329">
        <v>0.599661</v>
      </c>
      <c r="BG296" s="329">
        <v>0.27425100000000002</v>
      </c>
      <c r="BH296" s="329">
        <v>0.31712600000000002</v>
      </c>
      <c r="BI296" s="329">
        <v>0.32827800000000001</v>
      </c>
      <c r="BJ296" s="329">
        <v>0.29210399999999997</v>
      </c>
      <c r="BK296" s="329">
        <v>0.18936800000000001</v>
      </c>
      <c r="BL296" s="329">
        <v>0.32331799999999999</v>
      </c>
      <c r="BM296" s="329">
        <v>0.13011800000000001</v>
      </c>
    </row>
    <row r="297" spans="3:65">
      <c r="C297" s="329" t="s">
        <v>400</v>
      </c>
      <c r="D297" s="329">
        <v>0.22844</v>
      </c>
      <c r="E297" s="329">
        <v>0.25782500000000003</v>
      </c>
      <c r="F297" s="329">
        <v>0.253139</v>
      </c>
      <c r="G297" s="329">
        <v>0.23625299999999999</v>
      </c>
      <c r="H297" s="329">
        <v>0.2772</v>
      </c>
      <c r="I297" s="329">
        <v>0.27493800000000002</v>
      </c>
      <c r="J297" s="329">
        <v>0.30714599999999997</v>
      </c>
      <c r="K297" s="329">
        <v>0.252641</v>
      </c>
      <c r="L297" s="329">
        <v>0.164773</v>
      </c>
      <c r="M297" s="329">
        <v>0.303562</v>
      </c>
      <c r="N297" s="329">
        <v>0.29283799999999999</v>
      </c>
      <c r="O297" s="329">
        <v>0.291186</v>
      </c>
      <c r="P297" s="329">
        <v>0.23696200000000001</v>
      </c>
      <c r="Q297" s="329">
        <v>0.40810200000000002</v>
      </c>
      <c r="R297" s="329">
        <v>0.28472900000000001</v>
      </c>
      <c r="S297" s="329">
        <v>0.26639400000000002</v>
      </c>
      <c r="T297" s="329">
        <v>0.252444</v>
      </c>
      <c r="U297" s="329">
        <v>0.26841599999999999</v>
      </c>
      <c r="V297" s="329">
        <v>0.33083299999999999</v>
      </c>
      <c r="W297" s="329">
        <v>0.26848</v>
      </c>
      <c r="X297" s="329">
        <v>0.26927099999999998</v>
      </c>
      <c r="Y297" s="329">
        <v>0.26677600000000001</v>
      </c>
      <c r="Z297" s="329">
        <v>0.345196</v>
      </c>
      <c r="AA297" s="329">
        <v>0.374801</v>
      </c>
      <c r="AB297" s="329">
        <v>0.24116599999999999</v>
      </c>
      <c r="AC297" s="329">
        <v>0.363987</v>
      </c>
      <c r="AD297" s="329">
        <v>0.249303</v>
      </c>
      <c r="AE297" s="52">
        <f>'User Add-in Location'!B303</f>
        <v>0</v>
      </c>
      <c r="AF297" s="52">
        <f>'User Add-in Location'!C303</f>
        <v>0</v>
      </c>
      <c r="AG297" s="329">
        <v>0.30068600000000001</v>
      </c>
      <c r="AH297" s="329">
        <v>0.26456499999999999</v>
      </c>
      <c r="AI297" s="329">
        <v>0.304562</v>
      </c>
      <c r="AJ297" s="329">
        <v>0.34246700000000002</v>
      </c>
      <c r="AK297" s="329">
        <v>0.219837</v>
      </c>
      <c r="AL297" s="329">
        <v>0.32302500000000001</v>
      </c>
      <c r="AM297" s="329">
        <v>0.230909</v>
      </c>
      <c r="AN297" s="329">
        <v>0.24835399999999999</v>
      </c>
      <c r="AO297" s="329">
        <v>0.30537399999999998</v>
      </c>
      <c r="AP297" s="329">
        <v>0.27597100000000002</v>
      </c>
      <c r="AQ297" s="329">
        <v>0.29825699999999999</v>
      </c>
      <c r="AR297" s="329">
        <v>0.398725</v>
      </c>
      <c r="AS297" s="324">
        <v>0</v>
      </c>
      <c r="AT297" s="324">
        <v>0</v>
      </c>
      <c r="AU297" s="324">
        <v>0</v>
      </c>
      <c r="AV297" s="324">
        <v>0</v>
      </c>
      <c r="AW297" s="324">
        <v>0</v>
      </c>
      <c r="AX297" s="324">
        <v>0</v>
      </c>
      <c r="AY297" s="324">
        <v>0</v>
      </c>
      <c r="AZ297" s="324">
        <v>0</v>
      </c>
      <c r="BA297" s="329">
        <v>0.226913</v>
      </c>
      <c r="BB297" s="329">
        <v>0.19791600000000001</v>
      </c>
      <c r="BC297" s="329">
        <v>0.28743000000000002</v>
      </c>
      <c r="BD297" s="329">
        <v>0.29993900000000001</v>
      </c>
      <c r="BE297" s="329">
        <v>0.32681300000000002</v>
      </c>
      <c r="BF297" s="329">
        <v>0.56945900000000005</v>
      </c>
      <c r="BG297" s="329">
        <v>0.28076699999999999</v>
      </c>
      <c r="BH297" s="329">
        <v>0.28016099999999999</v>
      </c>
      <c r="BI297" s="329">
        <v>0.28397600000000001</v>
      </c>
      <c r="BJ297" s="329">
        <v>0.26764500000000002</v>
      </c>
      <c r="BK297" s="329">
        <v>0.275862</v>
      </c>
      <c r="BL297" s="329">
        <v>0.31298700000000002</v>
      </c>
      <c r="BM297" s="329">
        <v>0.136965</v>
      </c>
    </row>
    <row r="298" spans="3:65">
      <c r="C298" s="329" t="s">
        <v>401</v>
      </c>
      <c r="D298" s="329">
        <v>0.25320599999999999</v>
      </c>
      <c r="E298" s="329">
        <v>0.28856999999999999</v>
      </c>
      <c r="F298" s="329">
        <v>0.27893099999999998</v>
      </c>
      <c r="G298" s="329">
        <v>0.24747</v>
      </c>
      <c r="H298" s="329">
        <v>0.31971300000000002</v>
      </c>
      <c r="I298" s="329">
        <v>0.31289</v>
      </c>
      <c r="J298" s="329">
        <v>0.33353100000000002</v>
      </c>
      <c r="K298" s="329">
        <v>0.27271600000000001</v>
      </c>
      <c r="L298" s="329">
        <v>0.15565599999999999</v>
      </c>
      <c r="M298" s="329">
        <v>0.32617600000000002</v>
      </c>
      <c r="N298" s="329">
        <v>0.31205300000000002</v>
      </c>
      <c r="O298" s="329">
        <v>0.30654599999999999</v>
      </c>
      <c r="P298" s="329">
        <v>0.26550699999999999</v>
      </c>
      <c r="Q298" s="329">
        <v>0.41136699999999998</v>
      </c>
      <c r="R298" s="329">
        <v>0.301589</v>
      </c>
      <c r="S298" s="329">
        <v>0.28289599999999998</v>
      </c>
      <c r="T298" s="329">
        <v>0.28661300000000001</v>
      </c>
      <c r="U298" s="329">
        <v>0.27170800000000001</v>
      </c>
      <c r="V298" s="329">
        <v>0.34073199999999998</v>
      </c>
      <c r="W298" s="329">
        <v>0.298514</v>
      </c>
      <c r="X298" s="329">
        <v>0.323214</v>
      </c>
      <c r="Y298" s="329">
        <v>0.32806800000000003</v>
      </c>
      <c r="Z298" s="329">
        <v>0.36714000000000002</v>
      </c>
      <c r="AA298" s="329">
        <v>0.41088999999999998</v>
      </c>
      <c r="AB298" s="329">
        <v>0.247947</v>
      </c>
      <c r="AC298" s="329">
        <v>0.391542</v>
      </c>
      <c r="AD298" s="329">
        <v>0.26716000000000001</v>
      </c>
      <c r="AE298" s="52">
        <f>'User Add-in Location'!B304</f>
        <v>0</v>
      </c>
      <c r="AF298" s="52">
        <f>'User Add-in Location'!C304</f>
        <v>0</v>
      </c>
      <c r="AG298" s="329">
        <v>0.31415599999999999</v>
      </c>
      <c r="AH298" s="329">
        <v>0.28389399999999998</v>
      </c>
      <c r="AI298" s="329">
        <v>0.35363299999999998</v>
      </c>
      <c r="AJ298" s="329">
        <v>0.37216700000000003</v>
      </c>
      <c r="AK298" s="329">
        <v>0.27010400000000001</v>
      </c>
      <c r="AL298" s="329">
        <v>0.32452399999999998</v>
      </c>
      <c r="AM298" s="329">
        <v>0.25836399999999998</v>
      </c>
      <c r="AN298" s="329">
        <v>0.26896599999999998</v>
      </c>
      <c r="AO298" s="329">
        <v>0.31460500000000002</v>
      </c>
      <c r="AP298" s="329">
        <v>0.281107</v>
      </c>
      <c r="AQ298" s="329">
        <v>0.32331399999999999</v>
      </c>
      <c r="AR298" s="329">
        <v>0.417267</v>
      </c>
      <c r="AS298" s="324">
        <v>0</v>
      </c>
      <c r="AT298" s="324">
        <v>0</v>
      </c>
      <c r="AU298" s="324">
        <v>0</v>
      </c>
      <c r="AV298" s="324">
        <v>0</v>
      </c>
      <c r="AW298" s="324">
        <v>0</v>
      </c>
      <c r="AX298" s="324">
        <v>0</v>
      </c>
      <c r="AY298" s="324">
        <v>0</v>
      </c>
      <c r="AZ298" s="324">
        <v>0</v>
      </c>
      <c r="BA298" s="329">
        <v>0.23907900000000001</v>
      </c>
      <c r="BB298" s="329">
        <v>0.217554</v>
      </c>
      <c r="BC298" s="329">
        <v>0.303041</v>
      </c>
      <c r="BD298" s="329">
        <v>0.30391600000000002</v>
      </c>
      <c r="BE298" s="329">
        <v>0.36371599999999998</v>
      </c>
      <c r="BF298" s="329">
        <v>0.62917500000000004</v>
      </c>
      <c r="BG298" s="329">
        <v>0.29908899999999999</v>
      </c>
      <c r="BH298" s="329">
        <v>0.31217699999999998</v>
      </c>
      <c r="BI298" s="329">
        <v>0.33213999999999999</v>
      </c>
      <c r="BJ298" s="329">
        <v>0.31750299999999998</v>
      </c>
      <c r="BK298" s="329">
        <v>0.24864700000000001</v>
      </c>
      <c r="BL298" s="329">
        <v>0.33539099999999999</v>
      </c>
      <c r="BM298" s="329">
        <v>0.14066100000000001</v>
      </c>
    </row>
    <row r="299" spans="3:65">
      <c r="C299" s="329" t="s">
        <v>402</v>
      </c>
      <c r="D299" s="329">
        <v>0.21378900000000001</v>
      </c>
      <c r="E299" s="329">
        <v>0.25600299999999998</v>
      </c>
      <c r="F299" s="329">
        <v>0.24915300000000001</v>
      </c>
      <c r="G299" s="329">
        <v>0.224998</v>
      </c>
      <c r="H299" s="329">
        <v>0.281754</v>
      </c>
      <c r="I299" s="329">
        <v>0.261654</v>
      </c>
      <c r="J299" s="329">
        <v>0.28959400000000002</v>
      </c>
      <c r="K299" s="329">
        <v>0.21737600000000001</v>
      </c>
      <c r="L299" s="329">
        <v>0.105626</v>
      </c>
      <c r="M299" s="329">
        <v>0.28660200000000002</v>
      </c>
      <c r="N299" s="329">
        <v>0.25624999999999998</v>
      </c>
      <c r="O299" s="329">
        <v>0.25815700000000003</v>
      </c>
      <c r="P299" s="329">
        <v>0.24261099999999999</v>
      </c>
      <c r="Q299" s="329">
        <v>0.34132899999999999</v>
      </c>
      <c r="R299" s="329">
        <v>0.289269</v>
      </c>
      <c r="S299" s="329">
        <v>0.25142599999999998</v>
      </c>
      <c r="T299" s="329">
        <v>0.24928700000000001</v>
      </c>
      <c r="U299" s="329">
        <v>0.239872</v>
      </c>
      <c r="V299" s="329">
        <v>0.27544200000000002</v>
      </c>
      <c r="W299" s="329">
        <v>0.27590900000000002</v>
      </c>
      <c r="X299" s="329">
        <v>0.30160599999999999</v>
      </c>
      <c r="Y299" s="329">
        <v>0.308112</v>
      </c>
      <c r="Z299" s="329">
        <v>0.30821100000000001</v>
      </c>
      <c r="AA299" s="329">
        <v>0.36734699999999998</v>
      </c>
      <c r="AB299" s="329">
        <v>0.21609999999999999</v>
      </c>
      <c r="AC299" s="329">
        <v>0.32967000000000002</v>
      </c>
      <c r="AD299" s="329">
        <v>0.247701</v>
      </c>
      <c r="AE299" s="52">
        <f>'User Add-in Location'!B305</f>
        <v>0</v>
      </c>
      <c r="AF299" s="52">
        <f>'User Add-in Location'!C305</f>
        <v>0</v>
      </c>
      <c r="AG299" s="329">
        <v>0.27188499999999999</v>
      </c>
      <c r="AH299" s="329">
        <v>0.231515</v>
      </c>
      <c r="AI299" s="329">
        <v>0.33782499999999999</v>
      </c>
      <c r="AJ299" s="329">
        <v>0.33978599999999998</v>
      </c>
      <c r="AK299" s="329">
        <v>0.238485</v>
      </c>
      <c r="AL299" s="329">
        <v>0.262463</v>
      </c>
      <c r="AM299" s="329">
        <v>0.23847099999999999</v>
      </c>
      <c r="AN299" s="329">
        <v>0.232573</v>
      </c>
      <c r="AO299" s="329">
        <v>0.282582</v>
      </c>
      <c r="AP299" s="329">
        <v>0.24979799999999999</v>
      </c>
      <c r="AQ299" s="329">
        <v>0.29909799999999997</v>
      </c>
      <c r="AR299" s="329">
        <v>0.36983500000000002</v>
      </c>
      <c r="AS299" s="324">
        <v>0</v>
      </c>
      <c r="AT299" s="324">
        <v>0</v>
      </c>
      <c r="AU299" s="324">
        <v>0</v>
      </c>
      <c r="AV299" s="324">
        <v>0</v>
      </c>
      <c r="AW299" s="324">
        <v>0</v>
      </c>
      <c r="AX299" s="324">
        <v>0</v>
      </c>
      <c r="AY299" s="324">
        <v>0</v>
      </c>
      <c r="AZ299" s="324">
        <v>0</v>
      </c>
      <c r="BA299" s="329">
        <v>0.22429399999999999</v>
      </c>
      <c r="BB299" s="329">
        <v>0.182365</v>
      </c>
      <c r="BC299" s="329">
        <v>0.28740100000000002</v>
      </c>
      <c r="BD299" s="329">
        <v>0.27991300000000002</v>
      </c>
      <c r="BE299" s="329">
        <v>0.30957499999999999</v>
      </c>
      <c r="BF299" s="329">
        <v>0.55455699999999997</v>
      </c>
      <c r="BG299" s="329">
        <v>0.259411</v>
      </c>
      <c r="BH299" s="329">
        <v>0.309361</v>
      </c>
      <c r="BI299" s="329">
        <v>0.29086899999999999</v>
      </c>
      <c r="BJ299" s="329">
        <v>0.273034</v>
      </c>
      <c r="BK299" s="329">
        <v>0.20122599999999999</v>
      </c>
      <c r="BL299" s="329">
        <v>0.29856700000000003</v>
      </c>
      <c r="BM299" s="329">
        <v>0.121443</v>
      </c>
    </row>
    <row r="300" spans="3:65">
      <c r="C300" s="329" t="s">
        <v>403</v>
      </c>
      <c r="D300" s="329">
        <v>0.236819</v>
      </c>
      <c r="E300" s="329">
        <v>0.36138900000000002</v>
      </c>
      <c r="F300" s="329">
        <v>0.30099599999999999</v>
      </c>
      <c r="G300" s="329">
        <v>0.31241799999999997</v>
      </c>
      <c r="H300" s="329">
        <v>0.38155299999999998</v>
      </c>
      <c r="I300" s="329">
        <v>0.36334100000000003</v>
      </c>
      <c r="J300" s="329">
        <v>0.30855100000000002</v>
      </c>
      <c r="K300" s="329">
        <v>0.308112</v>
      </c>
      <c r="L300" s="329">
        <v>0.114581</v>
      </c>
      <c r="M300" s="329">
        <v>0.37801099999999999</v>
      </c>
      <c r="N300" s="329">
        <v>0.37872899999999998</v>
      </c>
      <c r="O300" s="329">
        <v>0.36280000000000001</v>
      </c>
      <c r="P300" s="329">
        <v>0.316332</v>
      </c>
      <c r="Q300" s="329">
        <v>0.48169299999999998</v>
      </c>
      <c r="R300" s="329">
        <v>0.35692699999999999</v>
      </c>
      <c r="S300" s="329">
        <v>0.32571299999999997</v>
      </c>
      <c r="T300" s="329">
        <v>0.33573900000000001</v>
      </c>
      <c r="U300" s="329">
        <v>0.30855100000000002</v>
      </c>
      <c r="V300" s="329">
        <v>0.39605299999999999</v>
      </c>
      <c r="W300" s="329">
        <v>0.392181</v>
      </c>
      <c r="X300" s="329">
        <v>0.31052600000000002</v>
      </c>
      <c r="Y300" s="329">
        <v>0.29314000000000001</v>
      </c>
      <c r="Z300" s="329">
        <v>0.41380800000000001</v>
      </c>
      <c r="AA300" s="329">
        <v>0.45706599999999997</v>
      </c>
      <c r="AB300" s="329">
        <v>0.32812400000000003</v>
      </c>
      <c r="AC300" s="329">
        <v>0.43568099999999998</v>
      </c>
      <c r="AD300" s="329">
        <v>0.33865800000000001</v>
      </c>
      <c r="AE300" s="52">
        <f>'User Add-in Location'!B306</f>
        <v>0</v>
      </c>
      <c r="AF300" s="52">
        <f>'User Add-in Location'!C306</f>
        <v>0</v>
      </c>
      <c r="AG300" s="329">
        <v>0.37747799999999998</v>
      </c>
      <c r="AH300" s="329">
        <v>0.37074600000000002</v>
      </c>
      <c r="AI300" s="329">
        <v>0.33107300000000001</v>
      </c>
      <c r="AJ300" s="329">
        <v>0.44036999999999998</v>
      </c>
      <c r="AK300" s="329">
        <v>0.22337199999999999</v>
      </c>
      <c r="AL300" s="329">
        <v>0.36312899999999998</v>
      </c>
      <c r="AM300" s="329">
        <v>0.32316600000000001</v>
      </c>
      <c r="AN300" s="329">
        <v>0.30768699999999999</v>
      </c>
      <c r="AO300" s="329">
        <v>0.36716399999999999</v>
      </c>
      <c r="AP300" s="329">
        <v>0.294491</v>
      </c>
      <c r="AQ300" s="329">
        <v>0.38628899999999999</v>
      </c>
      <c r="AR300" s="329">
        <v>0.44218600000000002</v>
      </c>
      <c r="AS300" s="324">
        <v>0</v>
      </c>
      <c r="AT300" s="324">
        <v>0</v>
      </c>
      <c r="AU300" s="324">
        <v>0</v>
      </c>
      <c r="AV300" s="324">
        <v>0</v>
      </c>
      <c r="AW300" s="324">
        <v>0</v>
      </c>
      <c r="AX300" s="324">
        <v>0</v>
      </c>
      <c r="AY300" s="324">
        <v>0</v>
      </c>
      <c r="AZ300" s="324">
        <v>0</v>
      </c>
      <c r="BA300" s="329">
        <v>0.26821499999999998</v>
      </c>
      <c r="BB300" s="329">
        <v>0.27185300000000001</v>
      </c>
      <c r="BC300" s="329">
        <v>0.36565300000000001</v>
      </c>
      <c r="BD300" s="329">
        <v>0.34492499999999998</v>
      </c>
      <c r="BE300" s="329">
        <v>0.39967399999999997</v>
      </c>
      <c r="BF300" s="329">
        <v>0.65210599999999996</v>
      </c>
      <c r="BG300" s="329">
        <v>0.33791100000000002</v>
      </c>
      <c r="BH300" s="329">
        <v>0.449683</v>
      </c>
      <c r="BI300" s="329">
        <v>0.37473600000000001</v>
      </c>
      <c r="BJ300" s="329">
        <v>0.37285200000000002</v>
      </c>
      <c r="BK300" s="329">
        <v>0.26510099999999998</v>
      </c>
      <c r="BL300" s="329">
        <v>0.41250700000000001</v>
      </c>
      <c r="BM300" s="329">
        <v>0.19183800000000001</v>
      </c>
    </row>
    <row r="301" spans="3:65">
      <c r="C301" s="329" t="s">
        <v>404</v>
      </c>
      <c r="D301" s="329">
        <v>0.14607300000000001</v>
      </c>
      <c r="E301" s="329">
        <v>0.18279500000000001</v>
      </c>
      <c r="F301" s="329">
        <v>0.19233700000000001</v>
      </c>
      <c r="G301" s="329">
        <v>0.12976499999999999</v>
      </c>
      <c r="H301" s="329">
        <v>0.25583600000000001</v>
      </c>
      <c r="I301" s="329">
        <v>0.20910999999999999</v>
      </c>
      <c r="J301" s="329">
        <v>0.214583</v>
      </c>
      <c r="K301" s="329">
        <v>0.123947</v>
      </c>
      <c r="L301" s="329">
        <v>5.1930999999999998E-2</v>
      </c>
      <c r="M301" s="329">
        <v>0.22528000000000001</v>
      </c>
      <c r="N301" s="329">
        <v>0.20057800000000001</v>
      </c>
      <c r="O301" s="329">
        <v>0.11634899999999999</v>
      </c>
      <c r="P301" s="329">
        <v>0.18851999999999999</v>
      </c>
      <c r="Q301" s="329">
        <v>0.24614900000000001</v>
      </c>
      <c r="R301" s="329">
        <v>0.19054499999999999</v>
      </c>
      <c r="S301" s="329">
        <v>0.19101699999999999</v>
      </c>
      <c r="T301" s="329">
        <v>0.15562300000000001</v>
      </c>
      <c r="U301" s="329">
        <v>0.13746</v>
      </c>
      <c r="V301" s="329">
        <v>0.16203600000000001</v>
      </c>
      <c r="W301" s="329">
        <v>0.155893</v>
      </c>
      <c r="X301" s="329">
        <v>0.205378</v>
      </c>
      <c r="Y301" s="329">
        <v>0.23313600000000001</v>
      </c>
      <c r="Z301" s="329">
        <v>0.23962700000000001</v>
      </c>
      <c r="AA301" s="329">
        <v>0.28804200000000002</v>
      </c>
      <c r="AB301" s="329">
        <v>0.119419</v>
      </c>
      <c r="AC301" s="329">
        <v>0.20421500000000001</v>
      </c>
      <c r="AD301" s="329">
        <v>0.18629299999999999</v>
      </c>
      <c r="AE301" s="52">
        <f>'User Add-in Location'!B307</f>
        <v>0</v>
      </c>
      <c r="AF301" s="52">
        <f>'User Add-in Location'!C307</f>
        <v>0</v>
      </c>
      <c r="AG301" s="329">
        <v>0.20999100000000001</v>
      </c>
      <c r="AH301" s="329">
        <v>0.148393</v>
      </c>
      <c r="AI301" s="329">
        <v>0.26866499999999999</v>
      </c>
      <c r="AJ301" s="329">
        <v>0.250641</v>
      </c>
      <c r="AK301" s="329">
        <v>0.19422900000000001</v>
      </c>
      <c r="AL301" s="329">
        <v>0.21693100000000001</v>
      </c>
      <c r="AM301" s="329">
        <v>0.15203900000000001</v>
      </c>
      <c r="AN301" s="329">
        <v>0.17078299999999999</v>
      </c>
      <c r="AO301" s="329">
        <v>0.20049</v>
      </c>
      <c r="AP301" s="329">
        <v>0.18834100000000001</v>
      </c>
      <c r="AQ301" s="329">
        <v>0.20060500000000001</v>
      </c>
      <c r="AR301" s="329">
        <v>0.273698</v>
      </c>
      <c r="AS301" s="324">
        <v>0</v>
      </c>
      <c r="AT301" s="324">
        <v>0</v>
      </c>
      <c r="AU301" s="324">
        <v>0</v>
      </c>
      <c r="AV301" s="324">
        <v>0</v>
      </c>
      <c r="AW301" s="324">
        <v>0</v>
      </c>
      <c r="AX301" s="324">
        <v>0</v>
      </c>
      <c r="AY301" s="324">
        <v>0</v>
      </c>
      <c r="AZ301" s="324">
        <v>0</v>
      </c>
      <c r="BA301" s="329">
        <v>0.15687999999999999</v>
      </c>
      <c r="BB301" s="329">
        <v>9.1914999999999997E-2</v>
      </c>
      <c r="BC301" s="329">
        <v>0.178282</v>
      </c>
      <c r="BD301" s="329">
        <v>0.173653</v>
      </c>
      <c r="BE301" s="329">
        <v>0.22936400000000001</v>
      </c>
      <c r="BF301" s="329">
        <v>0.46435999999999999</v>
      </c>
      <c r="BG301" s="329">
        <v>0.20555300000000001</v>
      </c>
      <c r="BH301" s="329">
        <v>0.239423</v>
      </c>
      <c r="BI301" s="329">
        <v>0.21439800000000001</v>
      </c>
      <c r="BJ301" s="329">
        <v>0.196018</v>
      </c>
      <c r="BK301" s="329">
        <v>0.109698</v>
      </c>
      <c r="BL301" s="329">
        <v>0.222687</v>
      </c>
      <c r="BM301" s="329">
        <v>0</v>
      </c>
    </row>
    <row r="302" spans="3:65">
      <c r="C302" s="353" t="str">
        <f>CONCATENATE("Source:  IMPLAN™, using ",D2," state data.")</f>
        <v>Source:  IMPLAN™, using 2019 state data.</v>
      </c>
    </row>
    <row r="305" spans="2:21">
      <c r="B305" s="52"/>
      <c r="C305" s="318" t="s">
        <v>605</v>
      </c>
    </row>
    <row r="306" spans="2:21">
      <c r="B306" s="52"/>
      <c r="D306" s="319" t="s">
        <v>378</v>
      </c>
      <c r="E306" s="331"/>
      <c r="F306" s="331"/>
      <c r="G306" s="331"/>
      <c r="H306" s="319" t="s">
        <v>407</v>
      </c>
      <c r="I306" s="331"/>
      <c r="J306" s="331"/>
      <c r="K306" s="331"/>
      <c r="L306" s="330" t="s">
        <v>411</v>
      </c>
      <c r="M306" s="331"/>
      <c r="N306" s="331"/>
      <c r="O306" s="331"/>
      <c r="P306" s="330" t="s">
        <v>415</v>
      </c>
      <c r="Q306" s="331"/>
      <c r="R306" s="331"/>
      <c r="S306" s="331"/>
    </row>
    <row r="307" spans="2:21">
      <c r="B307" s="52"/>
      <c r="D307" s="331" t="s">
        <v>543</v>
      </c>
      <c r="E307" s="331" t="s">
        <v>544</v>
      </c>
      <c r="F307" s="331" t="s">
        <v>545</v>
      </c>
      <c r="G307" s="331" t="s">
        <v>133</v>
      </c>
      <c r="H307" s="331" t="s">
        <v>543</v>
      </c>
      <c r="I307" s="331" t="s">
        <v>544</v>
      </c>
      <c r="J307" s="331" t="s">
        <v>545</v>
      </c>
      <c r="K307" s="331" t="s">
        <v>133</v>
      </c>
      <c r="L307" s="331" t="s">
        <v>543</v>
      </c>
      <c r="M307" s="331" t="s">
        <v>544</v>
      </c>
      <c r="N307" s="331" t="s">
        <v>545</v>
      </c>
      <c r="O307" s="331" t="s">
        <v>133</v>
      </c>
      <c r="P307" s="331" t="s">
        <v>543</v>
      </c>
      <c r="Q307" s="331" t="s">
        <v>544</v>
      </c>
      <c r="R307" s="331" t="s">
        <v>545</v>
      </c>
      <c r="S307" s="331" t="s">
        <v>133</v>
      </c>
      <c r="U307" s="331" t="s">
        <v>606</v>
      </c>
    </row>
    <row r="308" spans="2:21">
      <c r="B308">
        <v>2</v>
      </c>
      <c r="C308" s="408" t="s">
        <v>383</v>
      </c>
      <c r="D308" s="52">
        <f>HLOOKUP(Calculations!$E$1,Multipliers!$D$4:$BM$26,$B308)</f>
        <v>8.5422130000000003</v>
      </c>
      <c r="E308" s="52">
        <f>HLOOKUP(Calculations!$E$1,Multipliers!$D$29:$BM$51,B308)</f>
        <v>3.9675630000000002</v>
      </c>
      <c r="F308" s="52">
        <f>HLOOKUP(Calculations!$E$1,Multipliers!$D$54:$BM$76,$B308)</f>
        <v>4.1640170000000003</v>
      </c>
      <c r="G308" s="52">
        <f>SUM(D308:F308)</f>
        <v>16.673793</v>
      </c>
      <c r="H308" s="52">
        <f>HLOOKUP(Calculations!E$1,Multipliers!$D$79:$BM$101,B308)</f>
        <v>0.14810699999999999</v>
      </c>
      <c r="I308" s="52">
        <f>HLOOKUP(Calculations!$E$1,Multipliers!$D$104:$BM$126,$B308)</f>
        <v>0.190417</v>
      </c>
      <c r="J308" s="52">
        <f>HLOOKUP(Calculations!$E$1,Multipliers!$D$129:$BM$151,$B308)</f>
        <v>0.20962600000000001</v>
      </c>
      <c r="K308" s="52">
        <f>SUM(H308:J308)</f>
        <v>0.54815000000000003</v>
      </c>
      <c r="L308" s="52">
        <f>HLOOKUP(Calculations!E$1,Multipliers!$D$154:$BM$176,B308)</f>
        <v>1</v>
      </c>
      <c r="M308" s="52">
        <f>HLOOKUP(Calculations!$E$1,Multipliers!$D$179:$BM$201,$B308)</f>
        <v>0.91716600000000004</v>
      </c>
      <c r="N308" s="52">
        <f>HLOOKUP(Calculations!$E$1,Multipliers!$D$204:$BM$226,$B308)</f>
        <v>0.75106600000000001</v>
      </c>
      <c r="O308" s="52">
        <f>SUM(L308:N308)</f>
        <v>2.6682319999999997</v>
      </c>
      <c r="P308" s="52">
        <f>HLOOKUP(Calculations!$E$1,Multipliers!$D$229:$BM$251,$B308)</f>
        <v>0.417597</v>
      </c>
      <c r="Q308" s="52">
        <f>HLOOKUP(Calculations!$E$1,Multipliers!$D$254:$BM$276,$B308)</f>
        <v>0.44103799999999999</v>
      </c>
      <c r="R308" s="52">
        <f>HLOOKUP(Calculations!$E$1,Multipliers!$D$279:$BM$301,$B308)</f>
        <v>0.423682</v>
      </c>
      <c r="S308" s="52">
        <f>SUM(P308:R308)</f>
        <v>1.2823169999999999</v>
      </c>
      <c r="U308" s="52">
        <f>HLOOKUP(Calculations!$E$1,'Household Exp'!$D$3:$BM$25,$B308)</f>
        <v>4.5840992369040011E-3</v>
      </c>
    </row>
    <row r="309" spans="2:21">
      <c r="B309">
        <v>3</v>
      </c>
      <c r="C309" s="408" t="s">
        <v>384</v>
      </c>
      <c r="D309" s="52">
        <f>HLOOKUP(Calculations!$E$1,Multipliers!$D$4:$BM$26,$B309)</f>
        <v>2.1577809999999999</v>
      </c>
      <c r="E309" s="52">
        <f>HLOOKUP(Calculations!$E$1,Multipliers!$D$29:$BM$51,B309)</f>
        <v>3.5492970000000001</v>
      </c>
      <c r="F309" s="52">
        <f>HLOOKUP(Calculations!$E$1,Multipliers!$D$54:$BM$76,$B309)</f>
        <v>4.3871099999999998</v>
      </c>
      <c r="G309" s="52">
        <f t="shared" ref="G309:G329" si="0">SUM(D309:F309)</f>
        <v>10.094187999999999</v>
      </c>
      <c r="H309" s="52">
        <f>HLOOKUP(Calculations!E$1,Multipliers!$D$79:$BM$101,B309)</f>
        <v>0.14251</v>
      </c>
      <c r="I309" s="52">
        <f>HLOOKUP(Calculations!$E$1,Multipliers!$D$104:$BM$126,$B309)</f>
        <v>0.219333</v>
      </c>
      <c r="J309" s="52">
        <f>HLOOKUP(Calculations!$E$1,Multipliers!$D$129:$BM$151,$B309)</f>
        <v>0.22085399999999999</v>
      </c>
      <c r="K309" s="52">
        <f t="shared" ref="K309:K329" si="1">SUM(H309:J309)</f>
        <v>0.58269700000000002</v>
      </c>
      <c r="L309" s="52">
        <f>HLOOKUP(Calculations!E$1,Multipliers!$D$154:$BM$176,B309)</f>
        <v>1</v>
      </c>
      <c r="M309" s="52">
        <f>HLOOKUP(Calculations!$E$1,Multipliers!$D$179:$BM$201,$B309)</f>
        <v>0.77354299999999998</v>
      </c>
      <c r="N309" s="52">
        <f>HLOOKUP(Calculations!$E$1,Multipliers!$D$204:$BM$226,$B309)</f>
        <v>0.79134099999999996</v>
      </c>
      <c r="O309" s="52">
        <f t="shared" ref="O309:O329" si="2">SUM(L309:N309)</f>
        <v>2.5648840000000002</v>
      </c>
      <c r="P309" s="52">
        <f>HLOOKUP(Calculations!$E$1,Multipliers!$D$229:$BM$251,$B309)</f>
        <v>0.49276500000000001</v>
      </c>
      <c r="Q309" s="52">
        <f>HLOOKUP(Calculations!$E$1,Multipliers!$D$254:$BM$276,$B309)</f>
        <v>0.41145599999999999</v>
      </c>
      <c r="R309" s="52">
        <f>HLOOKUP(Calculations!$E$1,Multipliers!$D$279:$BM$301,$B309)</f>
        <v>0.44639200000000001</v>
      </c>
      <c r="S309" s="52">
        <f t="shared" ref="S309:S329" si="3">SUM(P309:R309)</f>
        <v>1.3506130000000001</v>
      </c>
      <c r="U309" s="52">
        <f>HLOOKUP(Calculations!$E$1,'Household Exp'!$D$3:$BM$25,$B309)</f>
        <v>5.5561278468903275E-4</v>
      </c>
    </row>
    <row r="310" spans="2:21">
      <c r="B310">
        <v>4</v>
      </c>
      <c r="C310" s="408" t="s">
        <v>385</v>
      </c>
      <c r="D310" s="52">
        <f>HLOOKUP(Calculations!$E$1,Multipliers!$D$4:$BM$26,$B310)</f>
        <v>7.0165480000000002</v>
      </c>
      <c r="E310" s="52">
        <f>HLOOKUP(Calculations!$E$1,Multipliers!$D$29:$BM$51,B310)</f>
        <v>2.8476680000000001</v>
      </c>
      <c r="F310" s="52">
        <f>HLOOKUP(Calculations!$E$1,Multipliers!$D$54:$BM$76,$B310)</f>
        <v>5.4431000000000003</v>
      </c>
      <c r="G310" s="52">
        <f t="shared" si="0"/>
        <v>15.307316</v>
      </c>
      <c r="H310" s="52">
        <f>HLOOKUP(Calculations!E$1,Multipliers!$D$79:$BM$101,B310)</f>
        <v>0.325459</v>
      </c>
      <c r="I310" s="52">
        <f>HLOOKUP(Calculations!$E$1,Multipliers!$D$104:$BM$126,$B310)</f>
        <v>0.167765</v>
      </c>
      <c r="J310" s="52">
        <f>HLOOKUP(Calculations!$E$1,Multipliers!$D$129:$BM$151,$B310)</f>
        <v>0.27399499999999999</v>
      </c>
      <c r="K310" s="52">
        <f t="shared" si="1"/>
        <v>0.76721899999999998</v>
      </c>
      <c r="L310" s="52">
        <f>HLOOKUP(Calculations!E$1,Multipliers!$D$154:$BM$176,B310)</f>
        <v>1</v>
      </c>
      <c r="M310" s="52">
        <f>HLOOKUP(Calculations!$E$1,Multipliers!$D$179:$BM$201,$B310)</f>
        <v>0.65975200000000001</v>
      </c>
      <c r="N310" s="52">
        <f>HLOOKUP(Calculations!$E$1,Multipliers!$D$204:$BM$226,$B310)</f>
        <v>0.98198099999999999</v>
      </c>
      <c r="O310" s="52">
        <f t="shared" si="2"/>
        <v>2.6417330000000003</v>
      </c>
      <c r="P310" s="52">
        <f>HLOOKUP(Calculations!$E$1,Multipliers!$D$229:$BM$251,$B310)</f>
        <v>0.57594500000000004</v>
      </c>
      <c r="Q310" s="52">
        <f>HLOOKUP(Calculations!$E$1,Multipliers!$D$254:$BM$276,$B310)</f>
        <v>0.32356699999999999</v>
      </c>
      <c r="R310" s="52">
        <f>HLOOKUP(Calculations!$E$1,Multipliers!$D$279:$BM$301,$B310)</f>
        <v>0.55388499999999996</v>
      </c>
      <c r="S310" s="52">
        <f t="shared" si="3"/>
        <v>1.453397</v>
      </c>
      <c r="U310" s="52">
        <f>HLOOKUP(Calculations!$E$1,'Household Exp'!$D$3:$BM$25,$B310)</f>
        <v>0</v>
      </c>
    </row>
    <row r="311" spans="2:21">
      <c r="B311">
        <v>5</v>
      </c>
      <c r="C311" s="408" t="s">
        <v>386</v>
      </c>
      <c r="D311" s="52">
        <f>HLOOKUP(Calculations!$E$1,Multipliers!$D$4:$BM$26,$B311)</f>
        <v>4.6173570000000002</v>
      </c>
      <c r="E311" s="52">
        <f>HLOOKUP(Calculations!$E$1,Multipliers!$D$29:$BM$51,B311)</f>
        <v>3.7353909999999999</v>
      </c>
      <c r="F311" s="52">
        <f>HLOOKUP(Calculations!$E$1,Multipliers!$D$54:$BM$76,$B311)</f>
        <v>4.5769789999999997</v>
      </c>
      <c r="G311" s="52">
        <f t="shared" si="0"/>
        <v>12.929727</v>
      </c>
      <c r="H311" s="52">
        <f>HLOOKUP(Calculations!E$1,Multipliers!$D$79:$BM$101,B311)</f>
        <v>0.21137300000000001</v>
      </c>
      <c r="I311" s="52">
        <f>HLOOKUP(Calculations!$E$1,Multipliers!$D$104:$BM$126,$B311)</f>
        <v>0.21313599999999999</v>
      </c>
      <c r="J311" s="52">
        <f>HLOOKUP(Calculations!$E$1,Multipliers!$D$129:$BM$151,$B311)</f>
        <v>0.23039100000000001</v>
      </c>
      <c r="K311" s="52">
        <f t="shared" si="1"/>
        <v>0.65490000000000004</v>
      </c>
      <c r="L311" s="52">
        <f>HLOOKUP(Calculations!E$1,Multipliers!$D$154:$BM$176,B311)</f>
        <v>1</v>
      </c>
      <c r="M311" s="52">
        <f>HLOOKUP(Calculations!$E$1,Multipliers!$D$179:$BM$201,$B311)</f>
        <v>0.85237200000000002</v>
      </c>
      <c r="N311" s="52">
        <f>HLOOKUP(Calculations!$E$1,Multipliers!$D$204:$BM$226,$B311)</f>
        <v>0.82577100000000003</v>
      </c>
      <c r="O311" s="52">
        <f t="shared" si="2"/>
        <v>2.6781429999999999</v>
      </c>
      <c r="P311" s="52">
        <f>HLOOKUP(Calculations!$E$1,Multipliers!$D$229:$BM$251,$B311)</f>
        <v>0.45330500000000001</v>
      </c>
      <c r="Q311" s="52">
        <f>HLOOKUP(Calculations!$E$1,Multipliers!$D$254:$BM$276,$B311)</f>
        <v>0.415937</v>
      </c>
      <c r="R311" s="52">
        <f>HLOOKUP(Calculations!$E$1,Multipliers!$D$279:$BM$301,$B311)</f>
        <v>0.46576200000000001</v>
      </c>
      <c r="S311" s="52">
        <f t="shared" si="3"/>
        <v>1.3350040000000001</v>
      </c>
      <c r="U311" s="52">
        <f>HLOOKUP(Calculations!$E$1,'Household Exp'!$D$3:$BM$25,$B311)</f>
        <v>0</v>
      </c>
    </row>
    <row r="312" spans="2:21">
      <c r="B312">
        <v>6</v>
      </c>
      <c r="C312" s="408" t="s">
        <v>387</v>
      </c>
      <c r="D312" s="52">
        <f>HLOOKUP(Calculations!$E$1,Multipliers!$D$4:$BM$26,$B312)</f>
        <v>5.0278890000000001</v>
      </c>
      <c r="E312" s="52">
        <f>HLOOKUP(Calculations!$E$1,Multipliers!$D$29:$BM$51,B312)</f>
        <v>4.1161719999999997</v>
      </c>
      <c r="F312" s="52">
        <f>HLOOKUP(Calculations!$E$1,Multipliers!$D$54:$BM$76,$B312)</f>
        <v>4.6917330000000002</v>
      </c>
      <c r="G312" s="52">
        <f t="shared" si="0"/>
        <v>13.835794</v>
      </c>
      <c r="H312" s="52">
        <f>HLOOKUP(Calculations!E$1,Multipliers!$D$79:$BM$101,B312)</f>
        <v>0.22095100000000001</v>
      </c>
      <c r="I312" s="52">
        <f>HLOOKUP(Calculations!$E$1,Multipliers!$D$104:$BM$126,$B312)</f>
        <v>0.218588</v>
      </c>
      <c r="J312" s="52">
        <f>HLOOKUP(Calculations!$E$1,Multipliers!$D$129:$BM$151,$B312)</f>
        <v>0.23616599999999999</v>
      </c>
      <c r="K312" s="52">
        <f t="shared" si="1"/>
        <v>0.675705</v>
      </c>
      <c r="L312" s="52">
        <f>HLOOKUP(Calculations!E$1,Multipliers!$D$154:$BM$176,B312)</f>
        <v>1</v>
      </c>
      <c r="M312" s="52">
        <f>HLOOKUP(Calculations!$E$1,Multipliers!$D$179:$BM$201,$B312)</f>
        <v>0.85538999999999998</v>
      </c>
      <c r="N312" s="52">
        <f>HLOOKUP(Calculations!$E$1,Multipliers!$D$204:$BM$226,$B312)</f>
        <v>0.84648999999999996</v>
      </c>
      <c r="O312" s="52">
        <f t="shared" si="2"/>
        <v>2.7018800000000001</v>
      </c>
      <c r="P312" s="52">
        <f>HLOOKUP(Calculations!$E$1,Multipliers!$D$229:$BM$251,$B312)</f>
        <v>0.45389200000000002</v>
      </c>
      <c r="Q312" s="52">
        <f>HLOOKUP(Calculations!$E$1,Multipliers!$D$254:$BM$276,$B312)</f>
        <v>0.42561500000000002</v>
      </c>
      <c r="R312" s="52">
        <f>HLOOKUP(Calculations!$E$1,Multipliers!$D$279:$BM$301,$B312)</f>
        <v>0.47744399999999998</v>
      </c>
      <c r="S312" s="52">
        <f t="shared" si="3"/>
        <v>1.356951</v>
      </c>
      <c r="U312" s="52">
        <f>HLOOKUP(Calculations!$E$1,'Household Exp'!$D$3:$BM$25,$B312)</f>
        <v>0</v>
      </c>
    </row>
    <row r="313" spans="2:21">
      <c r="B313">
        <v>7</v>
      </c>
      <c r="C313" s="408" t="s">
        <v>388</v>
      </c>
      <c r="D313" s="52">
        <f>HLOOKUP(Calculations!$E$1,Multipliers!$D$4:$BM$26,$B313)</f>
        <v>1.902825</v>
      </c>
      <c r="E313" s="52">
        <f>HLOOKUP(Calculations!$E$1,Multipliers!$D$29:$BM$51,B313)</f>
        <v>3.9936099999999999</v>
      </c>
      <c r="F313" s="52">
        <f>HLOOKUP(Calculations!$E$1,Multipliers!$D$54:$BM$76,$B313)</f>
        <v>3.7644350000000002</v>
      </c>
      <c r="G313" s="52">
        <f t="shared" si="0"/>
        <v>9.660870000000001</v>
      </c>
      <c r="H313" s="52">
        <f>HLOOKUP(Calculations!E$1,Multipliers!$D$79:$BM$101,B313)</f>
        <v>0.15251899999999999</v>
      </c>
      <c r="I313" s="52">
        <f>HLOOKUP(Calculations!$E$1,Multipliers!$D$104:$BM$126,$B313)</f>
        <v>0.249005</v>
      </c>
      <c r="J313" s="52">
        <f>HLOOKUP(Calculations!$E$1,Multipliers!$D$129:$BM$151,$B313)</f>
        <v>0.189466</v>
      </c>
      <c r="K313" s="52">
        <f t="shared" si="1"/>
        <v>0.59099000000000002</v>
      </c>
      <c r="L313" s="52">
        <f>HLOOKUP(Calculations!E$1,Multipliers!$D$154:$BM$176,B313)</f>
        <v>1</v>
      </c>
      <c r="M313" s="52">
        <f>HLOOKUP(Calculations!$E$1,Multipliers!$D$179:$BM$201,$B313)</f>
        <v>1.071644</v>
      </c>
      <c r="N313" s="52">
        <f>HLOOKUP(Calculations!$E$1,Multipliers!$D$204:$BM$226,$B313)</f>
        <v>0.67939099999999997</v>
      </c>
      <c r="O313" s="52">
        <f t="shared" si="2"/>
        <v>2.7510349999999999</v>
      </c>
      <c r="P313" s="52">
        <f>HLOOKUP(Calculations!$E$1,Multipliers!$D$229:$BM$251,$B313)</f>
        <v>0.30699300000000002</v>
      </c>
      <c r="Q313" s="52">
        <f>HLOOKUP(Calculations!$E$1,Multipliers!$D$254:$BM$276,$B313)</f>
        <v>0.49929499999999999</v>
      </c>
      <c r="R313" s="52">
        <f>HLOOKUP(Calculations!$E$1,Multipliers!$D$279:$BM$301,$B313)</f>
        <v>0.38313799999999998</v>
      </c>
      <c r="S313" s="52">
        <f t="shared" si="3"/>
        <v>1.1894260000000001</v>
      </c>
      <c r="U313" s="52">
        <f>HLOOKUP(Calculations!$E$1,'Household Exp'!$D$3:$BM$25,$B313)</f>
        <v>0.10194163126242713</v>
      </c>
    </row>
    <row r="314" spans="2:21">
      <c r="B314">
        <v>8</v>
      </c>
      <c r="C314" s="408" t="s">
        <v>389</v>
      </c>
      <c r="D314" s="52">
        <f>HLOOKUP(Calculations!$E$1,Multipliers!$D$4:$BM$26,$B314)</f>
        <v>3.1992950000000002</v>
      </c>
      <c r="E314" s="52">
        <f>HLOOKUP(Calculations!$E$1,Multipliers!$D$29:$BM$51,B314)</f>
        <v>4.0001329999999999</v>
      </c>
      <c r="F314" s="52">
        <f>HLOOKUP(Calculations!$E$1,Multipliers!$D$54:$BM$76,$B314)</f>
        <v>4.4319350000000002</v>
      </c>
      <c r="G314" s="52">
        <f t="shared" si="0"/>
        <v>11.631363</v>
      </c>
      <c r="H314" s="52">
        <f>HLOOKUP(Calculations!E$1,Multipliers!$D$79:$BM$101,B314)</f>
        <v>0.233708</v>
      </c>
      <c r="I314" s="52">
        <f>HLOOKUP(Calculations!$E$1,Multipliers!$D$104:$BM$126,$B314)</f>
        <v>0.25558999999999998</v>
      </c>
      <c r="J314" s="52">
        <f>HLOOKUP(Calculations!$E$1,Multipliers!$D$129:$BM$151,$B314)</f>
        <v>0.223054</v>
      </c>
      <c r="K314" s="52">
        <f t="shared" si="1"/>
        <v>0.71235199999999999</v>
      </c>
      <c r="L314" s="52">
        <f>HLOOKUP(Calculations!E$1,Multipliers!$D$154:$BM$176,B314)</f>
        <v>1</v>
      </c>
      <c r="M314" s="52">
        <f>HLOOKUP(Calculations!$E$1,Multipliers!$D$179:$BM$201,$B314)</f>
        <v>1.060765</v>
      </c>
      <c r="N314" s="52">
        <f>HLOOKUP(Calculations!$E$1,Multipliers!$D$204:$BM$226,$B314)</f>
        <v>0.799929</v>
      </c>
      <c r="O314" s="52">
        <f t="shared" si="2"/>
        <v>2.8606940000000001</v>
      </c>
      <c r="P314" s="52">
        <f>HLOOKUP(Calculations!$E$1,Multipliers!$D$229:$BM$251,$B314)</f>
        <v>0.32968799999999998</v>
      </c>
      <c r="Q314" s="52">
        <f>HLOOKUP(Calculations!$E$1,Multipliers!$D$254:$BM$276,$B314)</f>
        <v>0.48766399999999999</v>
      </c>
      <c r="R314" s="52">
        <f>HLOOKUP(Calculations!$E$1,Multipliers!$D$279:$BM$301,$B314)</f>
        <v>0.45109500000000002</v>
      </c>
      <c r="S314" s="52">
        <f t="shared" si="3"/>
        <v>1.2684470000000001</v>
      </c>
      <c r="U314" s="52">
        <f>HLOOKUP(Calculations!$E$1,'Household Exp'!$D$3:$BM$25,$B314)</f>
        <v>4.6535689630517494E-5</v>
      </c>
    </row>
    <row r="315" spans="2:21">
      <c r="B315">
        <v>9</v>
      </c>
      <c r="C315" s="408" t="s">
        <v>390</v>
      </c>
      <c r="D315" s="52">
        <f>HLOOKUP(Calculations!$E$1,Multipliers!$D$4:$BM$26,$B315)</f>
        <v>3.09476</v>
      </c>
      <c r="E315" s="52">
        <f>HLOOKUP(Calculations!$E$1,Multipliers!$D$29:$BM$51,B315)</f>
        <v>3.7489300000000001</v>
      </c>
      <c r="F315" s="52">
        <f>HLOOKUP(Calculations!$E$1,Multipliers!$D$54:$BM$76,$B315)</f>
        <v>4.6135029999999997</v>
      </c>
      <c r="G315" s="52">
        <f t="shared" si="0"/>
        <v>11.457193</v>
      </c>
      <c r="H315" s="52">
        <f>HLOOKUP(Calculations!E$1,Multipliers!$D$79:$BM$101,B315)</f>
        <v>0.26990900000000001</v>
      </c>
      <c r="I315" s="52">
        <f>HLOOKUP(Calculations!$E$1,Multipliers!$D$104:$BM$126,$B315)</f>
        <v>0.247637</v>
      </c>
      <c r="J315" s="52">
        <f>HLOOKUP(Calculations!$E$1,Multipliers!$D$129:$BM$151,$B315)</f>
        <v>0.23218900000000001</v>
      </c>
      <c r="K315" s="52">
        <f t="shared" si="1"/>
        <v>0.74973500000000004</v>
      </c>
      <c r="L315" s="52">
        <f>HLOOKUP(Calculations!E$1,Multipliers!$D$154:$BM$176,B315)</f>
        <v>1</v>
      </c>
      <c r="M315" s="52">
        <f>HLOOKUP(Calculations!$E$1,Multipliers!$D$179:$BM$201,$B315)</f>
        <v>0.96802900000000003</v>
      </c>
      <c r="N315" s="52">
        <f>HLOOKUP(Calculations!$E$1,Multipliers!$D$204:$BM$226,$B315)</f>
        <v>0.832731</v>
      </c>
      <c r="O315" s="52">
        <f t="shared" si="2"/>
        <v>2.8007599999999999</v>
      </c>
      <c r="P315" s="52">
        <f>HLOOKUP(Calculations!$E$1,Multipliers!$D$229:$BM$251,$B315)</f>
        <v>0.36979600000000001</v>
      </c>
      <c r="Q315" s="52">
        <f>HLOOKUP(Calculations!$E$1,Multipliers!$D$254:$BM$276,$B315)</f>
        <v>0.46758300000000003</v>
      </c>
      <c r="R315" s="52">
        <f>HLOOKUP(Calculations!$E$1,Multipliers!$D$279:$BM$301,$B315)</f>
        <v>0.469584</v>
      </c>
      <c r="S315" s="52">
        <f t="shared" si="3"/>
        <v>1.3069630000000001</v>
      </c>
      <c r="U315" s="52">
        <f>HLOOKUP(Calculations!$E$1,'Household Exp'!$D$3:$BM$25,$B315)</f>
        <v>2.3927225059021437E-5</v>
      </c>
    </row>
    <row r="316" spans="2:21">
      <c r="B316">
        <v>10</v>
      </c>
      <c r="C316" s="408" t="s">
        <v>391</v>
      </c>
      <c r="D316" s="52">
        <f>HLOOKUP(Calculations!$E$1,Multipliers!$D$4:$BM$26,$B316)</f>
        <v>2.530383</v>
      </c>
      <c r="E316" s="52">
        <f>HLOOKUP(Calculations!$E$1,Multipliers!$D$29:$BM$51,B316)</f>
        <v>3.2457539999999998</v>
      </c>
      <c r="F316" s="52">
        <f>HLOOKUP(Calculations!$E$1,Multipliers!$D$54:$BM$76,$B316)</f>
        <v>4.2368990000000002</v>
      </c>
      <c r="G316" s="52">
        <f t="shared" si="0"/>
        <v>10.013036</v>
      </c>
      <c r="H316" s="52">
        <f>HLOOKUP(Calculations!E$1,Multipliers!$D$79:$BM$101,B316)</f>
        <v>0.25248300000000001</v>
      </c>
      <c r="I316" s="52">
        <f>HLOOKUP(Calculations!$E$1,Multipliers!$D$104:$BM$126,$B316)</f>
        <v>0.22447700000000001</v>
      </c>
      <c r="J316" s="52">
        <f>HLOOKUP(Calculations!$E$1,Multipliers!$D$129:$BM$151,$B316)</f>
        <v>0.21323400000000001</v>
      </c>
      <c r="K316" s="52">
        <f t="shared" si="1"/>
        <v>0.69019400000000009</v>
      </c>
      <c r="L316" s="52">
        <f>HLOOKUP(Calculations!E$1,Multipliers!$D$154:$BM$176,B316)</f>
        <v>1</v>
      </c>
      <c r="M316" s="52">
        <f>HLOOKUP(Calculations!$E$1,Multipliers!$D$179:$BM$201,$B316)</f>
        <v>0.93414600000000003</v>
      </c>
      <c r="N316" s="52">
        <f>HLOOKUP(Calculations!$E$1,Multipliers!$D$204:$BM$226,$B316)</f>
        <v>0.76475599999999999</v>
      </c>
      <c r="O316" s="52">
        <f t="shared" si="2"/>
        <v>2.6989020000000004</v>
      </c>
      <c r="P316" s="52">
        <f>HLOOKUP(Calculations!$E$1,Multipliers!$D$229:$BM$251,$B316)</f>
        <v>0.38623499999999999</v>
      </c>
      <c r="Q316" s="52">
        <f>HLOOKUP(Calculations!$E$1,Multipliers!$D$254:$BM$276,$B316)</f>
        <v>0.43736399999999998</v>
      </c>
      <c r="R316" s="52">
        <f>HLOOKUP(Calculations!$E$1,Multipliers!$D$279:$BM$301,$B316)</f>
        <v>0.43125200000000002</v>
      </c>
      <c r="S316" s="52">
        <f t="shared" si="3"/>
        <v>1.2548509999999999</v>
      </c>
      <c r="U316" s="52">
        <f>HLOOKUP(Calculations!$E$1,'Household Exp'!$D$3:$BM$25,$B316)</f>
        <v>5.9479594707469825E-5</v>
      </c>
    </row>
    <row r="317" spans="2:21">
      <c r="B317">
        <v>11</v>
      </c>
      <c r="C317" s="408" t="s">
        <v>392</v>
      </c>
      <c r="D317" s="52">
        <f>HLOOKUP(Calculations!$E$1,Multipliers!$D$4:$BM$26,$B317)</f>
        <v>2.9422609999999998</v>
      </c>
      <c r="E317" s="52">
        <f>HLOOKUP(Calculations!$E$1,Multipliers!$D$29:$BM$51,B317)</f>
        <v>3.412245</v>
      </c>
      <c r="F317" s="52">
        <f>HLOOKUP(Calculations!$E$1,Multipliers!$D$54:$BM$76,$B317)</f>
        <v>4.300116</v>
      </c>
      <c r="G317" s="52">
        <f t="shared" si="0"/>
        <v>10.654622</v>
      </c>
      <c r="H317" s="52">
        <f>HLOOKUP(Calculations!E$1,Multipliers!$D$79:$BM$101,B317)</f>
        <v>0.25657200000000002</v>
      </c>
      <c r="I317" s="52">
        <f>HLOOKUP(Calculations!$E$1,Multipliers!$D$104:$BM$126,$B317)</f>
        <v>0.22450100000000001</v>
      </c>
      <c r="J317" s="52">
        <f>HLOOKUP(Calculations!$E$1,Multipliers!$D$129:$BM$151,$B317)</f>
        <v>0.216417</v>
      </c>
      <c r="K317" s="52">
        <f t="shared" si="1"/>
        <v>0.69749000000000005</v>
      </c>
      <c r="L317" s="52">
        <f>HLOOKUP(Calculations!E$1,Multipliers!$D$154:$BM$176,B317)</f>
        <v>1</v>
      </c>
      <c r="M317" s="52">
        <f>HLOOKUP(Calculations!$E$1,Multipliers!$D$179:$BM$201,$B317)</f>
        <v>0.99082899999999996</v>
      </c>
      <c r="N317" s="52">
        <f>HLOOKUP(Calculations!$E$1,Multipliers!$D$204:$BM$226,$B317)</f>
        <v>0.77615400000000001</v>
      </c>
      <c r="O317" s="52">
        <f t="shared" si="2"/>
        <v>2.7669829999999997</v>
      </c>
      <c r="P317" s="52">
        <f>HLOOKUP(Calculations!$E$1,Multipliers!$D$229:$BM$251,$B317)</f>
        <v>0.36960999999999999</v>
      </c>
      <c r="Q317" s="52">
        <f>HLOOKUP(Calculations!$E$1,Multipliers!$D$254:$BM$276,$B317)</f>
        <v>0.44584299999999999</v>
      </c>
      <c r="R317" s="52">
        <f>HLOOKUP(Calculations!$E$1,Multipliers!$D$279:$BM$301,$B317)</f>
        <v>0.43768299999999999</v>
      </c>
      <c r="S317" s="52">
        <f t="shared" si="3"/>
        <v>1.253136</v>
      </c>
      <c r="U317" s="52">
        <f>HLOOKUP(Calculations!$E$1,'Household Exp'!$D$3:$BM$25,$B317)</f>
        <v>1.4105071932372907E-4</v>
      </c>
    </row>
    <row r="318" spans="2:21">
      <c r="B318">
        <v>12</v>
      </c>
      <c r="C318" s="408" t="s">
        <v>393</v>
      </c>
      <c r="D318" s="52">
        <f>HLOOKUP(Calculations!$E$1,Multipliers!$D$4:$BM$26,$B318)</f>
        <v>2.0404170000000001</v>
      </c>
      <c r="E318" s="52">
        <f>HLOOKUP(Calculations!$E$1,Multipliers!$D$29:$BM$51,B318)</f>
        <v>3.4236149999999999</v>
      </c>
      <c r="F318" s="52">
        <f>HLOOKUP(Calculations!$E$1,Multipliers!$D$54:$BM$76,$B318)</f>
        <v>3.6886610000000002</v>
      </c>
      <c r="G318" s="52">
        <f t="shared" si="0"/>
        <v>9.1526929999999993</v>
      </c>
      <c r="H318" s="52">
        <f>HLOOKUP(Calculations!E$1,Multipliers!$D$79:$BM$101,B318)</f>
        <v>0.17549000000000001</v>
      </c>
      <c r="I318" s="52">
        <f>HLOOKUP(Calculations!$E$1,Multipliers!$D$104:$BM$126,$B318)</f>
        <v>0.234238</v>
      </c>
      <c r="J318" s="52">
        <f>HLOOKUP(Calculations!$E$1,Multipliers!$D$129:$BM$151,$B318)</f>
        <v>0.185645</v>
      </c>
      <c r="K318" s="52">
        <f t="shared" si="1"/>
        <v>0.59537299999999993</v>
      </c>
      <c r="L318" s="52">
        <f>HLOOKUP(Calculations!E$1,Multipliers!$D$154:$BM$176,B318)</f>
        <v>1</v>
      </c>
      <c r="M318" s="52">
        <f>HLOOKUP(Calculations!$E$1,Multipliers!$D$179:$BM$201,$B318)</f>
        <v>1.0789470000000001</v>
      </c>
      <c r="N318" s="52">
        <f>HLOOKUP(Calculations!$E$1,Multipliers!$D$204:$BM$226,$B318)</f>
        <v>0.66577699999999995</v>
      </c>
      <c r="O318" s="52">
        <f t="shared" si="2"/>
        <v>2.7447240000000002</v>
      </c>
      <c r="P318" s="52">
        <f>HLOOKUP(Calculations!$E$1,Multipliers!$D$229:$BM$251,$B318)</f>
        <v>0.26454</v>
      </c>
      <c r="Q318" s="52">
        <f>HLOOKUP(Calculations!$E$1,Multipliers!$D$254:$BM$276,$B318)</f>
        <v>0.46809899999999999</v>
      </c>
      <c r="R318" s="52">
        <f>HLOOKUP(Calculations!$E$1,Multipliers!$D$279:$BM$301,$B318)</f>
        <v>0.37544300000000003</v>
      </c>
      <c r="S318" s="52">
        <f t="shared" si="3"/>
        <v>1.108082</v>
      </c>
      <c r="U318" s="52">
        <f>HLOOKUP(Calculations!$E$1,'Household Exp'!$D$3:$BM$25,$B318)</f>
        <v>1.0894092286512738E-5</v>
      </c>
    </row>
    <row r="319" spans="2:21">
      <c r="B319">
        <v>13</v>
      </c>
      <c r="C319" s="408" t="s">
        <v>394</v>
      </c>
      <c r="D319" s="52">
        <f>HLOOKUP(Calculations!$E$1,Multipliers!$D$4:$BM$26,$B319)</f>
        <v>3.0280239999999998</v>
      </c>
      <c r="E319" s="52">
        <f>HLOOKUP(Calculations!$E$1,Multipliers!$D$29:$BM$51,B319)</f>
        <v>3.3131219999999999</v>
      </c>
      <c r="F319" s="52">
        <f>HLOOKUP(Calculations!$E$1,Multipliers!$D$54:$BM$76,$B319)</f>
        <v>4.2847220000000004</v>
      </c>
      <c r="G319" s="52">
        <f t="shared" si="0"/>
        <v>10.625868000000001</v>
      </c>
      <c r="H319" s="52">
        <f>HLOOKUP(Calculations!E$1,Multipliers!$D$79:$BM$101,B319)</f>
        <v>0.26850000000000002</v>
      </c>
      <c r="I319" s="52">
        <f>HLOOKUP(Calculations!$E$1,Multipliers!$D$104:$BM$126,$B319)</f>
        <v>0.19437399999999999</v>
      </c>
      <c r="J319" s="52">
        <f>HLOOKUP(Calculations!$E$1,Multipliers!$D$129:$BM$151,$B319)</f>
        <v>0.21564900000000001</v>
      </c>
      <c r="K319" s="52">
        <f t="shared" si="1"/>
        <v>0.67852299999999999</v>
      </c>
      <c r="L319" s="52">
        <f>HLOOKUP(Calculations!E$1,Multipliers!$D$154:$BM$176,B319)</f>
        <v>1</v>
      </c>
      <c r="M319" s="52">
        <f>HLOOKUP(Calculations!$E$1,Multipliers!$D$179:$BM$201,$B319)</f>
        <v>0.61415699999999995</v>
      </c>
      <c r="N319" s="52">
        <f>HLOOKUP(Calculations!$E$1,Multipliers!$D$204:$BM$226,$B319)</f>
        <v>0.77332299999999998</v>
      </c>
      <c r="O319" s="52">
        <f t="shared" si="2"/>
        <v>2.38748</v>
      </c>
      <c r="P319" s="52">
        <f>HLOOKUP(Calculations!$E$1,Multipliers!$D$229:$BM$251,$B319)</f>
        <v>0.59214199999999995</v>
      </c>
      <c r="Q319" s="52">
        <f>HLOOKUP(Calculations!$E$1,Multipliers!$D$254:$BM$276,$B319)</f>
        <v>0.35769600000000001</v>
      </c>
      <c r="R319" s="52">
        <f>HLOOKUP(Calculations!$E$1,Multipliers!$D$279:$BM$301,$B319)</f>
        <v>0.43610199999999999</v>
      </c>
      <c r="S319" s="52">
        <f t="shared" si="3"/>
        <v>1.3859399999999999</v>
      </c>
      <c r="U319" s="52">
        <f>HLOOKUP(Calculations!$E$1,'Household Exp'!$D$3:$BM$25,$B319)</f>
        <v>4.3689863372770268E-2</v>
      </c>
    </row>
    <row r="320" spans="2:21">
      <c r="B320">
        <v>14</v>
      </c>
      <c r="C320" s="408" t="s">
        <v>395</v>
      </c>
      <c r="D320" s="52">
        <f>HLOOKUP(Calculations!$E$1,Multipliers!$D$4:$BM$26,$B320)</f>
        <v>10.302334999999999</v>
      </c>
      <c r="E320" s="52">
        <f>HLOOKUP(Calculations!$E$1,Multipliers!$D$29:$BM$51,B320)</f>
        <v>3.1606580000000002</v>
      </c>
      <c r="F320" s="52">
        <f>HLOOKUP(Calculations!$E$1,Multipliers!$D$54:$BM$76,$B320)</f>
        <v>4.8711039999999999</v>
      </c>
      <c r="G320" s="52">
        <f t="shared" si="0"/>
        <v>18.334097</v>
      </c>
      <c r="H320" s="52">
        <f>HLOOKUP(Calculations!E$1,Multipliers!$D$79:$BM$101,B320)</f>
        <v>0.33532400000000001</v>
      </c>
      <c r="I320" s="52">
        <f>HLOOKUP(Calculations!$E$1,Multipliers!$D$104:$BM$126,$B320)</f>
        <v>0.17454700000000001</v>
      </c>
      <c r="J320" s="52">
        <f>HLOOKUP(Calculations!$E$1,Multipliers!$D$129:$BM$151,$B320)</f>
        <v>0.24517</v>
      </c>
      <c r="K320" s="52">
        <f t="shared" si="1"/>
        <v>0.75504099999999996</v>
      </c>
      <c r="L320" s="52">
        <f>HLOOKUP(Calculations!E$1,Multipliers!$D$154:$BM$176,B320)</f>
        <v>1</v>
      </c>
      <c r="M320" s="52">
        <f>HLOOKUP(Calculations!$E$1,Multipliers!$D$179:$BM$201,$B320)</f>
        <v>0.59755899999999995</v>
      </c>
      <c r="N320" s="52">
        <f>HLOOKUP(Calculations!$E$1,Multipliers!$D$204:$BM$226,$B320)</f>
        <v>0.87908399999999998</v>
      </c>
      <c r="O320" s="52">
        <f t="shared" si="2"/>
        <v>2.4766430000000001</v>
      </c>
      <c r="P320" s="52">
        <f>HLOOKUP(Calculations!$E$1,Multipliers!$D$229:$BM$251,$B320)</f>
        <v>0.60711499999999996</v>
      </c>
      <c r="Q320" s="52">
        <f>HLOOKUP(Calculations!$E$1,Multipliers!$D$254:$BM$276,$B320)</f>
        <v>0.34464699999999998</v>
      </c>
      <c r="R320" s="52">
        <f>HLOOKUP(Calculations!$E$1,Multipliers!$D$279:$BM$301,$B320)</f>
        <v>0.49576399999999998</v>
      </c>
      <c r="S320" s="52">
        <f t="shared" si="3"/>
        <v>1.4475259999999999</v>
      </c>
      <c r="U320" s="52">
        <f>HLOOKUP(Calculations!$E$1,'Household Exp'!$D$3:$BM$25,$B320)</f>
        <v>0.10837306877409518</v>
      </c>
    </row>
    <row r="321" spans="2:21">
      <c r="B321">
        <v>15</v>
      </c>
      <c r="C321" s="408" t="s">
        <v>396</v>
      </c>
      <c r="D321" s="52">
        <f>HLOOKUP(Calculations!$E$1,Multipliers!$D$4:$BM$26,$B321)</f>
        <v>2.4910220000000001</v>
      </c>
      <c r="E321" s="52">
        <f>HLOOKUP(Calculations!$E$1,Multipliers!$D$29:$BM$51,B321)</f>
        <v>3.4536250000000002</v>
      </c>
      <c r="F321" s="52">
        <f>HLOOKUP(Calculations!$E$1,Multipliers!$D$54:$BM$76,$B321)</f>
        <v>4.3316129999999999</v>
      </c>
      <c r="G321" s="52">
        <f t="shared" si="0"/>
        <v>10.276260000000001</v>
      </c>
      <c r="H321" s="52">
        <f>HLOOKUP(Calculations!E$1,Multipliers!$D$79:$BM$101,B321)</f>
        <v>0.19891800000000001</v>
      </c>
      <c r="I321" s="52">
        <f>HLOOKUP(Calculations!$E$1,Multipliers!$D$104:$BM$126,$B321)</f>
        <v>0.20973700000000001</v>
      </c>
      <c r="J321" s="52">
        <f>HLOOKUP(Calculations!$E$1,Multipliers!$D$129:$BM$151,$B321)</f>
        <v>0.21803700000000001</v>
      </c>
      <c r="K321" s="52">
        <f t="shared" si="1"/>
        <v>0.62669200000000003</v>
      </c>
      <c r="L321" s="52">
        <f>HLOOKUP(Calculations!E$1,Multipliers!$D$154:$BM$176,B321)</f>
        <v>1</v>
      </c>
      <c r="M321" s="52">
        <f>HLOOKUP(Calculations!$E$1,Multipliers!$D$179:$BM$201,$B321)</f>
        <v>0.77581199999999995</v>
      </c>
      <c r="N321" s="52">
        <f>HLOOKUP(Calculations!$E$1,Multipliers!$D$204:$BM$226,$B321)</f>
        <v>0.78153899999999998</v>
      </c>
      <c r="O321" s="52">
        <f t="shared" si="2"/>
        <v>2.5573509999999997</v>
      </c>
      <c r="P321" s="52">
        <f>HLOOKUP(Calculations!$E$1,Multipliers!$D$229:$BM$251,$B321)</f>
        <v>0.50856900000000005</v>
      </c>
      <c r="Q321" s="52">
        <f>HLOOKUP(Calculations!$E$1,Multipliers!$D$254:$BM$276,$B321)</f>
        <v>0.41547200000000001</v>
      </c>
      <c r="R321" s="52">
        <f>HLOOKUP(Calculations!$E$1,Multipliers!$D$279:$BM$301,$B321)</f>
        <v>0.44080399999999997</v>
      </c>
      <c r="S321" s="52">
        <f t="shared" si="3"/>
        <v>1.3648450000000001</v>
      </c>
      <c r="U321" s="52">
        <f>HLOOKUP(Calculations!$E$1,'Household Exp'!$D$3:$BM$25,$B321)</f>
        <v>3.2886994620782033E-2</v>
      </c>
    </row>
    <row r="322" spans="2:21">
      <c r="B322" s="263">
        <v>16</v>
      </c>
      <c r="C322" s="408" t="s">
        <v>397</v>
      </c>
      <c r="D322" s="52">
        <f>HLOOKUP(Calculations!$E$1,Multipliers!$D$4:$BM$26,$B322)</f>
        <v>2.3738860000000002</v>
      </c>
      <c r="E322" s="52">
        <f>HLOOKUP(Calculations!$E$1,Multipliers!$D$29:$BM$51,B322)</f>
        <v>2.782597</v>
      </c>
      <c r="F322" s="52">
        <f>HLOOKUP(Calculations!$E$1,Multipliers!$D$54:$BM$76,$B322)</f>
        <v>2.428795</v>
      </c>
      <c r="G322" s="52">
        <f t="shared" si="0"/>
        <v>7.5852779999999997</v>
      </c>
      <c r="H322" s="52">
        <f>HLOOKUP(Calculations!E$1,Multipliers!$D$79:$BM$101,B322)</f>
        <v>7.8454999999999997E-2</v>
      </c>
      <c r="I322" s="52">
        <f>HLOOKUP(Calculations!$E$1,Multipliers!$D$104:$BM$126,$B322)</f>
        <v>0.15556200000000001</v>
      </c>
      <c r="J322" s="52">
        <f>HLOOKUP(Calculations!$E$1,Multipliers!$D$129:$BM$151,$B322)</f>
        <v>0.122254</v>
      </c>
      <c r="K322" s="52">
        <f t="shared" si="1"/>
        <v>0.356271</v>
      </c>
      <c r="L322" s="52">
        <f>HLOOKUP(Calculations!E$1,Multipliers!$D$154:$BM$176,B322)</f>
        <v>1</v>
      </c>
      <c r="M322" s="52">
        <f>HLOOKUP(Calculations!$E$1,Multipliers!$D$179:$BM$201,$B322)</f>
        <v>0.64327100000000004</v>
      </c>
      <c r="N322" s="52">
        <f>HLOOKUP(Calculations!$E$1,Multipliers!$D$204:$BM$226,$B322)</f>
        <v>0.43824099999999999</v>
      </c>
      <c r="O322" s="52">
        <f t="shared" si="2"/>
        <v>2.081512</v>
      </c>
      <c r="P322" s="52">
        <f>HLOOKUP(Calculations!$E$1,Multipliers!$D$229:$BM$251,$B322)</f>
        <v>0.60001300000000002</v>
      </c>
      <c r="Q322" s="52">
        <f>HLOOKUP(Calculations!$E$1,Multipliers!$D$254:$BM$276,$B322)</f>
        <v>0.368421</v>
      </c>
      <c r="R322" s="52">
        <f>HLOOKUP(Calculations!$E$1,Multipliers!$D$279:$BM$301,$B322)</f>
        <v>0.247171</v>
      </c>
      <c r="S322" s="52">
        <f t="shared" si="3"/>
        <v>1.215605</v>
      </c>
      <c r="U322" s="52">
        <f>HLOOKUP(Calculations!$E$1,'Household Exp'!$D$3:$BM$25,$B322)</f>
        <v>0.21281185312088269</v>
      </c>
    </row>
    <row r="323" spans="2:21">
      <c r="B323" s="263">
        <v>17</v>
      </c>
      <c r="C323" s="408" t="s">
        <v>398</v>
      </c>
      <c r="D323" s="52">
        <f>HLOOKUP(Calculations!$E$1,Multipliers!$D$4:$BM$26,$B323)</f>
        <v>3.7410619999999999</v>
      </c>
      <c r="E323" s="52">
        <f>HLOOKUP(Calculations!$E$1,Multipliers!$D$29:$BM$51,B323)</f>
        <v>3.484785</v>
      </c>
      <c r="F323" s="52">
        <f>HLOOKUP(Calculations!$E$1,Multipliers!$D$54:$BM$76,$B323)</f>
        <v>4.9425140000000001</v>
      </c>
      <c r="G323" s="52">
        <f t="shared" si="0"/>
        <v>12.168361000000001</v>
      </c>
      <c r="H323" s="52">
        <f>HLOOKUP(Calculations!E$1,Multipliers!$D$79:$BM$101,B323)</f>
        <v>0.31842399999999998</v>
      </c>
      <c r="I323" s="52">
        <f>HLOOKUP(Calculations!$E$1,Multipliers!$D$104:$BM$126,$B323)</f>
        <v>0.211423</v>
      </c>
      <c r="J323" s="52">
        <f>HLOOKUP(Calculations!$E$1,Multipliers!$D$129:$BM$151,$B323)</f>
        <v>0.24875800000000001</v>
      </c>
      <c r="K323" s="52">
        <f t="shared" si="1"/>
        <v>0.77860499999999999</v>
      </c>
      <c r="L323" s="52">
        <f>HLOOKUP(Calculations!E$1,Multipliers!$D$154:$BM$176,B323)</f>
        <v>1</v>
      </c>
      <c r="M323" s="52">
        <f>HLOOKUP(Calculations!$E$1,Multipliers!$D$179:$BM$201,$B323)</f>
        <v>0.65883899999999995</v>
      </c>
      <c r="N323" s="52">
        <f>HLOOKUP(Calculations!$E$1,Multipliers!$D$204:$BM$226,$B323)</f>
        <v>0.89202099999999995</v>
      </c>
      <c r="O323" s="52">
        <f t="shared" si="2"/>
        <v>2.5508600000000001</v>
      </c>
      <c r="P323" s="52">
        <f>HLOOKUP(Calculations!$E$1,Multipliers!$D$229:$BM$251,$B323)</f>
        <v>0.57107699999999995</v>
      </c>
      <c r="Q323" s="52">
        <f>HLOOKUP(Calculations!$E$1,Multipliers!$D$254:$BM$276,$B323)</f>
        <v>0.38789800000000002</v>
      </c>
      <c r="R323" s="52">
        <f>HLOOKUP(Calculations!$E$1,Multipliers!$D$279:$BM$301,$B323)</f>
        <v>0.50304599999999999</v>
      </c>
      <c r="S323" s="52">
        <f t="shared" si="3"/>
        <v>1.462021</v>
      </c>
      <c r="U323" s="52">
        <f>HLOOKUP(Calculations!$E$1,'Household Exp'!$D$3:$BM$25,$B323)</f>
        <v>4.7144857049199983E-2</v>
      </c>
    </row>
    <row r="324" spans="2:21">
      <c r="B324" s="263">
        <v>18</v>
      </c>
      <c r="C324" s="408" t="s">
        <v>399</v>
      </c>
      <c r="D324" s="52">
        <f>HLOOKUP(Calculations!$E$1,Multipliers!$D$4:$BM$26,$B324)</f>
        <v>4.5683150000000001</v>
      </c>
      <c r="E324" s="52">
        <f>HLOOKUP(Calculations!$E$1,Multipliers!$D$29:$BM$51,B324)</f>
        <v>2.9427819999999998</v>
      </c>
      <c r="F324" s="52">
        <f>HLOOKUP(Calculations!$E$1,Multipliers!$D$54:$BM$76,$B324)</f>
        <v>5.8918100000000004</v>
      </c>
      <c r="G324" s="52">
        <f t="shared" si="0"/>
        <v>13.402906999999999</v>
      </c>
      <c r="H324" s="52">
        <f>HLOOKUP(Calculations!E$1,Multipliers!$D$79:$BM$101,B324)</f>
        <v>0.45366800000000002</v>
      </c>
      <c r="I324" s="52">
        <f>HLOOKUP(Calculations!$E$1,Multipliers!$D$104:$BM$126,$B324)</f>
        <v>0.178041</v>
      </c>
      <c r="J324" s="52">
        <f>HLOOKUP(Calculations!$E$1,Multipliers!$D$129:$BM$151,$B324)</f>
        <v>0.296537</v>
      </c>
      <c r="K324" s="52">
        <f t="shared" si="1"/>
        <v>0.92824600000000013</v>
      </c>
      <c r="L324" s="52">
        <f>HLOOKUP(Calculations!E$1,Multipliers!$D$154:$BM$176,B324)</f>
        <v>1</v>
      </c>
      <c r="M324" s="52">
        <f>HLOOKUP(Calculations!$E$1,Multipliers!$D$179:$BM$201,$B324)</f>
        <v>0.55843600000000004</v>
      </c>
      <c r="N324" s="52">
        <f>HLOOKUP(Calculations!$E$1,Multipliers!$D$204:$BM$226,$B324)</f>
        <v>1.06334</v>
      </c>
      <c r="O324" s="52">
        <f t="shared" si="2"/>
        <v>2.6217759999999997</v>
      </c>
      <c r="P324" s="52">
        <f>HLOOKUP(Calculations!$E$1,Multipliers!$D$229:$BM$251,$B324)</f>
        <v>0.63187000000000004</v>
      </c>
      <c r="Q324" s="52">
        <f>HLOOKUP(Calculations!$E$1,Multipliers!$D$254:$BM$276,$B324)</f>
        <v>0.32845200000000002</v>
      </c>
      <c r="R324" s="52">
        <f>HLOOKUP(Calculations!$E$1,Multipliers!$D$279:$BM$301,$B324)</f>
        <v>0.599661</v>
      </c>
      <c r="S324" s="52">
        <f t="shared" si="3"/>
        <v>1.5599830000000001</v>
      </c>
      <c r="U324" s="52">
        <f>HLOOKUP(Calculations!$E$1,'Household Exp'!$D$3:$BM$25,$B324)</f>
        <v>1.2250750296615924E-2</v>
      </c>
    </row>
    <row r="325" spans="2:21">
      <c r="B325" s="263">
        <v>19</v>
      </c>
      <c r="C325" s="408" t="s">
        <v>400</v>
      </c>
      <c r="D325" s="52">
        <f>HLOOKUP(Calculations!$E$1,Multipliers!$D$4:$BM$26,$B325)</f>
        <v>6.2807209999999998</v>
      </c>
      <c r="E325" s="52">
        <f>HLOOKUP(Calculations!$E$1,Multipliers!$D$29:$BM$51,B325)</f>
        <v>2.3664040000000002</v>
      </c>
      <c r="F325" s="52">
        <f>HLOOKUP(Calculations!$E$1,Multipliers!$D$54:$BM$76,$B325)</f>
        <v>5.5955750000000002</v>
      </c>
      <c r="G325" s="52">
        <f t="shared" si="0"/>
        <v>14.242699999999999</v>
      </c>
      <c r="H325" s="52">
        <f>HLOOKUP(Calculations!E$1,Multipliers!$D$79:$BM$101,B325)</f>
        <v>0.42261900000000002</v>
      </c>
      <c r="I325" s="52">
        <f>HLOOKUP(Calculations!$E$1,Multipliers!$D$104:$BM$126,$B325)</f>
        <v>0.13251199999999999</v>
      </c>
      <c r="J325" s="52">
        <f>HLOOKUP(Calculations!$E$1,Multipliers!$D$129:$BM$151,$B325)</f>
        <v>0.28164800000000001</v>
      </c>
      <c r="K325" s="52">
        <f t="shared" si="1"/>
        <v>0.83677900000000005</v>
      </c>
      <c r="L325" s="52">
        <f>HLOOKUP(Calculations!E$1,Multipliers!$D$154:$BM$176,B325)</f>
        <v>1</v>
      </c>
      <c r="M325" s="52">
        <f>HLOOKUP(Calculations!$E$1,Multipliers!$D$179:$BM$201,$B325)</f>
        <v>0.42248400000000003</v>
      </c>
      <c r="N325" s="52">
        <f>HLOOKUP(Calculations!$E$1,Multipliers!$D$204:$BM$226,$B325)</f>
        <v>1.009693</v>
      </c>
      <c r="O325" s="52">
        <f t="shared" si="2"/>
        <v>2.4321770000000003</v>
      </c>
      <c r="P325" s="52">
        <f>HLOOKUP(Calculations!$E$1,Multipliers!$D$229:$BM$251,$B325)</f>
        <v>0.71877400000000002</v>
      </c>
      <c r="Q325" s="52">
        <f>HLOOKUP(Calculations!$E$1,Multipliers!$D$254:$BM$276,$B325)</f>
        <v>0.24945100000000001</v>
      </c>
      <c r="R325" s="52">
        <f>HLOOKUP(Calculations!$E$1,Multipliers!$D$279:$BM$301,$B325)</f>
        <v>0.56945900000000005</v>
      </c>
      <c r="S325" s="52">
        <f t="shared" si="3"/>
        <v>1.5376840000000001</v>
      </c>
      <c r="U325" s="52">
        <f>HLOOKUP(Calculations!$E$1,'Household Exp'!$D$3:$BM$25,$B325)</f>
        <v>1.4863803381040222E-3</v>
      </c>
    </row>
    <row r="326" spans="2:21">
      <c r="B326" s="263">
        <v>20</v>
      </c>
      <c r="C326" s="408" t="s">
        <v>401</v>
      </c>
      <c r="D326" s="52">
        <f>HLOOKUP(Calculations!$E$1,Multipliers!$D$4:$BM$26,$B326)</f>
        <v>5.7902589999999998</v>
      </c>
      <c r="E326" s="52">
        <f>HLOOKUP(Calculations!$E$1,Multipliers!$D$29:$BM$51,B326)</f>
        <v>3.0727009999999999</v>
      </c>
      <c r="F326" s="52">
        <f>HLOOKUP(Calculations!$E$1,Multipliers!$D$54:$BM$76,$B326)</f>
        <v>6.1823230000000002</v>
      </c>
      <c r="G326" s="52">
        <f t="shared" si="0"/>
        <v>15.045283</v>
      </c>
      <c r="H326" s="52">
        <f>HLOOKUP(Calculations!E$1,Multipliers!$D$79:$BM$101,B326)</f>
        <v>0.43282999999999999</v>
      </c>
      <c r="I326" s="52">
        <f>HLOOKUP(Calculations!$E$1,Multipliers!$D$104:$BM$126,$B326)</f>
        <v>0.18281900000000001</v>
      </c>
      <c r="J326" s="52">
        <f>HLOOKUP(Calculations!$E$1,Multipliers!$D$129:$BM$151,$B326)</f>
        <v>0.31118000000000001</v>
      </c>
      <c r="K326" s="52">
        <f t="shared" si="1"/>
        <v>0.92682900000000001</v>
      </c>
      <c r="L326" s="52">
        <f>HLOOKUP(Calculations!E$1,Multipliers!$D$154:$BM$176,B326)</f>
        <v>1</v>
      </c>
      <c r="M326" s="52">
        <f>HLOOKUP(Calculations!$E$1,Multipliers!$D$179:$BM$201,$B326)</f>
        <v>0.58304299999999998</v>
      </c>
      <c r="N326" s="52">
        <f>HLOOKUP(Calculations!$E$1,Multipliers!$D$204:$BM$226,$B326)</f>
        <v>1.11558</v>
      </c>
      <c r="O326" s="52">
        <f t="shared" si="2"/>
        <v>2.698623</v>
      </c>
      <c r="P326" s="52">
        <f>HLOOKUP(Calculations!$E$1,Multipliers!$D$229:$BM$251,$B326)</f>
        <v>0.61251299999999997</v>
      </c>
      <c r="Q326" s="52">
        <f>HLOOKUP(Calculations!$E$1,Multipliers!$D$254:$BM$276,$B326)</f>
        <v>0.32898699999999997</v>
      </c>
      <c r="R326" s="52">
        <f>HLOOKUP(Calculations!$E$1,Multipliers!$D$279:$BM$301,$B326)</f>
        <v>0.62917500000000004</v>
      </c>
      <c r="S326" s="52">
        <f t="shared" si="3"/>
        <v>1.570675</v>
      </c>
      <c r="U326" s="52">
        <f>HLOOKUP(Calculations!$E$1,'Household Exp'!$D$3:$BM$25,$B326)</f>
        <v>2.9771634658941066E-4</v>
      </c>
    </row>
    <row r="327" spans="2:21">
      <c r="B327" s="263">
        <v>21</v>
      </c>
      <c r="C327" s="408" t="s">
        <v>402</v>
      </c>
      <c r="D327" s="52">
        <f>HLOOKUP(Calculations!$E$1,Multipliers!$D$4:$BM$26,$B327)</f>
        <v>8.5125170000000008</v>
      </c>
      <c r="E327" s="52">
        <f>HLOOKUP(Calculations!$E$1,Multipliers!$D$29:$BM$51,B327)</f>
        <v>3.1384720000000002</v>
      </c>
      <c r="F327" s="52">
        <f>HLOOKUP(Calculations!$E$1,Multipliers!$D$54:$BM$76,$B327)</f>
        <v>5.4488880000000002</v>
      </c>
      <c r="G327" s="52">
        <f t="shared" si="0"/>
        <v>17.099876999999999</v>
      </c>
      <c r="H327" s="52">
        <f>HLOOKUP(Calculations!E$1,Multipliers!$D$79:$BM$101,B327)</f>
        <v>0.385185</v>
      </c>
      <c r="I327" s="52">
        <f>HLOOKUP(Calculations!$E$1,Multipliers!$D$104:$BM$126,$B327)</f>
        <v>0.17649699999999999</v>
      </c>
      <c r="J327" s="52">
        <f>HLOOKUP(Calculations!$E$1,Multipliers!$D$129:$BM$151,$B327)</f>
        <v>0.274254</v>
      </c>
      <c r="K327" s="52">
        <f t="shared" si="1"/>
        <v>0.83593600000000001</v>
      </c>
      <c r="L327" s="52">
        <f>HLOOKUP(Calculations!E$1,Multipliers!$D$154:$BM$176,B327)</f>
        <v>1</v>
      </c>
      <c r="M327" s="52">
        <f>HLOOKUP(Calculations!$E$1,Multipliers!$D$179:$BM$201,$B327)</f>
        <v>0.59823899999999997</v>
      </c>
      <c r="N327" s="52">
        <f>HLOOKUP(Calculations!$E$1,Multipliers!$D$204:$BM$226,$B327)</f>
        <v>0.983317</v>
      </c>
      <c r="O327" s="52">
        <f t="shared" si="2"/>
        <v>2.581556</v>
      </c>
      <c r="P327" s="52">
        <f>HLOOKUP(Calculations!$E$1,Multipliers!$D$229:$BM$251,$B327)</f>
        <v>0.60511800000000004</v>
      </c>
      <c r="Q327" s="52">
        <f>HLOOKUP(Calculations!$E$1,Multipliers!$D$254:$BM$276,$B327)</f>
        <v>0.33541300000000002</v>
      </c>
      <c r="R327" s="52">
        <f>HLOOKUP(Calculations!$E$1,Multipliers!$D$279:$BM$301,$B327)</f>
        <v>0.55455699999999997</v>
      </c>
      <c r="S327" s="52">
        <f t="shared" si="3"/>
        <v>1.495088</v>
      </c>
      <c r="U327" s="52">
        <f>HLOOKUP(Calculations!$E$1,'Household Exp'!$D$3:$BM$25,$B327)</f>
        <v>0.42125346002848019</v>
      </c>
    </row>
    <row r="328" spans="2:21">
      <c r="B328" s="263">
        <v>22</v>
      </c>
      <c r="C328" s="408" t="s">
        <v>403</v>
      </c>
      <c r="D328" s="52">
        <f>HLOOKUP(Calculations!$E$1,Multipliers!$D$4:$BM$26,$B328)</f>
        <v>8.8312469999999994</v>
      </c>
      <c r="E328" s="52">
        <f>HLOOKUP(Calculations!$E$1,Multipliers!$D$29:$BM$51,B328)</f>
        <v>0.50439900000000004</v>
      </c>
      <c r="F328" s="52">
        <f>HLOOKUP(Calculations!$E$1,Multipliers!$D$54:$BM$76,$B328)</f>
        <v>6.406263</v>
      </c>
      <c r="G328" s="52">
        <f t="shared" si="0"/>
        <v>15.741909</v>
      </c>
      <c r="H328" s="52">
        <f>HLOOKUP(Calculations!E$1,Multipliers!$D$79:$BM$101,B328)</f>
        <v>0.73698900000000001</v>
      </c>
      <c r="I328" s="52">
        <f>HLOOKUP(Calculations!$E$1,Multipliers!$D$104:$BM$126,$B328)</f>
        <v>2.9418E-2</v>
      </c>
      <c r="J328" s="52">
        <f>HLOOKUP(Calculations!$E$1,Multipliers!$D$129:$BM$151,$B328)</f>
        <v>0.32239499999999999</v>
      </c>
      <c r="K328" s="52">
        <f t="shared" si="1"/>
        <v>1.088802</v>
      </c>
      <c r="L328" s="52">
        <f>HLOOKUP(Calculations!E$1,Multipliers!$D$154:$BM$176,B328)</f>
        <v>1</v>
      </c>
      <c r="M328" s="52">
        <f>HLOOKUP(Calculations!$E$1,Multipliers!$D$179:$BM$201,$B328)</f>
        <v>0.11237800000000001</v>
      </c>
      <c r="N328" s="52">
        <f>HLOOKUP(Calculations!$E$1,Multipliers!$D$204:$BM$226,$B328)</f>
        <v>1.156488</v>
      </c>
      <c r="O328" s="52">
        <f t="shared" si="2"/>
        <v>2.268866</v>
      </c>
      <c r="P328" s="52">
        <f>HLOOKUP(Calculations!$E$1,Multipliers!$D$229:$BM$251,$B328)</f>
        <v>0.929674</v>
      </c>
      <c r="Q328" s="52">
        <f>HLOOKUP(Calculations!$E$1,Multipliers!$D$254:$BM$276,$B328)</f>
        <v>5.7513000000000002E-2</v>
      </c>
      <c r="R328" s="52">
        <f>HLOOKUP(Calculations!$E$1,Multipliers!$D$279:$BM$301,$B328)</f>
        <v>0.65210599999999996</v>
      </c>
      <c r="S328" s="52">
        <f t="shared" si="3"/>
        <v>1.6392929999999999</v>
      </c>
      <c r="U328" s="52">
        <f>HLOOKUP(Calculations!$E$1,'Household Exp'!$D$3:$BM$25,$B328)</f>
        <v>1.2404730860084151E-2</v>
      </c>
    </row>
    <row r="329" spans="2:21">
      <c r="B329" s="263">
        <v>23</v>
      </c>
      <c r="C329" s="408" t="s">
        <v>404</v>
      </c>
      <c r="D329" s="52">
        <f>HLOOKUP(Calculations!$E$1,Multipliers!$D$4:$BM$26,$B329)</f>
        <v>1.379462</v>
      </c>
      <c r="E329" s="52">
        <f>HLOOKUP(Calculations!$E$1,Multipliers!$D$29:$BM$51,B329)</f>
        <v>3.4221810000000001</v>
      </c>
      <c r="F329" s="52">
        <f>HLOOKUP(Calculations!$E$1,Multipliers!$D$54:$BM$76,$B329)</f>
        <v>4.5621320000000001</v>
      </c>
      <c r="G329" s="52">
        <f t="shared" si="0"/>
        <v>9.3637750000000004</v>
      </c>
      <c r="H329" s="52">
        <f>HLOOKUP(Calculations!E$1,Multipliers!$D$79:$BM$101,B329)</f>
        <v>0.27335300000000001</v>
      </c>
      <c r="I329" s="52">
        <f>HLOOKUP(Calculations!$E$1,Multipliers!$D$104:$BM$126,$B329)</f>
        <v>0.24277000000000001</v>
      </c>
      <c r="J329" s="52">
        <f>HLOOKUP(Calculations!$E$1,Multipliers!$D$129:$BM$151,$B329)</f>
        <v>0.229601</v>
      </c>
      <c r="K329" s="52">
        <f t="shared" si="1"/>
        <v>0.74572400000000005</v>
      </c>
      <c r="L329" s="52">
        <f>HLOOKUP(Calculations!E$1,Multipliers!$D$154:$BM$176,B329)</f>
        <v>1</v>
      </c>
      <c r="M329" s="52">
        <f>HLOOKUP(Calculations!$E$1,Multipliers!$D$179:$BM$201,$B329)</f>
        <v>0.78574999999999995</v>
      </c>
      <c r="N329" s="52">
        <f>HLOOKUP(Calculations!$E$1,Multipliers!$D$204:$BM$226,$B329)</f>
        <v>0.82347499999999996</v>
      </c>
      <c r="O329" s="52">
        <f t="shared" si="2"/>
        <v>2.6092249999999999</v>
      </c>
      <c r="P329" s="52">
        <f>HLOOKUP(Calculations!$E$1,Multipliers!$D$229:$BM$251,$B329)</f>
        <v>0.48446600000000001</v>
      </c>
      <c r="Q329" s="52">
        <f>HLOOKUP(Calculations!$E$1,Multipliers!$D$254:$BM$276,$B329)</f>
        <v>0.420651</v>
      </c>
      <c r="R329" s="52">
        <f>HLOOKUP(Calculations!$E$1,Multipliers!$D$279:$BM$301,$B329)</f>
        <v>0.46435999999999999</v>
      </c>
      <c r="S329" s="52">
        <f t="shared" si="3"/>
        <v>1.3694769999999998</v>
      </c>
      <c r="U329" s="52">
        <f>HLOOKUP(Calculations!$E$1,'Household Exp'!$D$3:$BM$25,$B329)</f>
        <v>3.7094587368715041E-5</v>
      </c>
    </row>
  </sheetData>
  <sheetProtection algorithmName="SHA-512" hashValue="4gJswrwnAlEfvONn5S24RzFTRjVlAq+fhVCgZRnubqhHCxYoWkb5NS9mPHNbS2YYL2149fVyzrW5qq11jLTjCA==" saltValue="7GSN0gZs+5RYV+xup6PLlg==" spinCount="100000" sheet="1" objects="1" scenarios="1"/>
  <customSheetViews>
    <customSheetView guid="{55B80D82-F000-11D6-8735-C8E5A357943D}" showRuler="0" topLeftCell="A13">
      <selection activeCell="A19" sqref="A19"/>
      <pageMargins left="0" right="0" top="0" bottom="0" header="0" footer="0"/>
      <pageSetup orientation="portrait" horizontalDpi="0" verticalDpi="0" copies="0" r:id="rId1"/>
      <headerFooter alignWithMargins="0"/>
    </customSheetView>
  </customSheetViews>
  <phoneticPr fontId="0" type="noConversion"/>
  <pageMargins left="0.75" right="0.75" top="1" bottom="1" header="0.5" footer="0.5"/>
  <pageSetup orientation="portrait" horizontalDpi="4294967293" verticalDpi="300" r:id="rId2"/>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1F4BB249A85B5468C0DC88F9CF05F72" ma:contentTypeVersion="16" ma:contentTypeDescription="Create a new document." ma:contentTypeScope="" ma:versionID="13551b12b4bcddb44b089a8ba27273b2">
  <xsd:schema xmlns:xsd="http://www.w3.org/2001/XMLSchema" xmlns:xs="http://www.w3.org/2001/XMLSchema" xmlns:p="http://schemas.microsoft.com/office/2006/metadata/properties" xmlns:ns2="351b36b7-24b7-4d84-9b03-1d852144fad3" xmlns:ns3="84fcc3d4-a868-4b4a-869f-9b2910028862" targetNamespace="http://schemas.microsoft.com/office/2006/metadata/properties" ma:root="true" ma:fieldsID="78e1721fbca9f4b1adf5233dfa7fb0d6" ns2:_="" ns3:_="">
    <xsd:import namespace="351b36b7-24b7-4d84-9b03-1d852144fad3"/>
    <xsd:import namespace="84fcc3d4-a868-4b4a-869f-9b291002886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51b36b7-24b7-4d84-9b03-1d852144fa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834da80-57da-4863-8816-2e6886d1e860"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4fcc3d4-a868-4b4a-869f-9b2910028862"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b11cdbe8-197c-4e94-89d6-5f92d5e6ca5e}" ma:internalName="TaxCatchAll" ma:showField="CatchAllData" ma:web="84fcc3d4-a868-4b4a-869f-9b291002886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84fcc3d4-a868-4b4a-869f-9b2910028862"/>
    <lcf76f155ced4ddcb4097134ff3c332f xmlns="351b36b7-24b7-4d84-9b03-1d852144fad3">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D5D90E1-6909-4CC3-AB8E-C9D5BC3BC5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51b36b7-24b7-4d84-9b03-1d852144fad3"/>
    <ds:schemaRef ds:uri="84fcc3d4-a868-4b4a-869f-9b291002886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1891ECB-CAF4-4DED-92B0-B383C94A7B9F}">
  <ds:schemaRefs>
    <ds:schemaRef ds:uri="http://schemas.microsoft.com/office/2006/metadata/properties"/>
    <ds:schemaRef ds:uri="http://schemas.microsoft.com/office/infopath/2007/PartnerControls"/>
    <ds:schemaRef ds:uri="84fcc3d4-a868-4b4a-869f-9b2910028862"/>
    <ds:schemaRef ds:uri="351b36b7-24b7-4d84-9b03-1d852144fad3"/>
  </ds:schemaRefs>
</ds:datastoreItem>
</file>

<file path=customXml/itemProps3.xml><?xml version="1.0" encoding="utf-8"?>
<ds:datastoreItem xmlns:ds="http://schemas.openxmlformats.org/officeDocument/2006/customXml" ds:itemID="{B59F0FB6-3E4A-461E-8302-278786DD447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23</vt:i4>
      </vt:variant>
    </vt:vector>
  </HeadingPairs>
  <TitlesOfParts>
    <vt:vector size="35" baseType="lpstr">
      <vt:lpstr>Revision Notes</vt:lpstr>
      <vt:lpstr>About JEDI</vt:lpstr>
      <vt:lpstr>FAQ</vt:lpstr>
      <vt:lpstr>Start</vt:lpstr>
      <vt:lpstr>ProjectData</vt:lpstr>
      <vt:lpstr>SummaryResults</vt:lpstr>
      <vt:lpstr>User Add-in Location</vt:lpstr>
      <vt:lpstr>DefaultData</vt:lpstr>
      <vt:lpstr>Calculations</vt:lpstr>
      <vt:lpstr>Deflators</vt:lpstr>
      <vt:lpstr>Household Exp</vt:lpstr>
      <vt:lpstr>Multipliers</vt:lpstr>
      <vt:lpstr>Detailed_Project_Data_Costs</vt:lpstr>
      <vt:lpstr>Detailed_Wind_Plant_Project_Data_Costs</vt:lpstr>
      <vt:lpstr>Location</vt:lpstr>
      <vt:lpstr>Material</vt:lpstr>
      <vt:lpstr>Other_Parameters</vt:lpstr>
      <vt:lpstr>Calculations!Print_Area</vt:lpstr>
      <vt:lpstr>ProjectData!Print_Area</vt:lpstr>
      <vt:lpstr>SummaryResults!Print_Area</vt:lpstr>
      <vt:lpstr>Print_Results</vt:lpstr>
      <vt:lpstr>Project_Cost_Data</vt:lpstr>
      <vt:lpstr>Project_Data</vt:lpstr>
      <vt:lpstr>ProjectConstCostData</vt:lpstr>
      <vt:lpstr>ProjectData</vt:lpstr>
      <vt:lpstr>ProjectOandMData</vt:lpstr>
      <vt:lpstr>Summary_Impacts</vt:lpstr>
      <vt:lpstr>Summary_Results</vt:lpstr>
      <vt:lpstr>SysApp</vt:lpstr>
      <vt:lpstr>Tracking</vt:lpstr>
      <vt:lpstr>Wind_Plant_Annual_OandM_Costs</vt:lpstr>
      <vt:lpstr>Wind_Plant_Annual_Operating_and_Maintenance_Costs</vt:lpstr>
      <vt:lpstr>Year</vt:lpstr>
      <vt:lpstr>Years</vt:lpstr>
      <vt:lpstr>YN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JEDI PV</dc:title>
  <dc:subject>Solar Power, Photovoltaics</dc:subject>
  <dc:creator>Marshall Goldberg, MRG &amp; Associates</dc:creator>
  <cp:keywords>Solar, PV, Photovoltaics, Electricity</cp:keywords>
  <dc:description/>
  <cp:lastModifiedBy>Francesco Lovat</cp:lastModifiedBy>
  <cp:revision/>
  <dcterms:created xsi:type="dcterms:W3CDTF">2011-07-16T22:19:14Z</dcterms:created>
  <dcterms:modified xsi:type="dcterms:W3CDTF">2026-10-16T13:10:59Z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0x010100D1F4BB249A85B5468C0DC88F9CF05F72</vt:lpwstr>
  </property>
</Properties>
</file>