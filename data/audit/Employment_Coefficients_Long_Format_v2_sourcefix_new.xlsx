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63270\Desktop\"/>
    </mc:Choice>
  </mc:AlternateContent>
  <xr:revisionPtr revIDLastSave="0" documentId="8_{89813EB5-F200-4F27-B4EB-8322E9494CB5}" xr6:coauthVersionLast="47" xr6:coauthVersionMax="47" xr10:uidLastSave="{00000000-0000-0000-0000-000000000000}"/>
  <bookViews>
    <workbookView xWindow="-90" yWindow="-90" windowWidth="19380" windowHeight="11460" xr2:uid="{C8340EC4-BD15-44A0-A42F-B8FBBD08B070}"/>
  </bookViews>
  <sheets>
    <sheet name="Employment_Coefficients_Long_Fo" sheetId="1" r:id="rId1"/>
    <sheet name="Cons&amp;Manu" sheetId="5" r:id="rId2"/>
    <sheet name="Cons&amp;Manu_old" sheetId="3" r:id="rId3"/>
    <sheet name="Cons&amp;Manu_data_old" sheetId="4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1BC9BB-8572-4A3B-9A81-A558A869DCDE}" keepAlive="1" name="Query - aaa" description="Connection to the 'aaa' query in the workbook." type="5" refreshedVersion="0" background="1">
    <dbPr connection="Provider=Microsoft.Mashup.OleDb.1;Data Source=$Workbook$;Location=aaa;Extended Properties=&quot;&quot;" command="SELECT * FROM [aaa]"/>
  </connection>
</connections>
</file>

<file path=xl/sharedStrings.xml><?xml version="1.0" encoding="utf-8"?>
<sst xmlns="http://schemas.openxmlformats.org/spreadsheetml/2006/main" count="779" uniqueCount="78">
  <si>
    <t>Technology</t>
  </si>
  <si>
    <t>Factor_Type</t>
  </si>
  <si>
    <t>Source</t>
  </si>
  <si>
    <t>Value</t>
  </si>
  <si>
    <t>Value_Numeric</t>
  </si>
  <si>
    <t>Coal power</t>
  </si>
  <si>
    <t>Construction</t>
  </si>
  <si>
    <t>Rutovitz 2015</t>
  </si>
  <si>
    <t>Manufacturing</t>
  </si>
  <si>
    <t>O&amp;M</t>
  </si>
  <si>
    <t>Fuel</t>
  </si>
  <si>
    <t>15.4 jobs/PJ</t>
  </si>
  <si>
    <t>Rutovitz 2025</t>
  </si>
  <si>
    <t>I-JEDI</t>
  </si>
  <si>
    <t>Notes</t>
  </si>
  <si>
    <t>Coal construction &amp; manufacturing from OECD JEDI model (Rutov 2015, Note 1). Fuel supply from Colombia data (15.4 jobs/PJ, 2,200 tonnes/worker-year). For LA adjustment: multiply OECD factors by 3.3 (2020 multiplier) if needed; these Rut 2015 LA factors already regional.</t>
  </si>
  <si>
    <t>Gas CCGT/OCGT</t>
  </si>
  <si>
    <t>World avg 15.1 jobs/PJ</t>
  </si>
  <si>
    <t>Gas construction &amp; manufacturing from OECD. Fuel supply: world average 15.1 jobs/PJ used (no LA-specific). For LA multiplier: apply 3.3Ã— to OECD if needed.</t>
  </si>
  <si>
    <t>Oil and diesel</t>
  </si>
  <si>
    <t>JEDI-US</t>
  </si>
  <si>
    <t>Oil/diesel: use gas employment factors per Rutovitz 2015 methodology (Table 1, Note Oil and diesel).</t>
  </si>
  <si>
    <t>Nuclear</t>
  </si>
  <si>
    <t>0.001 jobs/GWh final demand</t>
  </si>
  <si>
    <t>Nuclear: Rutovitz 2015 LA-specific from Brazil study (19.6 construct, 1.15 O&amp;M). Rutovitz 2025 does not update nuclear. I-JEDI-US available if needed.</t>
  </si>
  <si>
    <t>Biomass power</t>
  </si>
  <si>
    <t>81.1 jobs/PJ</t>
  </si>
  <si>
    <t>Biomass: Rutovitz 2015 uses OECD construction/O&amp;M but LA-specific fuel supply (81.1 jobs/PJ from Brazilian ABIB). I-JEDI Colombia provides 22.5 construct and 2.4 O&amp;M for 1,000 MW project.</t>
  </si>
  <si>
    <t>Hydro (large)</t>
  </si>
  <si>
    <t>Hydro large: Rutovitz 2015 no LA-specific construction factor available (use OECD 7.4 or apply 3.3Ã— multiplier). Rutovitz 2025 Australia: 7.36 construct, 2.3 O&amp;M; rescale to LA using labour productivity ratio (LA GDP/worker â‰ˆ 0.29Ã— OECD) â†’ multiply by ~3.4 to get LA estimate.</t>
  </si>
  <si>
    <t>Hydro (small)</t>
  </si>
  <si>
    <t>Hydro small: Rutovitz 2015 OECD 15.8 construct, 4.9 O&amp;M; no LA-specific. Apply 3.3Ã— multiplier for LA estimate.</t>
  </si>
  <si>
    <t>Onshore wind</t>
  </si>
  <si>
    <t>Wind onshore: Rutovitz 2015 LA-specific 6.7 construct, 0.6 O&amp;M from Brazil study (Simas &amp; Pacca 2015). Rutovitz 2025 Australia 2.65 construct; rescale to LA by ~3.4 factor â†’ ~9.0 construct estimate. I-JEDI Colombia 7.25 construct aligns better with LA context.</t>
  </si>
  <si>
    <t>Offshore wind</t>
  </si>
  <si>
    <t>Wind offshore: Rutovitz 2015 uses OECD (no LA-specific). Rutovitz 2025 Australia 1.5 construct, 0.28 O&amp;M; rescale by ~3 for LA â†’ ~4.5 construct estimate. Offshore development in Colombia is nascent; use with caution.</t>
  </si>
  <si>
    <t>Utility-scale solar PV</t>
  </si>
  <si>
    <t>Solar PV (utility): Rutovitz 2015 uses OECD 13 construct, 0.7 O&amp;M; no LA-specific. Rutovitz 2025 Australia 1.61 construct â†’ rescale by ~3â€“3.5 for LA â†’ ~5.5 construct (reflects larger modern plants). I-JEDI Colombia 9.97 for 1,000 MW is higher, suggesting finer labour intensity accounting.</t>
  </si>
  <si>
    <t>Rooftop solar PV</t>
  </si>
  <si>
    <t>Solar PV (rooftop): Rutovitz 2015 uses OECD 13 construct. Rutovitz 2025 Australia 4.19 construct; rescale by ~3â€“3.5 for LA â†’ ~14 construct. I-JEDI Colombia has distributed PV module; conversion to rooftop-equivalent needed.</t>
  </si>
  <si>
    <t>Solar thermal (CSP)</t>
  </si>
  <si>
    <t>Solar thermal (CSP): Rutovitz 2015 OECD 8 construct, 0.6 O&amp;M; no LA-specific. Not updated in Rutovitz 2025. Apply 3.3Ã— LA multiplier for estimate. Limited deployed capacity in Colombia.</t>
  </si>
  <si>
    <t>Geothermal</t>
  </si>
  <si>
    <t>Geothermal: Rutovitz 2015 OECD 6.8 construct, 0.4 O&amp;M; no LA-specific. Not updated in Rutovitz 2025. Limited geothermal potential in Colombia; I-JEDI may have estimates via custom region.</t>
  </si>
  <si>
    <t>Ocean</t>
  </si>
  <si>
    <t>Ocean (tidal/wave): Rutovitz 2015 OECD 10.2 construct, 0.6 O&amp;M; no LA-specific. Not updated in Rutovitz 2025. Early-stage technology; very limited Colombian data.</t>
  </si>
  <si>
    <t>Pumped hydro storage</t>
  </si>
  <si>
    <t>Pumped hydro storage (NEW in Rutovitz 2025): Australian data 2023 update. Use construction and O&amp;M factors from Rutovitz 2025 Australia hydro; rescale by ~3â€“3.5Ã— for LA labour intensity.</t>
  </si>
  <si>
    <t>Battery storage (grid)</t>
  </si>
  <si>
    <t>Battery storage (grid-scale, NEW in Rutovitz 2025): Rutovitz 2025 Australia 0.61 construct, 0.04 O&amp;M from 13 projects, 3.3 GW combined, 235 MW average capacity, 3.2 h storage. Rescale by ~3â€“3.5Ã— for LA â†’ ~2.1 construct, 0.14 O&amp;M (initial estimate).</t>
  </si>
  <si>
    <t>Battery storage (distributed)</t>
  </si>
  <si>
    <t>Transmission (single circuit)</t>
  </si>
  <si>
    <t>Transmission (distribution lines): Rutovitz 2025 not yet tabulated per GW; calculated from workforce projections. Estimate ~1â€“2 job-years/km for construction in Australia; rescale by 3â€“3.5Ã— for LA. OSeMOSYS-Colombia may express as jobs/circuit-km.</t>
  </si>
  <si>
    <t>Transmission (double circuit)</t>
  </si>
  <si>
    <t>Transmission (bulk transmission/high-voltage): Rutovitz 2025 Australia shows transmission peak workforce 2,000â€“2,500 in early 2020s under Step Change scenario. Emerging construction factors; recommend model sensitivity on transmission employment. Rescale Australian data by 3â€“3.5Ã— for LA.</t>
  </si>
  <si>
    <t>Transmission (other)</t>
  </si>
  <si>
    <t>Danish QBIS 2020</t>
  </si>
  <si>
    <t>Offshore wind (fixed)</t>
  </si>
  <si>
    <t>French QBIS 2023</t>
  </si>
  <si>
    <t>Offshore wind (floating)</t>
  </si>
  <si>
    <t>Sum of Value_Numeric</t>
  </si>
  <si>
    <t>Column Labels</t>
  </si>
  <si>
    <t>Row Labels</t>
  </si>
  <si>
    <t>Grand Total</t>
  </si>
  <si>
    <t>(Multiple Items)</t>
  </si>
  <si>
    <t>Job_Type</t>
  </si>
  <si>
    <t>Unit</t>
  </si>
  <si>
    <t>Direct</t>
  </si>
  <si>
    <t>job-yr/MW</t>
  </si>
  <si>
    <t>job/MW</t>
  </si>
  <si>
    <t>job/PJ</t>
  </si>
  <si>
    <t>Construction&amp;Manufacturing</t>
  </si>
  <si>
    <t>Indirect</t>
  </si>
  <si>
    <t>Induced</t>
  </si>
  <si>
    <t>job-yr/km</t>
  </si>
  <si>
    <t>job-yr/mile</t>
  </si>
  <si>
    <t>job/mile</t>
  </si>
  <si>
    <t>job-yr/MUSD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</si>
</sst>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[Employment_Coefficients_Long_Format_v2_sourcefix_new.xlsx]Cons&amp;Manu!PivotTable1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'Cons&amp;Manu'!$B$4:$B$5</c:f>
              <c:strCache>
                <c:ptCount val="1"/>
                <c:pt idx="0">
                  <c:v>Danish QBIS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'Cons&amp;Manu'!$A$6:$A$28</c:f>
              <c:strCache>
                <c:ptCount val="22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</c:v>
                </c:pt>
                <c:pt idx="11">
                  <c:v>Offshore wind (fixed)</c:v>
                </c:pt>
                <c:pt idx="12">
                  <c:v>Offshore wind (floating)</c:v>
                </c:pt>
                <c:pt idx="13">
                  <c:v>Oil and diesel</c:v>
                </c:pt>
                <c:pt idx="14">
                  <c:v>Onshore wind</c:v>
                </c:pt>
                <c:pt idx="15">
                  <c:v>Pumped hydro storage</c:v>
                </c:pt>
                <c:pt idx="16">
                  <c:v>Rooftop solar PV</c:v>
                </c:pt>
                <c:pt idx="17">
                  <c:v>Solar thermal (CSP)</c:v>
                </c:pt>
                <c:pt idx="18">
                  <c:v>Transmission (double circuit)</c:v>
                </c:pt>
                <c:pt idx="19">
                  <c:v>Transmission (other)</c:v>
                </c:pt>
                <c:pt idx="20">
                  <c:v>Transmission (single circuit)</c:v>
                </c:pt>
                <c:pt idx="21">
                  <c:v>Utility-scale solar PV</c:v>
                </c:pt>
              </c:strCache>
            </c:strRef>
          </c:cat>
          <c:val>
            <c:numRef>
              <c:f>'Cons&amp;Manu'!$B$6:$B$28</c:f>
              <c:numCache>
                <c:formatCode>General</c:formatCode>
                <c:ptCount val="22"/>
                <c:pt idx="10">
                  <c:v>7.5439999999999996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9-4125-B1C1-F3B681D9FEAA}"/>
            </c:ext>
          </c:extLst>
        </c:ser>
        <c:ser>
          <c:idx val="1"/>
          <c:order val="1"/>
          <c:tx>
            <c:strRef>
              <c:f>'Cons&amp;Manu'!$C$4:$C$5</c:f>
              <c:strCache>
                <c:ptCount val="1"/>
                <c:pt idx="0">
                  <c:v>French QBIS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'Cons&amp;Manu'!$A$6:$A$28</c:f>
              <c:strCache>
                <c:ptCount val="22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</c:v>
                </c:pt>
                <c:pt idx="11">
                  <c:v>Offshore wind (fixed)</c:v>
                </c:pt>
                <c:pt idx="12">
                  <c:v>Offshore wind (floating)</c:v>
                </c:pt>
                <c:pt idx="13">
                  <c:v>Oil and diesel</c:v>
                </c:pt>
                <c:pt idx="14">
                  <c:v>Onshore wind</c:v>
                </c:pt>
                <c:pt idx="15">
                  <c:v>Pumped hydro storage</c:v>
                </c:pt>
                <c:pt idx="16">
                  <c:v>Rooftop solar PV</c:v>
                </c:pt>
                <c:pt idx="17">
                  <c:v>Solar thermal (CSP)</c:v>
                </c:pt>
                <c:pt idx="18">
                  <c:v>Transmission (double circuit)</c:v>
                </c:pt>
                <c:pt idx="19">
                  <c:v>Transmission (other)</c:v>
                </c:pt>
                <c:pt idx="20">
                  <c:v>Transmission (single circuit)</c:v>
                </c:pt>
                <c:pt idx="21">
                  <c:v>Utility-scale solar PV</c:v>
                </c:pt>
              </c:strCache>
            </c:strRef>
          </c:cat>
          <c:val>
            <c:numRef>
              <c:f>'Cons&amp;Manu'!$C$6:$C$28</c:f>
              <c:numCache>
                <c:formatCode>General</c:formatCode>
                <c:ptCount val="22"/>
                <c:pt idx="11">
                  <c:v>6.81</c:v>
                </c:pt>
                <c:pt idx="12">
                  <c:v>14.71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9-4125-B1C1-F3B681D9FEAA}"/>
            </c:ext>
          </c:extLst>
        </c:ser>
        <c:ser>
          <c:idx val="2"/>
          <c:order val="2"/>
          <c:tx>
            <c:strRef>
              <c:f>'Cons&amp;Manu'!$D$4:$D$5</c:f>
              <c:strCache>
                <c:ptCount val="1"/>
                <c:pt idx="0">
                  <c:v>I-JEDI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'Cons&amp;Manu'!$A$6:$A$28</c:f>
              <c:strCache>
                <c:ptCount val="22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</c:v>
                </c:pt>
                <c:pt idx="11">
                  <c:v>Offshore wind (fixed)</c:v>
                </c:pt>
                <c:pt idx="12">
                  <c:v>Offshore wind (floating)</c:v>
                </c:pt>
                <c:pt idx="13">
                  <c:v>Oil and diesel</c:v>
                </c:pt>
                <c:pt idx="14">
                  <c:v>Onshore wind</c:v>
                </c:pt>
                <c:pt idx="15">
                  <c:v>Pumped hydro storage</c:v>
                </c:pt>
                <c:pt idx="16">
                  <c:v>Rooftop solar PV</c:v>
                </c:pt>
                <c:pt idx="17">
                  <c:v>Solar thermal (CSP)</c:v>
                </c:pt>
                <c:pt idx="18">
                  <c:v>Transmission (double circuit)</c:v>
                </c:pt>
                <c:pt idx="19">
                  <c:v>Transmission (other)</c:v>
                </c:pt>
                <c:pt idx="20">
                  <c:v>Transmission (single circuit)</c:v>
                </c:pt>
                <c:pt idx="21">
                  <c:v>Utility-scale solar PV</c:v>
                </c:pt>
              </c:strCache>
            </c:strRef>
          </c:cat>
          <c:val>
            <c:numRef>
              <c:f>'Cons&amp;Manu'!$D$6:$D$28</c:f>
              <c:numCache>
                <c:formatCode>General</c:formatCode>
                <c:ptCount val="22"/>
                <c:pt idx="2">
                  <c:v>22.523</c:v>
                </c:pt>
                <c:pt idx="3">
                  <c:v>9.61</c:v>
                </c:pt>
                <c:pt idx="5">
                  <c:v>5.0869999999999997</c:v>
                </c:pt>
                <c:pt idx="14">
                  <c:v>7.2469999999999999</c:v>
                </c:pt>
                <c:pt idx="21">
                  <c:v>9.9700000000000006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1-4B9F-93CA-8CC46487BF08}"/>
            </c:ext>
          </c:extLst>
        </c:ser>
        <c:ser>
          <c:idx val="3"/>
          <c:order val="3"/>
          <c:tx>
            <c:strRef>
              <c:f>'Cons&amp;Manu'!$E$4:$E$5</c:f>
              <c:strCache>
                <c:ptCount val="1"/>
                <c:pt idx="0">
                  <c:v>Rutovitz 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'Cons&amp;Manu'!$A$6:$A$28</c:f>
              <c:strCache>
                <c:ptCount val="22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</c:v>
                </c:pt>
                <c:pt idx="11">
                  <c:v>Offshore wind (fixed)</c:v>
                </c:pt>
                <c:pt idx="12">
                  <c:v>Offshore wind (floating)</c:v>
                </c:pt>
                <c:pt idx="13">
                  <c:v>Oil and diesel</c:v>
                </c:pt>
                <c:pt idx="14">
                  <c:v>Onshore wind</c:v>
                </c:pt>
                <c:pt idx="15">
                  <c:v>Pumped hydro storage</c:v>
                </c:pt>
                <c:pt idx="16">
                  <c:v>Rooftop solar PV</c:v>
                </c:pt>
                <c:pt idx="17">
                  <c:v>Solar thermal (CSP)</c:v>
                </c:pt>
                <c:pt idx="18">
                  <c:v>Transmission (double circuit)</c:v>
                </c:pt>
                <c:pt idx="19">
                  <c:v>Transmission (other)</c:v>
                </c:pt>
                <c:pt idx="20">
                  <c:v>Transmission (single circuit)</c:v>
                </c:pt>
                <c:pt idx="21">
                  <c:v>Utility-scale solar PV</c:v>
                </c:pt>
              </c:strCache>
            </c:strRef>
          </c:cat>
          <c:val>
            <c:numRef>
              <c:f>'Cons&amp;Manu'!$E$6:$E$28</c:f>
              <c:numCache>
                <c:formatCode>General</c:formatCode>
                <c:ptCount val="22"/>
                <c:pt idx="2">
                  <c:v>16.899999999999999</c:v>
                </c:pt>
                <c:pt idx="3">
                  <c:v>16.600000000000001</c:v>
                </c:pt>
                <c:pt idx="4">
                  <c:v>2.23</c:v>
                </c:pt>
                <c:pt idx="5">
                  <c:v>10.7</c:v>
                </c:pt>
                <c:pt idx="6">
                  <c:v>10.9</c:v>
                </c:pt>
                <c:pt idx="7">
                  <c:v>26.700000000000003</c:v>
                </c:pt>
                <c:pt idx="8">
                  <c:v>20.900000000000002</c:v>
                </c:pt>
                <c:pt idx="9">
                  <c:v>20.399999999999999</c:v>
                </c:pt>
                <c:pt idx="10">
                  <c:v>23.6</c:v>
                </c:pt>
                <c:pt idx="13">
                  <c:v>2.23</c:v>
                </c:pt>
                <c:pt idx="14">
                  <c:v>10.1</c:v>
                </c:pt>
                <c:pt idx="17">
                  <c:v>12</c:v>
                </c:pt>
                <c:pt idx="21">
                  <c:v>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1-4B9F-93CA-8CC46487BF08}"/>
            </c:ext>
          </c:extLst>
        </c:ser>
        <c:ser>
          <c:idx val="4"/>
          <c:order val="4"/>
          <c:tx>
            <c:strRef>
              <c:f>'Cons&amp;Manu'!$F$4:$F$5</c:f>
              <c:strCache>
                <c:ptCount val="1"/>
                <c:pt idx="0">
                  <c:v>Rutovitz 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'Cons&amp;Manu'!$A$6:$A$28</c:f>
              <c:strCache>
                <c:ptCount val="22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</c:v>
                </c:pt>
                <c:pt idx="11">
                  <c:v>Offshore wind (fixed)</c:v>
                </c:pt>
                <c:pt idx="12">
                  <c:v>Offshore wind (floating)</c:v>
                </c:pt>
                <c:pt idx="13">
                  <c:v>Oil and diesel</c:v>
                </c:pt>
                <c:pt idx="14">
                  <c:v>Onshore wind</c:v>
                </c:pt>
                <c:pt idx="15">
                  <c:v>Pumped hydro storage</c:v>
                </c:pt>
                <c:pt idx="16">
                  <c:v>Rooftop solar PV</c:v>
                </c:pt>
                <c:pt idx="17">
                  <c:v>Solar thermal (CSP)</c:v>
                </c:pt>
                <c:pt idx="18">
                  <c:v>Transmission (double circuit)</c:v>
                </c:pt>
                <c:pt idx="19">
                  <c:v>Transmission (other)</c:v>
                </c:pt>
                <c:pt idx="20">
                  <c:v>Transmission (single circuit)</c:v>
                </c:pt>
                <c:pt idx="21">
                  <c:v>Utility-scale solar PV</c:v>
                </c:pt>
              </c:strCache>
            </c:strRef>
          </c:cat>
          <c:val>
            <c:numRef>
              <c:f>'Cons&amp;Manu'!$F$6:$F$28</c:f>
              <c:numCache>
                <c:formatCode>General</c:formatCode>
                <c:ptCount val="22"/>
                <c:pt idx="0">
                  <c:v>4.75</c:v>
                </c:pt>
                <c:pt idx="1">
                  <c:v>0.84000000000000008</c:v>
                </c:pt>
                <c:pt idx="3">
                  <c:v>16.490000000000002</c:v>
                </c:pt>
                <c:pt idx="4">
                  <c:v>9.66</c:v>
                </c:pt>
                <c:pt idx="10">
                  <c:v>15.18</c:v>
                </c:pt>
                <c:pt idx="14">
                  <c:v>4.1899999999999995</c:v>
                </c:pt>
                <c:pt idx="15">
                  <c:v>13.58</c:v>
                </c:pt>
                <c:pt idx="16">
                  <c:v>7.0500000000000007</c:v>
                </c:pt>
                <c:pt idx="18">
                  <c:v>3.7</c:v>
                </c:pt>
                <c:pt idx="19">
                  <c:v>1.9</c:v>
                </c:pt>
                <c:pt idx="20">
                  <c:v>0.7</c:v>
                </c:pt>
                <c:pt idx="21">
                  <c:v>4.6900000000000004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1-4B9F-93CA-8CC46487BF08}"/>
            </c:ext>
          </c:extLst>
        </c:ser>
        <c:ser>
          <c:idx val="5"/>
          <c:order val="5"/>
          <c:tx>
            <c:strRef>
              <c:f>'Cons&amp;Manu'!$G$4:$G$5</c:f>
              <c:strCache>
                <c:ptCount val="1"/>
                <c:pt idx="0">
                  <c:v>JEDI-US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'Cons&amp;Manu'!$A$6:$A$28</c:f>
              <c:strCache>
                <c:ptCount val="22"/>
                <c:pt idx="0">
                  <c:v>Battery storage (distributed)</c:v>
                </c:pt>
                <c:pt idx="1">
                  <c:v>Battery storage (grid)</c:v>
                </c:pt>
                <c:pt idx="2">
                  <c:v>Biomass power</c:v>
                </c:pt>
                <c:pt idx="3">
                  <c:v>Coal power</c:v>
                </c:pt>
                <c:pt idx="4">
                  <c:v>Gas CCGT/OCGT</c:v>
                </c:pt>
                <c:pt idx="5">
                  <c:v>Geothermal</c:v>
                </c:pt>
                <c:pt idx="6">
                  <c:v>Hydro (large)</c:v>
                </c:pt>
                <c:pt idx="7">
                  <c:v>Hydro (small)</c:v>
                </c:pt>
                <c:pt idx="8">
                  <c:v>Nuclear</c:v>
                </c:pt>
                <c:pt idx="9">
                  <c:v>Ocean</c:v>
                </c:pt>
                <c:pt idx="10">
                  <c:v>Offshore wind</c:v>
                </c:pt>
                <c:pt idx="11">
                  <c:v>Offshore wind (fixed)</c:v>
                </c:pt>
                <c:pt idx="12">
                  <c:v>Offshore wind (floating)</c:v>
                </c:pt>
                <c:pt idx="13">
                  <c:v>Oil and diesel</c:v>
                </c:pt>
                <c:pt idx="14">
                  <c:v>Onshore wind</c:v>
                </c:pt>
                <c:pt idx="15">
                  <c:v>Pumped hydro storage</c:v>
                </c:pt>
                <c:pt idx="16">
                  <c:v>Rooftop solar PV</c:v>
                </c:pt>
                <c:pt idx="17">
                  <c:v>Solar thermal (CSP)</c:v>
                </c:pt>
                <c:pt idx="18">
                  <c:v>Transmission (double circuit)</c:v>
                </c:pt>
                <c:pt idx="19">
                  <c:v>Transmission (other)</c:v>
                </c:pt>
                <c:pt idx="20">
                  <c:v>Transmission (single circuit)</c:v>
                </c:pt>
                <c:pt idx="21">
                  <c:v>Utility-scale solar PV</c:v>
                </c:pt>
              </c:strCache>
            </c:strRef>
          </c:cat>
          <c:val>
            <c:numRef>
              <c:f>'Cons&amp;Manu'!$G$6:$G$28</c:f>
              <c:numCache>
                <c:formatCode>General</c:formatCode>
                <c:ptCount val="22"/>
                <c:pt idx="4">
                  <c:v>2.528</c:v>
                </c:pt>
                <c:pt idx="20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1-4B9F-93CA-8CC46487B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087344"/>
        <c:axId val="2070087824"/>
      </c:barChart>
      <c:catAx>
        <c:axId val="207008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87824"/>
        <c:crosses val="autoZero"/>
        <c:auto val="1"/>
        <c:lblAlgn val="ctr"/>
        <c:lblOffset val="100"/>
        <c:noMultiLvlLbl val="0"/>
      </c:catAx>
      <c:valAx>
        <c:axId val="207008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8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I-JEDI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22.523</c:v>
              </c:pt>
              <c:pt idx="3">
                <c:v>9.61</c:v>
              </c:pt>
              <c:pt idx="4">
                <c:v>2.528</c:v>
              </c:pt>
              <c:pt idx="5">
                <c:v>5.0869999999999997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7.2469999999999999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0.12</c:v>
              </c:pt>
              <c:pt idx="21">
                <c:v>9.9700000000000006</c:v>
              </c:pt>
            </c:numLit>
          </c:val>
          <c:extLst>
            <c:ext xmlns:c16="http://schemas.microsoft.com/office/drawing/2014/chart" uri="{C3380CC4-5D6E-409C-BE32-E72D297353CC}">
              <c16:uniqueId val="{00000000-AD71-4390-960A-86A38062297D}"/>
            </c:ext>
          </c:extLst>
        </c:ser>
        <c:ser>
          <c:idx val="1"/>
          <c:order val="1"/>
          <c:tx>
            <c:v>Rutovitz 2015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16.899999999999999</c:v>
              </c:pt>
              <c:pt idx="3">
                <c:v>16.600000000000001</c:v>
              </c:pt>
              <c:pt idx="4">
                <c:v>2.23</c:v>
              </c:pt>
              <c:pt idx="5">
                <c:v>10.7</c:v>
              </c:pt>
              <c:pt idx="6">
                <c:v>10.9</c:v>
              </c:pt>
              <c:pt idx="7">
                <c:v>26.700000000000003</c:v>
              </c:pt>
              <c:pt idx="8">
                <c:v>20.900000000000002</c:v>
              </c:pt>
              <c:pt idx="9">
                <c:v>20.399999999999999</c:v>
              </c:pt>
              <c:pt idx="10">
                <c:v>23.6</c:v>
              </c:pt>
              <c:pt idx="11">
                <c:v>0</c:v>
              </c:pt>
              <c:pt idx="12">
                <c:v>0</c:v>
              </c:pt>
              <c:pt idx="13">
                <c:v>2.23</c:v>
              </c:pt>
              <c:pt idx="14">
                <c:v>10.1</c:v>
              </c:pt>
              <c:pt idx="15">
                <c:v>0</c:v>
              </c:pt>
              <c:pt idx="16">
                <c:v>0</c:v>
              </c:pt>
              <c:pt idx="17">
                <c:v>12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19.7</c:v>
              </c:pt>
            </c:numLit>
          </c:val>
          <c:extLst>
            <c:ext xmlns:c16="http://schemas.microsoft.com/office/drawing/2014/chart" uri="{C3380CC4-5D6E-409C-BE32-E72D297353CC}">
              <c16:uniqueId val="{00000001-AD71-4390-960A-86A38062297D}"/>
            </c:ext>
          </c:extLst>
        </c:ser>
        <c:ser>
          <c:idx val="2"/>
          <c:order val="2"/>
          <c:tx>
            <c:v>Rutovitz 2025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4.75</c:v>
              </c:pt>
              <c:pt idx="1">
                <c:v>0.84000000000000008</c:v>
              </c:pt>
              <c:pt idx="2">
                <c:v>0</c:v>
              </c:pt>
              <c:pt idx="3">
                <c:v>16.490000000000002</c:v>
              </c:pt>
              <c:pt idx="4">
                <c:v>2.19</c:v>
              </c:pt>
              <c:pt idx="5">
                <c:v>0</c:v>
              </c:pt>
              <c:pt idx="6">
                <c:v>9.66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15.18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4.1899999999999995</c:v>
              </c:pt>
              <c:pt idx="15">
                <c:v>13.58</c:v>
              </c:pt>
              <c:pt idx="16">
                <c:v>7.0500000000000007</c:v>
              </c:pt>
              <c:pt idx="17">
                <c:v>0</c:v>
              </c:pt>
              <c:pt idx="18">
                <c:v>3.7</c:v>
              </c:pt>
              <c:pt idx="19">
                <c:v>1.9</c:v>
              </c:pt>
              <c:pt idx="20">
                <c:v>0.7</c:v>
              </c:pt>
              <c:pt idx="21">
                <c:v>4.6900000000000004</c:v>
              </c:pt>
            </c:numLit>
          </c:val>
          <c:extLst>
            <c:ext xmlns:c16="http://schemas.microsoft.com/office/drawing/2014/chart" uri="{C3380CC4-5D6E-409C-BE32-E72D297353CC}">
              <c16:uniqueId val="{00000002-AD71-4390-960A-86A38062297D}"/>
            </c:ext>
          </c:extLst>
        </c:ser>
        <c:ser>
          <c:idx val="3"/>
          <c:order val="3"/>
          <c:tx>
            <c:v>Danish QBIS 2020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7.5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AD71-4390-960A-86A38062297D}"/>
            </c:ext>
          </c:extLst>
        </c:ser>
        <c:ser>
          <c:idx val="4"/>
          <c:order val="4"/>
          <c:tx>
            <c:v>French QBIS 2023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2"/>
              <c:pt idx="0">
                <c:v>Battery storage (distributed)</c:v>
              </c:pt>
              <c:pt idx="1">
                <c:v>Battery storage (grid)</c:v>
              </c:pt>
              <c:pt idx="2">
                <c:v>Biomass power</c:v>
              </c:pt>
              <c:pt idx="3">
                <c:v>Coal power</c:v>
              </c:pt>
              <c:pt idx="4">
                <c:v>Gas CCGT/OCGT</c:v>
              </c:pt>
              <c:pt idx="5">
                <c:v>Geothermal</c:v>
              </c:pt>
              <c:pt idx="6">
                <c:v>Hydro (large)</c:v>
              </c:pt>
              <c:pt idx="7">
                <c:v>Hydro (small)</c:v>
              </c:pt>
              <c:pt idx="8">
                <c:v>Nuclear</c:v>
              </c:pt>
              <c:pt idx="9">
                <c:v>Ocean</c:v>
              </c:pt>
              <c:pt idx="10">
                <c:v>Offshore wind</c:v>
              </c:pt>
              <c:pt idx="11">
                <c:v>Offshore wind (fixed)</c:v>
              </c:pt>
              <c:pt idx="12">
                <c:v>Offshore wind (floating)</c:v>
              </c:pt>
              <c:pt idx="13">
                <c:v>Oil and diesel</c:v>
              </c:pt>
              <c:pt idx="14">
                <c:v>Onshore wind</c:v>
              </c:pt>
              <c:pt idx="15">
                <c:v>Pumped hydro storage</c:v>
              </c:pt>
              <c:pt idx="16">
                <c:v>Rooftop solar PV</c:v>
              </c:pt>
              <c:pt idx="17">
                <c:v>Solar thermal (CSP)</c:v>
              </c:pt>
              <c:pt idx="18">
                <c:v>Transmission (double circuit)</c:v>
              </c:pt>
              <c:pt idx="19">
                <c:v>Transmission (other)</c:v>
              </c:pt>
              <c:pt idx="20">
                <c:v>Transmission (single circuit)</c:v>
              </c:pt>
              <c:pt idx="21">
                <c:v>Utility-scale solar PV</c:v>
              </c:pt>
            </c:strLit>
          </c:cat>
          <c:val>
            <c:numLit>
              <c:formatCode>General</c:formatCode>
              <c:ptCount val="2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6.81</c:v>
              </c:pt>
              <c:pt idx="12">
                <c:v>14.71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AD71-4390-960A-86A38062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996704"/>
        <c:axId val="1037864640"/>
      </c:barChart>
      <c:catAx>
        <c:axId val="10329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64640"/>
        <c:crosses val="autoZero"/>
        <c:auto val="1"/>
        <c:lblAlgn val="ctr"/>
        <c:lblOffset val="100"/>
        <c:noMultiLvlLbl val="0"/>
      </c:catAx>
      <c:valAx>
        <c:axId val="1037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dirty="0"/>
                  <a:t>Construction</a:t>
                </a:r>
                <a:r>
                  <a:rPr lang="en-GB" baseline="0" dirty="0"/>
                  <a:t> &amp; Manufacturing </a:t>
                </a:r>
                <a:br>
                  <a:rPr lang="en-GB" baseline="0" dirty="0"/>
                </a:br>
                <a:r>
                  <a:rPr lang="en-GB" baseline="0" dirty="0"/>
                  <a:t>(FTE-</a:t>
                </a:r>
                <a:r>
                  <a:rPr lang="en-GB" baseline="0" dirty="0" err="1"/>
                  <a:t>año</a:t>
                </a:r>
                <a:r>
                  <a:rPr lang="en-GB" baseline="0" dirty="0"/>
                  <a:t>/MW)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99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772795</xdr:colOff>
      <xdr:row>8</xdr:row>
      <xdr:rowOff>56515</xdr:rowOff>
    </xdr:from>
    <xdr:to>
      <xdr:col>22</xdr:col>
      <xdr:colOff>295910</xdr:colOff>
      <xdr:row>23</xdr:row>
      <xdr:rowOff>43180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DFAB1-181B-91A7-D7BF-85382EE9C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</xdr:row>
      <xdr:rowOff>133350</xdr:rowOff>
    </xdr:from>
    <xdr:to>
      <xdr:col>19</xdr:col>
      <xdr:colOff>356418</xdr:colOff>
      <xdr:row>16</xdr:row>
      <xdr:rowOff>178439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57E8E-95ED-9193-B892-EEBD4CE21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Michele Lovat Arranz" refreshedDate="46134.595685879627" createdVersion="8" refreshedVersion="8" minRefreshableVersion="3" recordCount="146" xr:uid="{2AF48B2E-6CB4-4560-8753-F33C04CAD440}">
  <cacheSource type="worksheet">
    <worksheetSource ref="A1:G147" sheet="Employment_Coefficients_Long_Fo"/>
  </cacheSource>
  <cacheFields count="7">
    <cacheField name="Source" numFmtId="0">
      <sharedItems count="7">
        <s v="Rutovitz 2015"/>
        <s v="Rutovitz 2025"/>
        <s v="I-JEDI"/>
        <s v="Notes"/>
        <s v="JEDI-US"/>
        <s v="Danish QBIS 2020"/>
        <s v="French QBIS 2023"/>
      </sharedItems>
    </cacheField>
    <cacheField name="Technology" numFmtId="0">
      <sharedItems count="22">
        <s v="Coal power"/>
        <s v="Gas CCGT/OCGT"/>
        <s v="Oil and diesel"/>
        <s v="Nuclear"/>
        <s v="Biomass power"/>
        <s v="Hydro (large)"/>
        <s v="Hydro (small)"/>
        <s v="Onshore wind"/>
        <s v="Offshore wind"/>
        <s v="Utility-scale solar PV"/>
        <s v="Rooftop solar PV"/>
        <s v="Solar thermal (CSP)"/>
        <s v="Geothermal"/>
        <s v="Ocean"/>
        <s v="Pumped hydro storage"/>
        <s v="Battery storage (grid)"/>
        <s v="Battery storage (distributed)"/>
        <s v="Transmission (single circuit)"/>
        <s v="Transmission (double circuit)"/>
        <s v="Transmission (other)"/>
        <s v="Offshore wind (fixed)"/>
        <s v="Offshore wind (floating)"/>
      </sharedItems>
    </cacheField>
    <cacheField name="Factor_Type" numFmtId="0">
      <sharedItems containsBlank="1" count="6">
        <s v="Construction"/>
        <s v="Manufacturing"/>
        <s v="O&amp;M"/>
        <s v="Fuel"/>
        <s v="Construction&amp;Manufacturing"/>
        <m/>
      </sharedItems>
    </cacheField>
    <cacheField name="Job_Type" numFmtId="0">
      <sharedItems containsBlank="1" count="5">
        <s v="Direct"/>
        <s v="Fuel"/>
        <s v="Indirect"/>
        <s v="Induced"/>
        <m/>
      </sharedItems>
    </cacheField>
    <cacheField name="Unit" numFmtId="0">
      <sharedItems containsBlank="1"/>
    </cacheField>
    <cacheField name="Value" numFmtId="0">
      <sharedItems containsMixedTypes="1" containsNumber="1" minValue="0" maxValue="9328" longText="1"/>
    </cacheField>
    <cacheField name="Value_Numeric" numFmtId="0">
      <sharedItems containsString="0" containsBlank="1" containsNumber="1" minValue="0" maxValue="81.09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x v="0"/>
    <x v="0"/>
    <x v="0"/>
    <s v="job-yr/MW"/>
    <n v="11.2"/>
    <n v="11.2"/>
  </r>
  <r>
    <x v="0"/>
    <x v="0"/>
    <x v="1"/>
    <x v="0"/>
    <s v="job-yr/MW"/>
    <n v="5.4"/>
    <n v="5.4"/>
  </r>
  <r>
    <x v="0"/>
    <x v="0"/>
    <x v="2"/>
    <x v="0"/>
    <s v="job/MW"/>
    <n v="0.14000000000000001"/>
    <n v="0.14000000000000001"/>
  </r>
  <r>
    <x v="0"/>
    <x v="0"/>
    <x v="3"/>
    <x v="1"/>
    <s v="job/PJ"/>
    <s v="15.4 jobs/PJ"/>
    <n v="15.4"/>
  </r>
  <r>
    <x v="1"/>
    <x v="0"/>
    <x v="0"/>
    <x v="0"/>
    <s v="job-yr/MW"/>
    <n v="11.08"/>
    <n v="11.08"/>
  </r>
  <r>
    <x v="1"/>
    <x v="0"/>
    <x v="1"/>
    <x v="0"/>
    <s v="job-yr/MW"/>
    <n v="5.41"/>
    <n v="5.41"/>
  </r>
  <r>
    <x v="1"/>
    <x v="0"/>
    <x v="2"/>
    <x v="0"/>
    <s v="job/MW"/>
    <n v="0.22"/>
    <n v="0.22"/>
  </r>
  <r>
    <x v="2"/>
    <x v="0"/>
    <x v="4"/>
    <x v="0"/>
    <s v="job-yr/MW"/>
    <n v="9.61"/>
    <n v="9.61"/>
  </r>
  <r>
    <x v="2"/>
    <x v="0"/>
    <x v="2"/>
    <x v="0"/>
    <s v="job/MW"/>
    <n v="0.14299999999999999"/>
    <n v="0.14299999999999999"/>
  </r>
  <r>
    <x v="2"/>
    <x v="0"/>
    <x v="4"/>
    <x v="2"/>
    <s v="job-yr/MW"/>
    <n v="12.231999999999999"/>
    <n v="12.231999999999999"/>
  </r>
  <r>
    <x v="2"/>
    <x v="0"/>
    <x v="2"/>
    <x v="2"/>
    <s v="job/MW"/>
    <n v="0.78900000000000003"/>
    <n v="0.78900000000000003"/>
  </r>
  <r>
    <x v="2"/>
    <x v="0"/>
    <x v="4"/>
    <x v="3"/>
    <s v="job-yr/MW"/>
    <n v="11.301"/>
    <n v="11.301"/>
  </r>
  <r>
    <x v="2"/>
    <x v="0"/>
    <x v="2"/>
    <x v="3"/>
    <s v="job/MW"/>
    <n v="0.56100000000000005"/>
    <n v="0.56100000000000005"/>
  </r>
  <r>
    <x v="3"/>
    <x v="0"/>
    <x v="5"/>
    <x v="4"/>
    <m/>
    <s v="Coal construction &amp; manufacturing from OECD JEDI model (Rutov 2015, Note 1). Fuel supply from Colombia data (15.4 jobs/PJ, 2,200 tonnes/worker-year). For LA adjustment: multiply OECD factors by 3.3 (2020 multiplier) if needed; these Rut 2015 LA factors already regional."/>
    <m/>
  </r>
  <r>
    <x v="0"/>
    <x v="1"/>
    <x v="0"/>
    <x v="0"/>
    <s v="job-yr/MW"/>
    <n v="1.3"/>
    <n v="1.3"/>
  </r>
  <r>
    <x v="0"/>
    <x v="1"/>
    <x v="1"/>
    <x v="0"/>
    <s v="job-yr/MW"/>
    <n v="0.93"/>
    <n v="0.93"/>
  </r>
  <r>
    <x v="0"/>
    <x v="1"/>
    <x v="2"/>
    <x v="0"/>
    <s v="job/MW"/>
    <n v="0.14000000000000001"/>
    <n v="0.14000000000000001"/>
  </r>
  <r>
    <x v="0"/>
    <x v="1"/>
    <x v="3"/>
    <x v="1"/>
    <s v="job/PJ"/>
    <s v="World avg 15.1 jobs/PJ"/>
    <n v="15.1"/>
  </r>
  <r>
    <x v="1"/>
    <x v="1"/>
    <x v="0"/>
    <x v="0"/>
    <s v="job-yr/MW"/>
    <n v="7.36"/>
    <n v="7.36"/>
  </r>
  <r>
    <x v="1"/>
    <x v="1"/>
    <x v="1"/>
    <x v="0"/>
    <s v="job-yr/MW"/>
    <n v="2.2999999999999998"/>
    <n v="2.2999999999999998"/>
  </r>
  <r>
    <x v="1"/>
    <x v="1"/>
    <x v="2"/>
    <x v="0"/>
    <s v="job/MW"/>
    <n v="0.14000000000000001"/>
    <n v="0.14000000000000001"/>
  </r>
  <r>
    <x v="4"/>
    <x v="1"/>
    <x v="4"/>
    <x v="0"/>
    <s v="job-yr/MW"/>
    <n v="2.528"/>
    <n v="2.528"/>
  </r>
  <r>
    <x v="4"/>
    <x v="1"/>
    <x v="2"/>
    <x v="0"/>
    <s v="job/MW"/>
    <n v="5.0999999999999997E-2"/>
    <n v="5.0999999999999997E-2"/>
  </r>
  <r>
    <x v="3"/>
    <x v="1"/>
    <x v="5"/>
    <x v="4"/>
    <m/>
    <s v="Gas construction &amp; manufacturing from OECD. Fuel supply: world average 15.1 jobs/PJ used (no LA-specific). For LA multiplier: apply 3.3Ã— to OECD if needed."/>
    <m/>
  </r>
  <r>
    <x v="0"/>
    <x v="2"/>
    <x v="0"/>
    <x v="0"/>
    <s v="job-yr/MW"/>
    <n v="1.3"/>
    <n v="1.3"/>
  </r>
  <r>
    <x v="0"/>
    <x v="2"/>
    <x v="1"/>
    <x v="0"/>
    <s v="job-yr/MW"/>
    <n v="0.93"/>
    <n v="0.93"/>
  </r>
  <r>
    <x v="0"/>
    <x v="2"/>
    <x v="2"/>
    <x v="0"/>
    <s v="job/MW"/>
    <n v="0.14000000000000001"/>
    <n v="0.14000000000000001"/>
  </r>
  <r>
    <x v="0"/>
    <x v="2"/>
    <x v="3"/>
    <x v="1"/>
    <s v="job/PJ"/>
    <s v="World avg 15.1 jobs/PJ"/>
    <n v="15.1"/>
  </r>
  <r>
    <x v="4"/>
    <x v="2"/>
    <x v="0"/>
    <x v="0"/>
    <s v="job-yr/MW"/>
    <s v="JEDI-US"/>
    <m/>
  </r>
  <r>
    <x v="4"/>
    <x v="2"/>
    <x v="2"/>
    <x v="0"/>
    <s v="job/MW"/>
    <s v="JEDI-US"/>
    <m/>
  </r>
  <r>
    <x v="3"/>
    <x v="2"/>
    <x v="5"/>
    <x v="4"/>
    <m/>
    <s v="Oil/diesel: use gas employment factors per Rutovitz 2015 methodology (Table 1, Note Oil and diesel)."/>
    <m/>
  </r>
  <r>
    <x v="0"/>
    <x v="3"/>
    <x v="0"/>
    <x v="0"/>
    <s v="job-yr/MW"/>
    <n v="19.600000000000001"/>
    <n v="19.600000000000001"/>
  </r>
  <r>
    <x v="0"/>
    <x v="3"/>
    <x v="1"/>
    <x v="0"/>
    <s v="job-yr/MW"/>
    <n v="1.3"/>
    <n v="1.3"/>
  </r>
  <r>
    <x v="0"/>
    <x v="3"/>
    <x v="2"/>
    <x v="0"/>
    <s v="job/MW"/>
    <n v="1.1499999999999999"/>
    <n v="1.1499999999999999"/>
  </r>
  <r>
    <x v="0"/>
    <x v="3"/>
    <x v="3"/>
    <x v="1"/>
    <s v="job/PJ"/>
    <s v="0.001 jobs/GWh final demand"/>
    <m/>
  </r>
  <r>
    <x v="4"/>
    <x v="3"/>
    <x v="4"/>
    <x v="0"/>
    <s v="job-yr/MW"/>
    <s v="JEDI-US"/>
    <m/>
  </r>
  <r>
    <x v="4"/>
    <x v="3"/>
    <x v="2"/>
    <x v="0"/>
    <s v="job/MW"/>
    <s v="JEDI-US"/>
    <m/>
  </r>
  <r>
    <x v="3"/>
    <x v="3"/>
    <x v="5"/>
    <x v="4"/>
    <m/>
    <s v="Nuclear: Rutovitz 2015 LA-specific from Brazil study (19.6 construct, 1.15 O&amp;M). Rutovitz 2025 does not update nuclear. I-JEDI-US available if needed."/>
    <m/>
  </r>
  <r>
    <x v="0"/>
    <x v="4"/>
    <x v="0"/>
    <x v="0"/>
    <s v="job-yr/MW"/>
    <n v="14"/>
    <n v="14"/>
  </r>
  <r>
    <x v="0"/>
    <x v="4"/>
    <x v="1"/>
    <x v="0"/>
    <s v="job-yr/MW"/>
    <n v="2.9"/>
    <n v="2.9"/>
  </r>
  <r>
    <x v="0"/>
    <x v="4"/>
    <x v="2"/>
    <x v="0"/>
    <s v="job/MW"/>
    <n v="1.5"/>
    <n v="1.5"/>
  </r>
  <r>
    <x v="0"/>
    <x v="4"/>
    <x v="3"/>
    <x v="1"/>
    <s v="job/PJ"/>
    <s v="81.1 jobs/PJ"/>
    <n v="81.099999999999994"/>
  </r>
  <r>
    <x v="2"/>
    <x v="4"/>
    <x v="4"/>
    <x v="0"/>
    <s v="job-yr/MW"/>
    <n v="22.523"/>
    <n v="22.523"/>
  </r>
  <r>
    <x v="2"/>
    <x v="4"/>
    <x v="2"/>
    <x v="0"/>
    <s v="job/MW"/>
    <n v="2.4060000000000001"/>
    <n v="2.4060000000000001"/>
  </r>
  <r>
    <x v="2"/>
    <x v="4"/>
    <x v="4"/>
    <x v="2"/>
    <s v="job-yr/MW"/>
    <n v="12.506"/>
    <n v="12.506"/>
  </r>
  <r>
    <x v="2"/>
    <x v="4"/>
    <x v="2"/>
    <x v="2"/>
    <s v="job/MW"/>
    <n v="1.4770000000000001"/>
    <n v="1.4770000000000001"/>
  </r>
  <r>
    <x v="2"/>
    <x v="4"/>
    <x v="4"/>
    <x v="3"/>
    <s v="job-yr/MW"/>
    <n v="16.497"/>
    <n v="16.497"/>
  </r>
  <r>
    <x v="2"/>
    <x v="4"/>
    <x v="2"/>
    <x v="3"/>
    <s v="job/MW"/>
    <n v="1.6719999999999999"/>
    <n v="1.6719999999999999"/>
  </r>
  <r>
    <x v="3"/>
    <x v="4"/>
    <x v="5"/>
    <x v="4"/>
    <m/>
    <s v="Biomass: Rutovitz 2015 uses OECD construction/O&amp;M but LA-specific fuel supply (81.1 jobs/PJ from Brazilian ABIB). I-JEDI Colombia provides 22.5 construct and 2.4 O&amp;M for 1,000 MW project."/>
    <m/>
  </r>
  <r>
    <x v="0"/>
    <x v="5"/>
    <x v="0"/>
    <x v="0"/>
    <s v="job-yr/MW"/>
    <n v="7.4"/>
    <n v="7.4"/>
  </r>
  <r>
    <x v="0"/>
    <x v="5"/>
    <x v="1"/>
    <x v="0"/>
    <s v="job-yr/MW"/>
    <n v="3.5"/>
    <n v="3.5"/>
  </r>
  <r>
    <x v="0"/>
    <x v="5"/>
    <x v="2"/>
    <x v="0"/>
    <s v="job/MW"/>
    <n v="0.6"/>
    <n v="0.6"/>
  </r>
  <r>
    <x v="3"/>
    <x v="5"/>
    <x v="5"/>
    <x v="4"/>
    <m/>
    <s v="Hydro large: Rutovitz 2015 no LA-specific construction factor available (use OECD 7.4 or apply 3.3Ã— multiplier). Rutovitz 2025 Australia: 7.36 construct, 2.3 O&amp;M; rescale to LA using labour productivity ratio (LA GDP/worker â‰ˆ 0.29Ã— OECD) â†’ multiply by ~3.4 to get LA estimate."/>
    <m/>
  </r>
  <r>
    <x v="0"/>
    <x v="6"/>
    <x v="0"/>
    <x v="0"/>
    <s v="job-yr/MW"/>
    <n v="15.8"/>
    <n v="15.8"/>
  </r>
  <r>
    <x v="0"/>
    <x v="6"/>
    <x v="1"/>
    <x v="0"/>
    <s v="job-yr/MW"/>
    <n v="10.9"/>
    <n v="10.9"/>
  </r>
  <r>
    <x v="0"/>
    <x v="6"/>
    <x v="2"/>
    <x v="0"/>
    <s v="job/MW"/>
    <n v="4.9000000000000004"/>
    <n v="4.9000000000000004"/>
  </r>
  <r>
    <x v="3"/>
    <x v="6"/>
    <x v="5"/>
    <x v="4"/>
    <m/>
    <s v="Hydro small: Rutovitz 2015 OECD 15.8 construct, 4.9 O&amp;M; no LA-specific. Apply 3.3Ã— multiplier for LA estimate."/>
    <m/>
  </r>
  <r>
    <x v="0"/>
    <x v="7"/>
    <x v="0"/>
    <x v="0"/>
    <s v="job-yr/MW"/>
    <n v="6.7"/>
    <n v="6.7"/>
  </r>
  <r>
    <x v="0"/>
    <x v="7"/>
    <x v="1"/>
    <x v="0"/>
    <s v="job-yr/MW"/>
    <n v="3.4"/>
    <n v="3.4"/>
  </r>
  <r>
    <x v="0"/>
    <x v="7"/>
    <x v="2"/>
    <x v="0"/>
    <s v="job/MW"/>
    <n v="0.6"/>
    <n v="0.6"/>
  </r>
  <r>
    <x v="1"/>
    <x v="7"/>
    <x v="0"/>
    <x v="0"/>
    <s v="job-yr/MW"/>
    <n v="2.65"/>
    <n v="2.65"/>
  </r>
  <r>
    <x v="1"/>
    <x v="7"/>
    <x v="1"/>
    <x v="0"/>
    <s v="job-yr/MW"/>
    <n v="1.54"/>
    <n v="1.54"/>
  </r>
  <r>
    <x v="1"/>
    <x v="7"/>
    <x v="2"/>
    <x v="0"/>
    <s v="job/MW"/>
    <n v="0.21"/>
    <n v="0.21"/>
  </r>
  <r>
    <x v="2"/>
    <x v="7"/>
    <x v="4"/>
    <x v="0"/>
    <s v="job-yr/MW"/>
    <n v="7.2469999999999999"/>
    <n v="7.2469999999999999"/>
  </r>
  <r>
    <x v="2"/>
    <x v="7"/>
    <x v="2"/>
    <x v="0"/>
    <s v="job/MW"/>
    <n v="0.03"/>
    <n v="0.03"/>
  </r>
  <r>
    <x v="2"/>
    <x v="7"/>
    <x v="4"/>
    <x v="2"/>
    <s v="job-yr/MW"/>
    <n v="5.22"/>
    <n v="5.22"/>
  </r>
  <r>
    <x v="2"/>
    <x v="7"/>
    <x v="2"/>
    <x v="2"/>
    <s v="job/MW"/>
    <n v="4.2999999999999997E-2"/>
    <n v="4.2999999999999997E-2"/>
  </r>
  <r>
    <x v="2"/>
    <x v="7"/>
    <x v="4"/>
    <x v="3"/>
    <s v="job-yr/MW"/>
    <n v="4.0439999999999996"/>
    <n v="4.0439999999999996"/>
  </r>
  <r>
    <x v="2"/>
    <x v="7"/>
    <x v="2"/>
    <x v="3"/>
    <s v="job/MW"/>
    <n v="4.48E-2"/>
    <n v="4.48E-2"/>
  </r>
  <r>
    <x v="3"/>
    <x v="7"/>
    <x v="5"/>
    <x v="4"/>
    <m/>
    <s v="Wind onshore: Rutovitz 2015 LA-specific 6.7 construct, 0.6 O&amp;M from Brazil study (Simas &amp; Pacca 2015). Rutovitz 2025 Australia 2.65 construct; rescale to LA by ~3.4 factor â†’ ~9.0 construct estimate. I-JEDI Colombia 7.25 construct aligns better with LA context."/>
    <m/>
  </r>
  <r>
    <x v="0"/>
    <x v="8"/>
    <x v="0"/>
    <x v="0"/>
    <s v="job-yr/MW"/>
    <n v="8"/>
    <n v="8"/>
  </r>
  <r>
    <x v="0"/>
    <x v="8"/>
    <x v="1"/>
    <x v="0"/>
    <s v="job-yr/MW"/>
    <n v="15.6"/>
    <n v="15.6"/>
  </r>
  <r>
    <x v="0"/>
    <x v="8"/>
    <x v="2"/>
    <x v="0"/>
    <s v="job/MW"/>
    <n v="0.2"/>
    <n v="0.2"/>
  </r>
  <r>
    <x v="1"/>
    <x v="8"/>
    <x v="0"/>
    <x v="0"/>
    <s v="job-yr/MW"/>
    <n v="1.5"/>
    <n v="1.5"/>
  </r>
  <r>
    <x v="1"/>
    <x v="8"/>
    <x v="1"/>
    <x v="0"/>
    <s v="job-yr/MW"/>
    <n v="13.68"/>
    <n v="13.68"/>
  </r>
  <r>
    <x v="1"/>
    <x v="8"/>
    <x v="2"/>
    <x v="0"/>
    <s v="job/MW"/>
    <n v="0.28000000000000003"/>
    <n v="0.28000000000000003"/>
  </r>
  <r>
    <x v="3"/>
    <x v="8"/>
    <x v="5"/>
    <x v="4"/>
    <m/>
    <s v="Wind offshore: Rutovitz 2015 uses OECD (no LA-specific). Rutovitz 2025 Australia 1.5 construct, 0.28 O&amp;M; rescale by ~3 for LA â†’ ~4.5 construct estimate. Offshore development in Colombia is nascent; use with caution."/>
    <m/>
  </r>
  <r>
    <x v="0"/>
    <x v="9"/>
    <x v="0"/>
    <x v="0"/>
    <s v="job-yr/MW"/>
    <n v="13"/>
    <n v="13"/>
  </r>
  <r>
    <x v="0"/>
    <x v="9"/>
    <x v="1"/>
    <x v="0"/>
    <s v="job-yr/MW"/>
    <n v="6.7"/>
    <n v="6.7"/>
  </r>
  <r>
    <x v="0"/>
    <x v="9"/>
    <x v="2"/>
    <x v="0"/>
    <s v="job/MW"/>
    <n v="0.7"/>
    <n v="0.7"/>
  </r>
  <r>
    <x v="1"/>
    <x v="9"/>
    <x v="0"/>
    <x v="0"/>
    <s v="job-yr/MW"/>
    <n v="1.61"/>
    <n v="1.61"/>
  </r>
  <r>
    <x v="1"/>
    <x v="9"/>
    <x v="1"/>
    <x v="0"/>
    <s v="job-yr/MW"/>
    <n v="3.08"/>
    <n v="3.08"/>
  </r>
  <r>
    <x v="1"/>
    <x v="9"/>
    <x v="2"/>
    <x v="0"/>
    <s v="job/MW"/>
    <n v="0.09"/>
    <n v="0.09"/>
  </r>
  <r>
    <x v="2"/>
    <x v="9"/>
    <x v="4"/>
    <x v="0"/>
    <s v="job-yr/MW"/>
    <n v="9.9700000000000006"/>
    <n v="9.9700000000000006"/>
  </r>
  <r>
    <x v="2"/>
    <x v="9"/>
    <x v="2"/>
    <x v="0"/>
    <s v="job/MW"/>
    <n v="9.6500000000000002E-2"/>
    <n v="9.6500000000000002E-2"/>
  </r>
  <r>
    <x v="2"/>
    <x v="9"/>
    <x v="4"/>
    <x v="2"/>
    <s v="job-yr/MW"/>
    <n v="6.3639999999999999"/>
    <n v="6.3639999999999999"/>
  </r>
  <r>
    <x v="2"/>
    <x v="9"/>
    <x v="2"/>
    <x v="2"/>
    <s v="job/MW"/>
    <n v="6.6000000000000003E-2"/>
    <n v="6.6000000000000003E-2"/>
  </r>
  <r>
    <x v="2"/>
    <x v="9"/>
    <x v="4"/>
    <x v="3"/>
    <s v="job-yr/MW"/>
    <n v="6.3659999999999997"/>
    <n v="6.3659999999999997"/>
  </r>
  <r>
    <x v="2"/>
    <x v="9"/>
    <x v="2"/>
    <x v="3"/>
    <s v="job/MW"/>
    <n v="4.9799999999999997E-2"/>
    <n v="4.9799999999999997E-2"/>
  </r>
  <r>
    <x v="3"/>
    <x v="9"/>
    <x v="5"/>
    <x v="4"/>
    <m/>
    <s v="Solar PV (utility): Rutovitz 2015 uses OECD 13 construct, 0.7 O&amp;M; no LA-specific. Rutovitz 2025 Australia 1.61 construct â†’ rescale by ~3â€“3.5 for LA â†’ ~5.5 construct (reflects larger modern plants). I-JEDI Colombia 9.97 for 1,000 MW is higher, suggesting finer labour intensity accounting."/>
    <m/>
  </r>
  <r>
    <x v="1"/>
    <x v="10"/>
    <x v="0"/>
    <x v="0"/>
    <s v="job-yr/MW"/>
    <n v="4.1900000000000004"/>
    <n v="4.1900000000000004"/>
  </r>
  <r>
    <x v="1"/>
    <x v="10"/>
    <x v="1"/>
    <x v="0"/>
    <s v="job-yr/MW"/>
    <n v="2.86"/>
    <n v="2.86"/>
  </r>
  <r>
    <x v="1"/>
    <x v="10"/>
    <x v="2"/>
    <x v="0"/>
    <s v="job/MW"/>
    <n v="0.13"/>
    <n v="0.13"/>
  </r>
  <r>
    <x v="2"/>
    <x v="10"/>
    <x v="4"/>
    <x v="0"/>
    <s v="job-yr/MW"/>
    <n v="9328"/>
    <m/>
  </r>
  <r>
    <x v="2"/>
    <x v="10"/>
    <x v="2"/>
    <x v="0"/>
    <s v="job/MW"/>
    <n v="0.3"/>
    <n v="0.3"/>
  </r>
  <r>
    <x v="2"/>
    <x v="10"/>
    <x v="4"/>
    <x v="2"/>
    <s v="job-yr/MW"/>
    <n v="10.8"/>
    <n v="10.8"/>
  </r>
  <r>
    <x v="2"/>
    <x v="10"/>
    <x v="2"/>
    <x v="2"/>
    <s v="job/MW"/>
    <n v="0.105"/>
    <n v="0.105"/>
  </r>
  <r>
    <x v="2"/>
    <x v="10"/>
    <x v="4"/>
    <x v="3"/>
    <s v="job-yr/MW"/>
    <n v="10"/>
    <n v="10"/>
  </r>
  <r>
    <x v="2"/>
    <x v="10"/>
    <x v="2"/>
    <x v="3"/>
    <s v="job/MW"/>
    <n v="0.10100000000000001"/>
    <n v="0.10100000000000001"/>
  </r>
  <r>
    <x v="3"/>
    <x v="10"/>
    <x v="5"/>
    <x v="4"/>
    <m/>
    <s v="Solar PV (rooftop): Rutovitz 2015 uses OECD 13 construct. Rutovitz 2025 Australia 4.19 construct; rescale by ~3â€“3.5 for LA â†’ ~14 construct. I-JEDI Colombia has distributed PV module; conversion to rooftop-equivalent needed."/>
    <m/>
  </r>
  <r>
    <x v="0"/>
    <x v="11"/>
    <x v="0"/>
    <x v="0"/>
    <s v="job-yr/MW"/>
    <n v="8"/>
    <n v="8"/>
  </r>
  <r>
    <x v="0"/>
    <x v="11"/>
    <x v="1"/>
    <x v="0"/>
    <s v="job-yr/MW"/>
    <n v="4"/>
    <n v="4"/>
  </r>
  <r>
    <x v="0"/>
    <x v="11"/>
    <x v="2"/>
    <x v="0"/>
    <s v="job/MW"/>
    <n v="0.6"/>
    <n v="0.6"/>
  </r>
  <r>
    <x v="3"/>
    <x v="11"/>
    <x v="5"/>
    <x v="4"/>
    <m/>
    <s v="Solar thermal (CSP): Rutovitz 2015 OECD 8 construct, 0.6 O&amp;M; no LA-specific. Not updated in Rutovitz 2025. Apply 3.3Ã— LA multiplier for estimate. Limited deployed capacity in Colombia."/>
    <m/>
  </r>
  <r>
    <x v="0"/>
    <x v="12"/>
    <x v="0"/>
    <x v="0"/>
    <s v="job-yr/MW"/>
    <n v="6.8"/>
    <n v="6.8"/>
  </r>
  <r>
    <x v="0"/>
    <x v="12"/>
    <x v="1"/>
    <x v="0"/>
    <s v="job-yr/MW"/>
    <n v="3.9"/>
    <n v="3.9"/>
  </r>
  <r>
    <x v="0"/>
    <x v="12"/>
    <x v="2"/>
    <x v="0"/>
    <s v="job/MW"/>
    <n v="0.4"/>
    <n v="0.4"/>
  </r>
  <r>
    <x v="2"/>
    <x v="12"/>
    <x v="4"/>
    <x v="0"/>
    <s v="job-yr/MW"/>
    <n v="5.0869999999999997"/>
    <n v="5.0869999999999997"/>
  </r>
  <r>
    <x v="2"/>
    <x v="12"/>
    <x v="2"/>
    <x v="0"/>
    <s v="job/MW"/>
    <n v="8.0000000000000002E-3"/>
    <n v="8.0000000000000002E-3"/>
  </r>
  <r>
    <x v="2"/>
    <x v="12"/>
    <x v="4"/>
    <x v="2"/>
    <s v="job-yr/MW"/>
    <n v="3.4"/>
    <n v="3.4"/>
  </r>
  <r>
    <x v="2"/>
    <x v="12"/>
    <x v="2"/>
    <x v="2"/>
    <s v="job/MW"/>
    <n v="0.01"/>
    <n v="0.01"/>
  </r>
  <r>
    <x v="2"/>
    <x v="12"/>
    <x v="4"/>
    <x v="3"/>
    <s v="job-yr/MW"/>
    <n v="5.5"/>
    <n v="5.5"/>
  </r>
  <r>
    <x v="2"/>
    <x v="12"/>
    <x v="2"/>
    <x v="3"/>
    <s v="job/MW"/>
    <n v="2.9000000000000001E-2"/>
    <n v="2.9000000000000001E-2"/>
  </r>
  <r>
    <x v="3"/>
    <x v="12"/>
    <x v="5"/>
    <x v="4"/>
    <m/>
    <s v="Geothermal: Rutovitz 2015 OECD 6.8 construct, 0.4 O&amp;M; no LA-specific. Not updated in Rutovitz 2025. Limited geothermal potential in Colombia; I-JEDI may have estimates via custom region."/>
    <m/>
  </r>
  <r>
    <x v="0"/>
    <x v="13"/>
    <x v="0"/>
    <x v="0"/>
    <s v="job-yr/MW"/>
    <n v="10.199999999999999"/>
    <n v="10.199999999999999"/>
  </r>
  <r>
    <x v="0"/>
    <x v="13"/>
    <x v="1"/>
    <x v="0"/>
    <s v="job-yr/MW"/>
    <n v="10.199999999999999"/>
    <n v="10.199999999999999"/>
  </r>
  <r>
    <x v="0"/>
    <x v="13"/>
    <x v="2"/>
    <x v="0"/>
    <s v="job/MW"/>
    <n v="0.6"/>
    <n v="0.6"/>
  </r>
  <r>
    <x v="3"/>
    <x v="13"/>
    <x v="5"/>
    <x v="4"/>
    <m/>
    <s v="Ocean (tidal/wave): Rutovitz 2015 OECD 10.2 construct, 0.6 O&amp;M; no LA-specific. Not updated in Rutovitz 2025. Early-stage technology; very limited Colombian data."/>
    <m/>
  </r>
  <r>
    <x v="1"/>
    <x v="14"/>
    <x v="0"/>
    <x v="0"/>
    <s v="job-yr/MW"/>
    <n v="7.18"/>
    <n v="7.18"/>
  </r>
  <r>
    <x v="1"/>
    <x v="14"/>
    <x v="1"/>
    <x v="0"/>
    <s v="job-yr/MW"/>
    <n v="6.4"/>
    <n v="6.4"/>
  </r>
  <r>
    <x v="1"/>
    <x v="14"/>
    <x v="2"/>
    <x v="0"/>
    <s v="job/MW"/>
    <n v="0.08"/>
    <n v="0.08"/>
  </r>
  <r>
    <x v="3"/>
    <x v="14"/>
    <x v="5"/>
    <x v="4"/>
    <m/>
    <s v="Pumped hydro storage (NEW in Rutovitz 2025): Australian data 2023 update. Use construction and O&amp;M factors from Rutovitz 2025 Australia hydro; rescale by ~3â€“3.5Ã— for LA labour intensity."/>
    <m/>
  </r>
  <r>
    <x v="1"/>
    <x v="15"/>
    <x v="0"/>
    <x v="0"/>
    <s v="job-yr/MW"/>
    <n v="0.53"/>
    <n v="0.53"/>
  </r>
  <r>
    <x v="1"/>
    <x v="15"/>
    <x v="1"/>
    <x v="0"/>
    <s v="job-yr/MW"/>
    <n v="0.31"/>
    <n v="0.31"/>
  </r>
  <r>
    <x v="1"/>
    <x v="15"/>
    <x v="2"/>
    <x v="0"/>
    <s v="job/MW"/>
    <n v="0.03"/>
    <n v="0.03"/>
  </r>
  <r>
    <x v="3"/>
    <x v="15"/>
    <x v="5"/>
    <x v="4"/>
    <m/>
    <s v="Battery storage (grid-scale, NEW in Rutovitz 2025): Rutovitz 2025 Australia 0.61 construct, 0.04 O&amp;M from 13 projects, 3.3 GW combined, 235 MW average capacity, 3.2 h storage. Rescale by ~3â€“3.5Ã— for LA â†’ ~2.1 construct, 0.14 O&amp;M (initial estimate)."/>
    <m/>
  </r>
  <r>
    <x v="1"/>
    <x v="16"/>
    <x v="0"/>
    <x v="0"/>
    <s v="job-yr/MW"/>
    <n v="4.4400000000000004"/>
    <n v="4.4400000000000004"/>
  </r>
  <r>
    <x v="1"/>
    <x v="16"/>
    <x v="1"/>
    <x v="0"/>
    <s v="job-yr/MW"/>
    <n v="0.31"/>
    <n v="0.31"/>
  </r>
  <r>
    <x v="1"/>
    <x v="16"/>
    <x v="2"/>
    <x v="0"/>
    <s v="job/MW"/>
    <n v="0.23"/>
    <n v="0.23"/>
  </r>
  <r>
    <x v="1"/>
    <x v="17"/>
    <x v="0"/>
    <x v="0"/>
    <s v="job-yr/km"/>
    <n v="0.7"/>
    <n v="0.7"/>
  </r>
  <r>
    <x v="4"/>
    <x v="17"/>
    <x v="4"/>
    <x v="0"/>
    <s v="job-yr/mile"/>
    <n v="0.12"/>
    <n v="0.12"/>
  </r>
  <r>
    <x v="4"/>
    <x v="17"/>
    <x v="2"/>
    <x v="0"/>
    <s v="job/mile"/>
    <n v="0"/>
    <n v="0"/>
  </r>
  <r>
    <x v="4"/>
    <x v="17"/>
    <x v="4"/>
    <x v="2"/>
    <s v="job-yr/mile"/>
    <n v="0.3"/>
    <n v="0.3"/>
  </r>
  <r>
    <x v="4"/>
    <x v="17"/>
    <x v="2"/>
    <x v="2"/>
    <s v="job/mile"/>
    <n v="2.5999999999999999E-2"/>
    <n v="2.5999999999999999E-2"/>
  </r>
  <r>
    <x v="4"/>
    <x v="17"/>
    <x v="4"/>
    <x v="3"/>
    <s v="job-yr/mile"/>
    <n v="0.24"/>
    <n v="0.24"/>
  </r>
  <r>
    <x v="4"/>
    <x v="17"/>
    <x v="2"/>
    <x v="3"/>
    <s v="job/mile"/>
    <n v="1.2999999999999999E-2"/>
    <n v="1.2999999999999999E-2"/>
  </r>
  <r>
    <x v="3"/>
    <x v="17"/>
    <x v="5"/>
    <x v="4"/>
    <m/>
    <s v="Transmission (distribution lines): Rutovitz 2025 not yet tabulated per GW; calculated from workforce projections. Estimate ~1â€“2 job-years/km for construction in Australia; rescale by 3â€“3.5Ã— for LA. OSeMOSYS-Colombia may express as jobs/circuit-km."/>
    <m/>
  </r>
  <r>
    <x v="1"/>
    <x v="18"/>
    <x v="0"/>
    <x v="0"/>
    <s v="job-yr/km"/>
    <n v="3.7"/>
    <n v="3.7"/>
  </r>
  <r>
    <x v="3"/>
    <x v="18"/>
    <x v="5"/>
    <x v="4"/>
    <m/>
    <s v="Transmission (bulk transmission/high-voltage): Rutovitz 2025 Australia shows transmission peak workforce 2,000â€“2,500 in early 2020s under Step Change scenario. Emerging construction factors; recommend model sensitivity on transmission employment. Rescale Australian data by 3â€“3.5Ã— for LA."/>
    <m/>
  </r>
  <r>
    <x v="1"/>
    <x v="19"/>
    <x v="0"/>
    <x v="0"/>
    <s v="job-yr/MUSD"/>
    <n v="1.9"/>
    <n v="1.9"/>
  </r>
  <r>
    <x v="5"/>
    <x v="8"/>
    <x v="4"/>
    <x v="0"/>
    <s v="job-yr/MW"/>
    <n v="7544"/>
    <n v="7.5439999999999996"/>
  </r>
  <r>
    <x v="5"/>
    <x v="8"/>
    <x v="2"/>
    <x v="0"/>
    <s v="job/MW"/>
    <n v="1907"/>
    <n v="1.907"/>
  </r>
  <r>
    <x v="6"/>
    <x v="20"/>
    <x v="4"/>
    <x v="0"/>
    <s v="job-yr/MW"/>
    <n v="6810"/>
    <n v="6.81"/>
  </r>
  <r>
    <x v="6"/>
    <x v="20"/>
    <x v="2"/>
    <x v="0"/>
    <s v="job/MW"/>
    <n v="1907"/>
    <n v="1.907"/>
  </r>
  <r>
    <x v="6"/>
    <x v="21"/>
    <x v="4"/>
    <x v="0"/>
    <s v="job-yr/MW"/>
    <n v="14.71"/>
    <n v="14.71"/>
  </r>
  <r>
    <x v="6"/>
    <x v="21"/>
    <x v="2"/>
    <x v="0"/>
    <s v="job/MW"/>
    <n v="6040"/>
    <n v="6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733F4-1DFD-4826-BDC9-D3937EAC16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H28" firstHeaderRow="1" firstDataRow="2" firstDataCol="1" rowPageCount="2" colPageCount="1"/>
  <pivotFields count="7">
    <pivotField axis="axisCol" showAll="0">
      <items count="8">
        <item x="5"/>
        <item x="6"/>
        <item x="2"/>
        <item x="0"/>
        <item x="1"/>
        <item h="1" x="3"/>
        <item x="4"/>
        <item t="default"/>
      </items>
    </pivotField>
    <pivotField axis="axisRow" showAll="0">
      <items count="23">
        <item x="16"/>
        <item x="15"/>
        <item x="4"/>
        <item x="0"/>
        <item x="1"/>
        <item x="12"/>
        <item x="5"/>
        <item x="6"/>
        <item x="3"/>
        <item x="13"/>
        <item x="8"/>
        <item x="20"/>
        <item x="21"/>
        <item x="2"/>
        <item x="7"/>
        <item x="14"/>
        <item x="10"/>
        <item x="11"/>
        <item x="18"/>
        <item x="19"/>
        <item x="17"/>
        <item x="9"/>
        <item t="default"/>
      </items>
    </pivotField>
    <pivotField axis="axisPage" multipleItemSelectionAllowed="1" showAll="0">
      <items count="7">
        <item x="0"/>
        <item h="1" x="3"/>
        <item x="1"/>
        <item h="1" x="2"/>
        <item x="4"/>
        <item h="1" x="5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pageFields count="2">
    <pageField fld="2" hier="-1"/>
    <pageField fld="3" item="0" hier="-1"/>
  </pageFields>
  <dataFields count="1">
    <dataField name="Sum of Value_Numeric" fld="6" baseField="0" baseItem="0"/>
  </dataFields>
  <chartFormats count="9">
    <chartFormat chart="0" format="8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60FD-3097-4CBB-B086-BF1FFCAB823D}">
  <sheetPr>
    <tabColor theme="9" tint="0.59999389629810485"/>
  </sheetPr>
  <dimension ref="A1:G147"/>
  <sheetViews>
    <sheetView tabSelected="1" workbookViewId="0">
      <selection activeCell="C9" sqref="C9"/>
    </sheetView>
  </sheetViews>
  <sheetFormatPr defaultRowHeight="14.4" x14ac:dyDescent="0.3"/>
  <cols>
    <col min="1" max="1" width="24.44140625" bestFit="1" customWidth="1"/>
    <col min="2" max="2" width="47" bestFit="1" customWidth="1"/>
    <col min="3" max="3" width="18.109375" customWidth="1"/>
    <col min="4" max="4" width="15.109375" bestFit="1" customWidth="1"/>
  </cols>
  <sheetData>
    <row r="1" spans="1:7" x14ac:dyDescent="0.3">
      <c r="A1" t="s">
        <v>2</v>
      </c>
      <c r="B1" t="s">
        <v>0</v>
      </c>
      <c r="C1" t="s">
        <v>1</v>
      </c>
      <c r="D1" t="s">
        <v>65</v>
      </c>
      <c r="E1" t="s">
        <v>66</v>
      </c>
      <c r="F1" t="s">
        <v>3</v>
      </c>
      <c r="G1" t="s">
        <v>4</v>
      </c>
    </row>
    <row r="2" spans="1:7" x14ac:dyDescent="0.3">
      <c r="A2" t="s">
        <v>7</v>
      </c>
      <c r="B2" t="s">
        <v>5</v>
      </c>
      <c r="C2" t="s">
        <v>6</v>
      </c>
      <c r="D2" t="s">
        <v>67</v>
      </c>
      <c r="E2" t="s">
        <v>68</v>
      </c>
      <c r="F2">
        <v>11.2</v>
      </c>
      <c r="G2">
        <v>11.2</v>
      </c>
    </row>
    <row r="3" spans="1:7" x14ac:dyDescent="0.3">
      <c r="A3" t="s">
        <v>7</v>
      </c>
      <c r="B3" t="s">
        <v>5</v>
      </c>
      <c r="C3" t="s">
        <v>8</v>
      </c>
      <c r="D3" t="s">
        <v>67</v>
      </c>
      <c r="E3" t="s">
        <v>68</v>
      </c>
      <c r="F3">
        <v>5.4</v>
      </c>
      <c r="G3">
        <v>5.4</v>
      </c>
    </row>
    <row r="4" spans="1:7" x14ac:dyDescent="0.3">
      <c r="A4" t="s">
        <v>7</v>
      </c>
      <c r="B4" t="s">
        <v>5</v>
      </c>
      <c r="C4" t="s">
        <v>9</v>
      </c>
      <c r="D4" t="s">
        <v>67</v>
      </c>
      <c r="E4" t="s">
        <v>69</v>
      </c>
      <c r="F4">
        <v>0.14000000000000001</v>
      </c>
      <c r="G4">
        <v>0.14000000000000001</v>
      </c>
    </row>
    <row r="5" spans="1:7" x14ac:dyDescent="0.3">
      <c r="A5" t="s">
        <v>7</v>
      </c>
      <c r="B5" t="s">
        <v>5</v>
      </c>
      <c r="C5" t="s">
        <v>10</v>
      </c>
      <c r="D5" t="s">
        <v>10</v>
      </c>
      <c r="E5" t="s">
        <v>70</v>
      </c>
      <c r="F5" t="s">
        <v>11</v>
      </c>
      <c r="G5">
        <v>15.4</v>
      </c>
    </row>
    <row r="6" spans="1:7" x14ac:dyDescent="0.3">
      <c r="A6" t="s">
        <v>12</v>
      </c>
      <c r="B6" t="s">
        <v>5</v>
      </c>
      <c r="C6" t="s">
        <v>6</v>
      </c>
      <c r="D6" t="s">
        <v>67</v>
      </c>
      <c r="E6" t="s">
        <v>68</v>
      </c>
      <c r="F6">
        <v>11.08</v>
      </c>
      <c r="G6">
        <v>11.08</v>
      </c>
    </row>
    <row r="7" spans="1:7" x14ac:dyDescent="0.3">
      <c r="A7" t="s">
        <v>12</v>
      </c>
      <c r="B7" t="s">
        <v>5</v>
      </c>
      <c r="C7" t="s">
        <v>8</v>
      </c>
      <c r="D7" t="s">
        <v>67</v>
      </c>
      <c r="E7" t="s">
        <v>68</v>
      </c>
      <c r="F7">
        <v>5.41</v>
      </c>
      <c r="G7">
        <v>5.41</v>
      </c>
    </row>
    <row r="8" spans="1:7" x14ac:dyDescent="0.3">
      <c r="A8" t="s">
        <v>12</v>
      </c>
      <c r="B8" t="s">
        <v>5</v>
      </c>
      <c r="C8" t="s">
        <v>9</v>
      </c>
      <c r="D8" t="s">
        <v>67</v>
      </c>
      <c r="E8" t="s">
        <v>69</v>
      </c>
      <c r="F8">
        <v>0.22</v>
      </c>
      <c r="G8">
        <v>0.22</v>
      </c>
    </row>
    <row r="9" spans="1:7" x14ac:dyDescent="0.3">
      <c r="A9" t="s">
        <v>13</v>
      </c>
      <c r="B9" t="s">
        <v>5</v>
      </c>
      <c r="C9" t="s">
        <v>71</v>
      </c>
      <c r="D9" t="s">
        <v>67</v>
      </c>
      <c r="E9" t="s">
        <v>68</v>
      </c>
      <c r="F9">
        <v>9.61</v>
      </c>
      <c r="G9">
        <v>9.61</v>
      </c>
    </row>
    <row r="10" spans="1:7" x14ac:dyDescent="0.3">
      <c r="A10" t="s">
        <v>13</v>
      </c>
      <c r="B10" t="s">
        <v>5</v>
      </c>
      <c r="C10" t="s">
        <v>9</v>
      </c>
      <c r="D10" t="s">
        <v>67</v>
      </c>
      <c r="E10" t="s">
        <v>69</v>
      </c>
      <c r="F10">
        <v>0.14299999999999999</v>
      </c>
      <c r="G10">
        <v>0.14299999999999999</v>
      </c>
    </row>
    <row r="11" spans="1:7" x14ac:dyDescent="0.3">
      <c r="A11" t="s">
        <v>13</v>
      </c>
      <c r="B11" t="s">
        <v>5</v>
      </c>
      <c r="C11" t="s">
        <v>71</v>
      </c>
      <c r="D11" t="s">
        <v>72</v>
      </c>
      <c r="E11" t="s">
        <v>68</v>
      </c>
      <c r="F11">
        <v>12.231999999999999</v>
      </c>
      <c r="G11">
        <v>12.231999999999999</v>
      </c>
    </row>
    <row r="12" spans="1:7" x14ac:dyDescent="0.3">
      <c r="A12" t="s">
        <v>13</v>
      </c>
      <c r="B12" t="s">
        <v>5</v>
      </c>
      <c r="C12" t="s">
        <v>9</v>
      </c>
      <c r="D12" t="s">
        <v>72</v>
      </c>
      <c r="E12" t="s">
        <v>69</v>
      </c>
      <c r="F12">
        <v>0.78900000000000003</v>
      </c>
      <c r="G12">
        <v>0.78900000000000003</v>
      </c>
    </row>
    <row r="13" spans="1:7" x14ac:dyDescent="0.3">
      <c r="A13" t="s">
        <v>13</v>
      </c>
      <c r="B13" t="s">
        <v>5</v>
      </c>
      <c r="C13" t="s">
        <v>71</v>
      </c>
      <c r="D13" t="s">
        <v>73</v>
      </c>
      <c r="E13" t="s">
        <v>68</v>
      </c>
      <c r="F13">
        <v>11.301</v>
      </c>
      <c r="G13">
        <v>11.301</v>
      </c>
    </row>
    <row r="14" spans="1:7" x14ac:dyDescent="0.3">
      <c r="A14" t="s">
        <v>13</v>
      </c>
      <c r="B14" t="s">
        <v>5</v>
      </c>
      <c r="C14" t="s">
        <v>9</v>
      </c>
      <c r="D14" t="s">
        <v>73</v>
      </c>
      <c r="E14" t="s">
        <v>69</v>
      </c>
      <c r="F14">
        <v>0.56100000000000005</v>
      </c>
      <c r="G14">
        <v>0.56100000000000005</v>
      </c>
    </row>
    <row r="15" spans="1:7" x14ac:dyDescent="0.3">
      <c r="A15" t="s">
        <v>14</v>
      </c>
      <c r="B15" t="s">
        <v>5</v>
      </c>
      <c r="F15" t="s">
        <v>15</v>
      </c>
    </row>
    <row r="16" spans="1:7" x14ac:dyDescent="0.3">
      <c r="A16" t="s">
        <v>7</v>
      </c>
      <c r="B16" t="s">
        <v>16</v>
      </c>
      <c r="C16" t="s">
        <v>6</v>
      </c>
      <c r="D16" t="s">
        <v>67</v>
      </c>
      <c r="E16" t="s">
        <v>68</v>
      </c>
      <c r="F16">
        <v>1.3</v>
      </c>
      <c r="G16">
        <v>1.3</v>
      </c>
    </row>
    <row r="17" spans="1:7" x14ac:dyDescent="0.3">
      <c r="A17" t="s">
        <v>7</v>
      </c>
      <c r="B17" t="s">
        <v>16</v>
      </c>
      <c r="C17" t="s">
        <v>8</v>
      </c>
      <c r="D17" t="s">
        <v>67</v>
      </c>
      <c r="E17" t="s">
        <v>68</v>
      </c>
      <c r="F17">
        <v>0.93</v>
      </c>
      <c r="G17">
        <v>0.93</v>
      </c>
    </row>
    <row r="18" spans="1:7" x14ac:dyDescent="0.3">
      <c r="A18" t="s">
        <v>7</v>
      </c>
      <c r="B18" t="s">
        <v>16</v>
      </c>
      <c r="C18" t="s">
        <v>9</v>
      </c>
      <c r="D18" t="s">
        <v>67</v>
      </c>
      <c r="E18" t="s">
        <v>69</v>
      </c>
      <c r="F18">
        <v>0.14000000000000001</v>
      </c>
      <c r="G18">
        <v>0.14000000000000001</v>
      </c>
    </row>
    <row r="19" spans="1:7" x14ac:dyDescent="0.3">
      <c r="A19" t="s">
        <v>7</v>
      </c>
      <c r="B19" t="s">
        <v>16</v>
      </c>
      <c r="C19" t="s">
        <v>10</v>
      </c>
      <c r="D19" t="s">
        <v>10</v>
      </c>
      <c r="E19" t="s">
        <v>70</v>
      </c>
      <c r="F19" t="s">
        <v>17</v>
      </c>
      <c r="G19">
        <v>15.1</v>
      </c>
    </row>
    <row r="20" spans="1:7" x14ac:dyDescent="0.3">
      <c r="A20" t="s">
        <v>12</v>
      </c>
      <c r="B20" t="s">
        <v>16</v>
      </c>
      <c r="C20" t="s">
        <v>6</v>
      </c>
      <c r="D20" t="s">
        <v>67</v>
      </c>
      <c r="E20" t="s">
        <v>68</v>
      </c>
      <c r="F20">
        <v>7.36</v>
      </c>
      <c r="G20">
        <v>7.36</v>
      </c>
    </row>
    <row r="21" spans="1:7" x14ac:dyDescent="0.3">
      <c r="A21" t="s">
        <v>12</v>
      </c>
      <c r="B21" t="s">
        <v>16</v>
      </c>
      <c r="C21" t="s">
        <v>8</v>
      </c>
      <c r="D21" t="s">
        <v>67</v>
      </c>
      <c r="E21" t="s">
        <v>68</v>
      </c>
      <c r="F21">
        <v>2.2999999999999998</v>
      </c>
      <c r="G21">
        <v>2.2999999999999998</v>
      </c>
    </row>
    <row r="22" spans="1:7" x14ac:dyDescent="0.3">
      <c r="A22" t="s">
        <v>12</v>
      </c>
      <c r="B22" t="s">
        <v>16</v>
      </c>
      <c r="C22" t="s">
        <v>9</v>
      </c>
      <c r="D22" t="s">
        <v>67</v>
      </c>
      <c r="E22" t="s">
        <v>69</v>
      </c>
      <c r="F22">
        <v>0.14000000000000001</v>
      </c>
      <c r="G22">
        <v>0.14000000000000001</v>
      </c>
    </row>
    <row r="23" spans="1:7" x14ac:dyDescent="0.3">
      <c r="A23" t="s">
        <v>20</v>
      </c>
      <c r="B23" t="s">
        <v>16</v>
      </c>
      <c r="C23" t="s">
        <v>71</v>
      </c>
      <c r="D23" t="s">
        <v>67</v>
      </c>
      <c r="E23" t="s">
        <v>68</v>
      </c>
      <c r="F23">
        <v>2.528</v>
      </c>
      <c r="G23">
        <v>2.528</v>
      </c>
    </row>
    <row r="24" spans="1:7" x14ac:dyDescent="0.3">
      <c r="A24" t="s">
        <v>20</v>
      </c>
      <c r="B24" t="s">
        <v>16</v>
      </c>
      <c r="C24" t="s">
        <v>9</v>
      </c>
      <c r="D24" t="s">
        <v>67</v>
      </c>
      <c r="E24" t="s">
        <v>69</v>
      </c>
      <c r="F24">
        <v>5.0999999999999997E-2</v>
      </c>
      <c r="G24">
        <v>5.0999999999999997E-2</v>
      </c>
    </row>
    <row r="25" spans="1:7" x14ac:dyDescent="0.3">
      <c r="A25" t="s">
        <v>14</v>
      </c>
      <c r="B25" t="s">
        <v>16</v>
      </c>
      <c r="F25" t="s">
        <v>18</v>
      </c>
    </row>
    <row r="26" spans="1:7" x14ac:dyDescent="0.3">
      <c r="A26" t="s">
        <v>7</v>
      </c>
      <c r="B26" t="s">
        <v>19</v>
      </c>
      <c r="C26" t="s">
        <v>6</v>
      </c>
      <c r="D26" t="s">
        <v>67</v>
      </c>
      <c r="E26" t="s">
        <v>68</v>
      </c>
      <c r="F26">
        <v>1.3</v>
      </c>
      <c r="G26">
        <v>1.3</v>
      </c>
    </row>
    <row r="27" spans="1:7" x14ac:dyDescent="0.3">
      <c r="A27" t="s">
        <v>7</v>
      </c>
      <c r="B27" t="s">
        <v>19</v>
      </c>
      <c r="C27" t="s">
        <v>8</v>
      </c>
      <c r="D27" t="s">
        <v>67</v>
      </c>
      <c r="E27" t="s">
        <v>68</v>
      </c>
      <c r="F27">
        <v>0.93</v>
      </c>
      <c r="G27">
        <v>0.93</v>
      </c>
    </row>
    <row r="28" spans="1:7" x14ac:dyDescent="0.3">
      <c r="A28" t="s">
        <v>7</v>
      </c>
      <c r="B28" t="s">
        <v>19</v>
      </c>
      <c r="C28" t="s">
        <v>9</v>
      </c>
      <c r="D28" t="s">
        <v>67</v>
      </c>
      <c r="E28" t="s">
        <v>69</v>
      </c>
      <c r="F28">
        <v>0.14000000000000001</v>
      </c>
      <c r="G28">
        <v>0.14000000000000001</v>
      </c>
    </row>
    <row r="29" spans="1:7" x14ac:dyDescent="0.3">
      <c r="A29" t="s">
        <v>7</v>
      </c>
      <c r="B29" t="s">
        <v>19</v>
      </c>
      <c r="C29" t="s">
        <v>10</v>
      </c>
      <c r="D29" t="s">
        <v>10</v>
      </c>
      <c r="E29" t="s">
        <v>70</v>
      </c>
      <c r="F29" t="s">
        <v>17</v>
      </c>
      <c r="G29">
        <v>15.1</v>
      </c>
    </row>
    <row r="30" spans="1:7" x14ac:dyDescent="0.3">
      <c r="A30" t="s">
        <v>20</v>
      </c>
      <c r="B30" t="s">
        <v>19</v>
      </c>
      <c r="C30" t="s">
        <v>6</v>
      </c>
      <c r="D30" t="s">
        <v>67</v>
      </c>
      <c r="E30" t="s">
        <v>68</v>
      </c>
      <c r="F30" t="s">
        <v>20</v>
      </c>
    </row>
    <row r="31" spans="1:7" x14ac:dyDescent="0.3">
      <c r="A31" t="s">
        <v>20</v>
      </c>
      <c r="B31" t="s">
        <v>19</v>
      </c>
      <c r="C31" t="s">
        <v>9</v>
      </c>
      <c r="D31" t="s">
        <v>67</v>
      </c>
      <c r="E31" t="s">
        <v>69</v>
      </c>
      <c r="F31" t="s">
        <v>20</v>
      </c>
    </row>
    <row r="32" spans="1:7" x14ac:dyDescent="0.3">
      <c r="A32" t="s">
        <v>14</v>
      </c>
      <c r="B32" t="s">
        <v>19</v>
      </c>
      <c r="F32" t="s">
        <v>21</v>
      </c>
    </row>
    <row r="33" spans="1:7" x14ac:dyDescent="0.3">
      <c r="A33" t="s">
        <v>7</v>
      </c>
      <c r="B33" t="s">
        <v>22</v>
      </c>
      <c r="C33" t="s">
        <v>6</v>
      </c>
      <c r="D33" t="s">
        <v>67</v>
      </c>
      <c r="E33" t="s">
        <v>68</v>
      </c>
      <c r="F33">
        <v>19.600000000000001</v>
      </c>
      <c r="G33">
        <v>19.600000000000001</v>
      </c>
    </row>
    <row r="34" spans="1:7" x14ac:dyDescent="0.3">
      <c r="A34" t="s">
        <v>7</v>
      </c>
      <c r="B34" t="s">
        <v>22</v>
      </c>
      <c r="C34" t="s">
        <v>8</v>
      </c>
      <c r="D34" t="s">
        <v>67</v>
      </c>
      <c r="E34" t="s">
        <v>68</v>
      </c>
      <c r="F34">
        <v>1.3</v>
      </c>
      <c r="G34">
        <v>1.3</v>
      </c>
    </row>
    <row r="35" spans="1:7" x14ac:dyDescent="0.3">
      <c r="A35" t="s">
        <v>7</v>
      </c>
      <c r="B35" t="s">
        <v>22</v>
      </c>
      <c r="C35" t="s">
        <v>9</v>
      </c>
      <c r="D35" t="s">
        <v>67</v>
      </c>
      <c r="E35" t="s">
        <v>69</v>
      </c>
      <c r="F35">
        <v>1.1499999999999999</v>
      </c>
      <c r="G35">
        <v>1.1499999999999999</v>
      </c>
    </row>
    <row r="36" spans="1:7" x14ac:dyDescent="0.3">
      <c r="A36" t="s">
        <v>7</v>
      </c>
      <c r="B36" t="s">
        <v>22</v>
      </c>
      <c r="C36" t="s">
        <v>10</v>
      </c>
      <c r="D36" t="s">
        <v>10</v>
      </c>
      <c r="E36" t="s">
        <v>70</v>
      </c>
      <c r="F36" t="s">
        <v>23</v>
      </c>
    </row>
    <row r="37" spans="1:7" x14ac:dyDescent="0.3">
      <c r="A37" t="s">
        <v>20</v>
      </c>
      <c r="B37" t="s">
        <v>22</v>
      </c>
      <c r="C37" t="s">
        <v>71</v>
      </c>
      <c r="D37" t="s">
        <v>67</v>
      </c>
      <c r="E37" t="s">
        <v>68</v>
      </c>
      <c r="F37" t="s">
        <v>20</v>
      </c>
    </row>
    <row r="38" spans="1:7" x14ac:dyDescent="0.3">
      <c r="A38" t="s">
        <v>20</v>
      </c>
      <c r="B38" t="s">
        <v>22</v>
      </c>
      <c r="C38" t="s">
        <v>9</v>
      </c>
      <c r="D38" t="s">
        <v>67</v>
      </c>
      <c r="E38" t="s">
        <v>69</v>
      </c>
      <c r="F38" t="s">
        <v>20</v>
      </c>
    </row>
    <row r="39" spans="1:7" x14ac:dyDescent="0.3">
      <c r="A39" t="s">
        <v>14</v>
      </c>
      <c r="B39" t="s">
        <v>22</v>
      </c>
      <c r="F39" t="s">
        <v>24</v>
      </c>
    </row>
    <row r="40" spans="1:7" x14ac:dyDescent="0.3">
      <c r="A40" t="s">
        <v>7</v>
      </c>
      <c r="B40" t="s">
        <v>25</v>
      </c>
      <c r="C40" t="s">
        <v>6</v>
      </c>
      <c r="D40" t="s">
        <v>67</v>
      </c>
      <c r="E40" t="s">
        <v>68</v>
      </c>
      <c r="F40">
        <v>14</v>
      </c>
      <c r="G40">
        <v>14</v>
      </c>
    </row>
    <row r="41" spans="1:7" x14ac:dyDescent="0.3">
      <c r="A41" t="s">
        <v>7</v>
      </c>
      <c r="B41" t="s">
        <v>25</v>
      </c>
      <c r="C41" t="s">
        <v>8</v>
      </c>
      <c r="D41" t="s">
        <v>67</v>
      </c>
      <c r="E41" t="s">
        <v>68</v>
      </c>
      <c r="F41">
        <v>2.9</v>
      </c>
      <c r="G41">
        <v>2.9</v>
      </c>
    </row>
    <row r="42" spans="1:7" x14ac:dyDescent="0.3">
      <c r="A42" t="s">
        <v>7</v>
      </c>
      <c r="B42" t="s">
        <v>25</v>
      </c>
      <c r="C42" t="s">
        <v>9</v>
      </c>
      <c r="D42" t="s">
        <v>67</v>
      </c>
      <c r="E42" t="s">
        <v>69</v>
      </c>
      <c r="F42">
        <v>1.5</v>
      </c>
      <c r="G42">
        <v>1.5</v>
      </c>
    </row>
    <row r="43" spans="1:7" x14ac:dyDescent="0.3">
      <c r="A43" t="s">
        <v>7</v>
      </c>
      <c r="B43" t="s">
        <v>25</v>
      </c>
      <c r="C43" t="s">
        <v>10</v>
      </c>
      <c r="D43" t="s">
        <v>10</v>
      </c>
      <c r="E43" t="s">
        <v>70</v>
      </c>
      <c r="F43" t="s">
        <v>26</v>
      </c>
      <c r="G43">
        <v>81.099999999999994</v>
      </c>
    </row>
    <row r="44" spans="1:7" x14ac:dyDescent="0.3">
      <c r="A44" t="s">
        <v>13</v>
      </c>
      <c r="B44" t="s">
        <v>25</v>
      </c>
      <c r="C44" t="s">
        <v>71</v>
      </c>
      <c r="D44" t="s">
        <v>67</v>
      </c>
      <c r="E44" t="s">
        <v>68</v>
      </c>
      <c r="F44">
        <v>22.523</v>
      </c>
      <c r="G44">
        <v>22.523</v>
      </c>
    </row>
    <row r="45" spans="1:7" x14ac:dyDescent="0.3">
      <c r="A45" t="s">
        <v>13</v>
      </c>
      <c r="B45" t="s">
        <v>25</v>
      </c>
      <c r="C45" t="s">
        <v>9</v>
      </c>
      <c r="D45" t="s">
        <v>67</v>
      </c>
      <c r="E45" t="s">
        <v>69</v>
      </c>
      <c r="F45">
        <v>2.4060000000000001</v>
      </c>
      <c r="G45">
        <v>2.4060000000000001</v>
      </c>
    </row>
    <row r="46" spans="1:7" x14ac:dyDescent="0.3">
      <c r="A46" t="s">
        <v>13</v>
      </c>
      <c r="B46" t="s">
        <v>25</v>
      </c>
      <c r="C46" t="s">
        <v>71</v>
      </c>
      <c r="D46" t="s">
        <v>72</v>
      </c>
      <c r="E46" t="s">
        <v>68</v>
      </c>
      <c r="F46">
        <v>12.506</v>
      </c>
      <c r="G46">
        <v>12.506</v>
      </c>
    </row>
    <row r="47" spans="1:7" x14ac:dyDescent="0.3">
      <c r="A47" t="s">
        <v>13</v>
      </c>
      <c r="B47" t="s">
        <v>25</v>
      </c>
      <c r="C47" t="s">
        <v>9</v>
      </c>
      <c r="D47" t="s">
        <v>72</v>
      </c>
      <c r="E47" t="s">
        <v>69</v>
      </c>
      <c r="F47">
        <v>1.4770000000000001</v>
      </c>
      <c r="G47">
        <v>1.4770000000000001</v>
      </c>
    </row>
    <row r="48" spans="1:7" x14ac:dyDescent="0.3">
      <c r="A48" t="s">
        <v>13</v>
      </c>
      <c r="B48" t="s">
        <v>25</v>
      </c>
      <c r="C48" t="s">
        <v>71</v>
      </c>
      <c r="D48" t="s">
        <v>73</v>
      </c>
      <c r="E48" t="s">
        <v>68</v>
      </c>
      <c r="F48">
        <v>16.497</v>
      </c>
      <c r="G48">
        <v>16.497</v>
      </c>
    </row>
    <row r="49" spans="1:7" x14ac:dyDescent="0.3">
      <c r="A49" t="s">
        <v>13</v>
      </c>
      <c r="B49" t="s">
        <v>25</v>
      </c>
      <c r="C49" t="s">
        <v>9</v>
      </c>
      <c r="D49" t="s">
        <v>73</v>
      </c>
      <c r="E49" t="s">
        <v>69</v>
      </c>
      <c r="F49">
        <v>1.6719999999999999</v>
      </c>
      <c r="G49">
        <v>1.6719999999999999</v>
      </c>
    </row>
    <row r="50" spans="1:7" x14ac:dyDescent="0.3">
      <c r="A50" t="s">
        <v>14</v>
      </c>
      <c r="B50" t="s">
        <v>25</v>
      </c>
      <c r="F50" t="s">
        <v>27</v>
      </c>
    </row>
    <row r="51" spans="1:7" x14ac:dyDescent="0.3">
      <c r="A51" t="s">
        <v>7</v>
      </c>
      <c r="B51" t="s">
        <v>28</v>
      </c>
      <c r="C51" t="s">
        <v>6</v>
      </c>
      <c r="D51" t="s">
        <v>67</v>
      </c>
      <c r="E51" t="s">
        <v>68</v>
      </c>
      <c r="F51">
        <v>7.4</v>
      </c>
      <c r="G51">
        <v>7.4</v>
      </c>
    </row>
    <row r="52" spans="1:7" x14ac:dyDescent="0.3">
      <c r="A52" t="s">
        <v>7</v>
      </c>
      <c r="B52" t="s">
        <v>28</v>
      </c>
      <c r="C52" t="s">
        <v>8</v>
      </c>
      <c r="D52" t="s">
        <v>67</v>
      </c>
      <c r="E52" t="s">
        <v>68</v>
      </c>
      <c r="F52">
        <v>3.5</v>
      </c>
      <c r="G52">
        <v>3.5</v>
      </c>
    </row>
    <row r="53" spans="1:7" x14ac:dyDescent="0.3">
      <c r="A53" t="s">
        <v>7</v>
      </c>
      <c r="B53" t="s">
        <v>28</v>
      </c>
      <c r="C53" t="s">
        <v>9</v>
      </c>
      <c r="D53" t="s">
        <v>67</v>
      </c>
      <c r="E53" t="s">
        <v>69</v>
      </c>
      <c r="F53">
        <v>0.6</v>
      </c>
      <c r="G53">
        <v>0.6</v>
      </c>
    </row>
    <row r="54" spans="1:7" x14ac:dyDescent="0.3">
      <c r="A54" t="s">
        <v>14</v>
      </c>
      <c r="B54" t="s">
        <v>28</v>
      </c>
      <c r="F54" t="s">
        <v>29</v>
      </c>
    </row>
    <row r="55" spans="1:7" x14ac:dyDescent="0.3">
      <c r="A55" t="s">
        <v>7</v>
      </c>
      <c r="B55" t="s">
        <v>30</v>
      </c>
      <c r="C55" t="s">
        <v>6</v>
      </c>
      <c r="D55" t="s">
        <v>67</v>
      </c>
      <c r="E55" t="s">
        <v>68</v>
      </c>
      <c r="F55">
        <v>15.8</v>
      </c>
      <c r="G55">
        <v>15.8</v>
      </c>
    </row>
    <row r="56" spans="1:7" x14ac:dyDescent="0.3">
      <c r="A56" t="s">
        <v>7</v>
      </c>
      <c r="B56" t="s">
        <v>30</v>
      </c>
      <c r="C56" t="s">
        <v>8</v>
      </c>
      <c r="D56" t="s">
        <v>67</v>
      </c>
      <c r="E56" t="s">
        <v>68</v>
      </c>
      <c r="F56">
        <v>10.9</v>
      </c>
      <c r="G56">
        <v>10.9</v>
      </c>
    </row>
    <row r="57" spans="1:7" x14ac:dyDescent="0.3">
      <c r="A57" t="s">
        <v>7</v>
      </c>
      <c r="B57" t="s">
        <v>30</v>
      </c>
      <c r="C57" t="s">
        <v>9</v>
      </c>
      <c r="D57" t="s">
        <v>67</v>
      </c>
      <c r="E57" t="s">
        <v>69</v>
      </c>
      <c r="F57">
        <v>4.9000000000000004</v>
      </c>
      <c r="G57">
        <v>4.9000000000000004</v>
      </c>
    </row>
    <row r="58" spans="1:7" x14ac:dyDescent="0.3">
      <c r="A58" t="s">
        <v>14</v>
      </c>
      <c r="B58" t="s">
        <v>30</v>
      </c>
      <c r="F58" t="s">
        <v>31</v>
      </c>
    </row>
    <row r="59" spans="1:7" x14ac:dyDescent="0.3">
      <c r="A59" t="s">
        <v>7</v>
      </c>
      <c r="B59" t="s">
        <v>32</v>
      </c>
      <c r="C59" t="s">
        <v>6</v>
      </c>
      <c r="D59" t="s">
        <v>67</v>
      </c>
      <c r="E59" t="s">
        <v>68</v>
      </c>
      <c r="F59">
        <v>6.7</v>
      </c>
      <c r="G59">
        <v>6.7</v>
      </c>
    </row>
    <row r="60" spans="1:7" x14ac:dyDescent="0.3">
      <c r="A60" t="s">
        <v>7</v>
      </c>
      <c r="B60" t="s">
        <v>32</v>
      </c>
      <c r="C60" t="s">
        <v>8</v>
      </c>
      <c r="D60" t="s">
        <v>67</v>
      </c>
      <c r="E60" t="s">
        <v>68</v>
      </c>
      <c r="F60">
        <v>3.4</v>
      </c>
      <c r="G60">
        <v>3.4</v>
      </c>
    </row>
    <row r="61" spans="1:7" x14ac:dyDescent="0.3">
      <c r="A61" t="s">
        <v>7</v>
      </c>
      <c r="B61" t="s">
        <v>32</v>
      </c>
      <c r="C61" t="s">
        <v>9</v>
      </c>
      <c r="D61" t="s">
        <v>67</v>
      </c>
      <c r="E61" t="s">
        <v>69</v>
      </c>
      <c r="F61">
        <v>0.6</v>
      </c>
      <c r="G61">
        <v>0.6</v>
      </c>
    </row>
    <row r="62" spans="1:7" x14ac:dyDescent="0.3">
      <c r="A62" t="s">
        <v>12</v>
      </c>
      <c r="B62" t="s">
        <v>32</v>
      </c>
      <c r="C62" t="s">
        <v>6</v>
      </c>
      <c r="D62" t="s">
        <v>67</v>
      </c>
      <c r="E62" t="s">
        <v>68</v>
      </c>
      <c r="F62">
        <v>2.65</v>
      </c>
      <c r="G62">
        <v>2.65</v>
      </c>
    </row>
    <row r="63" spans="1:7" x14ac:dyDescent="0.3">
      <c r="A63" t="s">
        <v>12</v>
      </c>
      <c r="B63" t="s">
        <v>32</v>
      </c>
      <c r="C63" t="s">
        <v>8</v>
      </c>
      <c r="D63" t="s">
        <v>67</v>
      </c>
      <c r="E63" t="s">
        <v>68</v>
      </c>
      <c r="F63">
        <v>1.54</v>
      </c>
      <c r="G63">
        <v>1.54</v>
      </c>
    </row>
    <row r="64" spans="1:7" x14ac:dyDescent="0.3">
      <c r="A64" t="s">
        <v>12</v>
      </c>
      <c r="B64" t="s">
        <v>32</v>
      </c>
      <c r="C64" t="s">
        <v>9</v>
      </c>
      <c r="D64" t="s">
        <v>67</v>
      </c>
      <c r="E64" t="s">
        <v>69</v>
      </c>
      <c r="F64">
        <v>0.21</v>
      </c>
      <c r="G64">
        <v>0.21</v>
      </c>
    </row>
    <row r="65" spans="1:7" x14ac:dyDescent="0.3">
      <c r="A65" t="s">
        <v>13</v>
      </c>
      <c r="B65" t="s">
        <v>32</v>
      </c>
      <c r="C65" t="s">
        <v>71</v>
      </c>
      <c r="D65" t="s">
        <v>67</v>
      </c>
      <c r="E65" t="s">
        <v>68</v>
      </c>
      <c r="F65">
        <v>7.2469999999999999</v>
      </c>
      <c r="G65">
        <v>7.2469999999999999</v>
      </c>
    </row>
    <row r="66" spans="1:7" x14ac:dyDescent="0.3">
      <c r="A66" t="s">
        <v>13</v>
      </c>
      <c r="B66" t="s">
        <v>32</v>
      </c>
      <c r="C66" t="s">
        <v>9</v>
      </c>
      <c r="D66" t="s">
        <v>67</v>
      </c>
      <c r="E66" t="s">
        <v>69</v>
      </c>
      <c r="F66">
        <v>0.03</v>
      </c>
      <c r="G66">
        <v>0.03</v>
      </c>
    </row>
    <row r="67" spans="1:7" x14ac:dyDescent="0.3">
      <c r="A67" t="s">
        <v>13</v>
      </c>
      <c r="B67" t="s">
        <v>32</v>
      </c>
      <c r="C67" t="s">
        <v>71</v>
      </c>
      <c r="D67" t="s">
        <v>72</v>
      </c>
      <c r="E67" t="s">
        <v>68</v>
      </c>
      <c r="F67">
        <v>5.22</v>
      </c>
      <c r="G67">
        <v>5.22</v>
      </c>
    </row>
    <row r="68" spans="1:7" x14ac:dyDescent="0.3">
      <c r="A68" t="s">
        <v>13</v>
      </c>
      <c r="B68" t="s">
        <v>32</v>
      </c>
      <c r="C68" t="s">
        <v>9</v>
      </c>
      <c r="D68" t="s">
        <v>72</v>
      </c>
      <c r="E68" t="s">
        <v>69</v>
      </c>
      <c r="F68">
        <v>4.2999999999999997E-2</v>
      </c>
      <c r="G68">
        <v>4.2999999999999997E-2</v>
      </c>
    </row>
    <row r="69" spans="1:7" x14ac:dyDescent="0.3">
      <c r="A69" t="s">
        <v>13</v>
      </c>
      <c r="B69" t="s">
        <v>32</v>
      </c>
      <c r="C69" t="s">
        <v>71</v>
      </c>
      <c r="D69" t="s">
        <v>73</v>
      </c>
      <c r="E69" t="s">
        <v>68</v>
      </c>
      <c r="F69">
        <v>4.0439999999999996</v>
      </c>
      <c r="G69">
        <v>4.0439999999999996</v>
      </c>
    </row>
    <row r="70" spans="1:7" x14ac:dyDescent="0.3">
      <c r="A70" t="s">
        <v>13</v>
      </c>
      <c r="B70" t="s">
        <v>32</v>
      </c>
      <c r="C70" t="s">
        <v>9</v>
      </c>
      <c r="D70" t="s">
        <v>73</v>
      </c>
      <c r="E70" t="s">
        <v>69</v>
      </c>
      <c r="F70">
        <v>4.48E-2</v>
      </c>
      <c r="G70">
        <v>4.48E-2</v>
      </c>
    </row>
    <row r="71" spans="1:7" x14ac:dyDescent="0.3">
      <c r="A71" t="s">
        <v>14</v>
      </c>
      <c r="B71" t="s">
        <v>32</v>
      </c>
      <c r="F71" t="s">
        <v>33</v>
      </c>
    </row>
    <row r="72" spans="1:7" x14ac:dyDescent="0.3">
      <c r="A72" t="s">
        <v>7</v>
      </c>
      <c r="B72" t="s">
        <v>34</v>
      </c>
      <c r="C72" t="s">
        <v>6</v>
      </c>
      <c r="D72" t="s">
        <v>67</v>
      </c>
      <c r="E72" t="s">
        <v>68</v>
      </c>
      <c r="F72">
        <v>8</v>
      </c>
      <c r="G72">
        <v>8</v>
      </c>
    </row>
    <row r="73" spans="1:7" x14ac:dyDescent="0.3">
      <c r="A73" t="s">
        <v>7</v>
      </c>
      <c r="B73" t="s">
        <v>34</v>
      </c>
      <c r="C73" t="s">
        <v>8</v>
      </c>
      <c r="D73" t="s">
        <v>67</v>
      </c>
      <c r="E73" t="s">
        <v>68</v>
      </c>
      <c r="F73">
        <v>15.6</v>
      </c>
      <c r="G73">
        <v>15.6</v>
      </c>
    </row>
    <row r="74" spans="1:7" x14ac:dyDescent="0.3">
      <c r="A74" t="s">
        <v>7</v>
      </c>
      <c r="B74" t="s">
        <v>34</v>
      </c>
      <c r="C74" t="s">
        <v>9</v>
      </c>
      <c r="D74" t="s">
        <v>67</v>
      </c>
      <c r="E74" t="s">
        <v>69</v>
      </c>
      <c r="F74">
        <v>0.2</v>
      </c>
      <c r="G74">
        <v>0.2</v>
      </c>
    </row>
    <row r="75" spans="1:7" x14ac:dyDescent="0.3">
      <c r="A75" t="s">
        <v>12</v>
      </c>
      <c r="B75" t="s">
        <v>34</v>
      </c>
      <c r="C75" t="s">
        <v>6</v>
      </c>
      <c r="D75" t="s">
        <v>67</v>
      </c>
      <c r="E75" t="s">
        <v>68</v>
      </c>
      <c r="F75">
        <v>1.5</v>
      </c>
      <c r="G75">
        <v>1.5</v>
      </c>
    </row>
    <row r="76" spans="1:7" x14ac:dyDescent="0.3">
      <c r="A76" t="s">
        <v>12</v>
      </c>
      <c r="B76" t="s">
        <v>34</v>
      </c>
      <c r="C76" t="s">
        <v>8</v>
      </c>
      <c r="D76" t="s">
        <v>67</v>
      </c>
      <c r="E76" t="s">
        <v>68</v>
      </c>
      <c r="F76">
        <v>13.68</v>
      </c>
      <c r="G76">
        <v>13.68</v>
      </c>
    </row>
    <row r="77" spans="1:7" x14ac:dyDescent="0.3">
      <c r="A77" t="s">
        <v>12</v>
      </c>
      <c r="B77" t="s">
        <v>34</v>
      </c>
      <c r="C77" t="s">
        <v>9</v>
      </c>
      <c r="D77" t="s">
        <v>67</v>
      </c>
      <c r="E77" t="s">
        <v>69</v>
      </c>
      <c r="F77">
        <v>0.28000000000000003</v>
      </c>
      <c r="G77">
        <v>0.28000000000000003</v>
      </c>
    </row>
    <row r="78" spans="1:7" x14ac:dyDescent="0.3">
      <c r="A78" t="s">
        <v>14</v>
      </c>
      <c r="B78" t="s">
        <v>34</v>
      </c>
      <c r="F78" t="s">
        <v>35</v>
      </c>
    </row>
    <row r="79" spans="1:7" x14ac:dyDescent="0.3">
      <c r="A79" t="s">
        <v>7</v>
      </c>
      <c r="B79" t="s">
        <v>36</v>
      </c>
      <c r="C79" t="s">
        <v>6</v>
      </c>
      <c r="D79" t="s">
        <v>67</v>
      </c>
      <c r="E79" t="s">
        <v>68</v>
      </c>
      <c r="F79">
        <v>13</v>
      </c>
      <c r="G79">
        <v>13</v>
      </c>
    </row>
    <row r="80" spans="1:7" x14ac:dyDescent="0.3">
      <c r="A80" t="s">
        <v>7</v>
      </c>
      <c r="B80" t="s">
        <v>36</v>
      </c>
      <c r="C80" t="s">
        <v>8</v>
      </c>
      <c r="D80" t="s">
        <v>67</v>
      </c>
      <c r="E80" t="s">
        <v>68</v>
      </c>
      <c r="F80">
        <v>6.7</v>
      </c>
      <c r="G80">
        <v>6.7</v>
      </c>
    </row>
    <row r="81" spans="1:7" x14ac:dyDescent="0.3">
      <c r="A81" t="s">
        <v>7</v>
      </c>
      <c r="B81" t="s">
        <v>36</v>
      </c>
      <c r="C81" t="s">
        <v>9</v>
      </c>
      <c r="D81" t="s">
        <v>67</v>
      </c>
      <c r="E81" t="s">
        <v>69</v>
      </c>
      <c r="F81">
        <v>0.7</v>
      </c>
      <c r="G81">
        <v>0.7</v>
      </c>
    </row>
    <row r="82" spans="1:7" x14ac:dyDescent="0.3">
      <c r="A82" t="s">
        <v>12</v>
      </c>
      <c r="B82" t="s">
        <v>36</v>
      </c>
      <c r="C82" t="s">
        <v>6</v>
      </c>
      <c r="D82" t="s">
        <v>67</v>
      </c>
      <c r="E82" t="s">
        <v>68</v>
      </c>
      <c r="F82">
        <v>1.61</v>
      </c>
      <c r="G82">
        <v>1.61</v>
      </c>
    </row>
    <row r="83" spans="1:7" x14ac:dyDescent="0.3">
      <c r="A83" t="s">
        <v>12</v>
      </c>
      <c r="B83" t="s">
        <v>36</v>
      </c>
      <c r="C83" t="s">
        <v>8</v>
      </c>
      <c r="D83" t="s">
        <v>67</v>
      </c>
      <c r="E83" t="s">
        <v>68</v>
      </c>
      <c r="F83">
        <v>3.08</v>
      </c>
      <c r="G83">
        <v>3.08</v>
      </c>
    </row>
    <row r="84" spans="1:7" x14ac:dyDescent="0.3">
      <c r="A84" t="s">
        <v>12</v>
      </c>
      <c r="B84" t="s">
        <v>36</v>
      </c>
      <c r="C84" t="s">
        <v>9</v>
      </c>
      <c r="D84" t="s">
        <v>67</v>
      </c>
      <c r="E84" t="s">
        <v>69</v>
      </c>
      <c r="F84">
        <v>0.09</v>
      </c>
      <c r="G84">
        <v>0.09</v>
      </c>
    </row>
    <row r="85" spans="1:7" x14ac:dyDescent="0.3">
      <c r="A85" t="s">
        <v>13</v>
      </c>
      <c r="B85" t="s">
        <v>36</v>
      </c>
      <c r="C85" t="s">
        <v>71</v>
      </c>
      <c r="D85" t="s">
        <v>67</v>
      </c>
      <c r="E85" t="s">
        <v>68</v>
      </c>
      <c r="F85">
        <v>9.9700000000000006</v>
      </c>
      <c r="G85">
        <v>9.9700000000000006</v>
      </c>
    </row>
    <row r="86" spans="1:7" x14ac:dyDescent="0.3">
      <c r="A86" t="s">
        <v>13</v>
      </c>
      <c r="B86" t="s">
        <v>36</v>
      </c>
      <c r="C86" t="s">
        <v>9</v>
      </c>
      <c r="D86" t="s">
        <v>67</v>
      </c>
      <c r="E86" t="s">
        <v>69</v>
      </c>
      <c r="F86">
        <v>9.6500000000000002E-2</v>
      </c>
      <c r="G86">
        <v>9.6500000000000002E-2</v>
      </c>
    </row>
    <row r="87" spans="1:7" x14ac:dyDescent="0.3">
      <c r="A87" t="s">
        <v>13</v>
      </c>
      <c r="B87" t="s">
        <v>36</v>
      </c>
      <c r="C87" t="s">
        <v>71</v>
      </c>
      <c r="D87" t="s">
        <v>72</v>
      </c>
      <c r="E87" t="s">
        <v>68</v>
      </c>
      <c r="F87">
        <v>6.3639999999999999</v>
      </c>
      <c r="G87">
        <v>6.3639999999999999</v>
      </c>
    </row>
    <row r="88" spans="1:7" x14ac:dyDescent="0.3">
      <c r="A88" t="s">
        <v>13</v>
      </c>
      <c r="B88" t="s">
        <v>36</v>
      </c>
      <c r="C88" t="s">
        <v>9</v>
      </c>
      <c r="D88" t="s">
        <v>72</v>
      </c>
      <c r="E88" t="s">
        <v>69</v>
      </c>
      <c r="F88">
        <v>6.6000000000000003E-2</v>
      </c>
      <c r="G88">
        <v>6.6000000000000003E-2</v>
      </c>
    </row>
    <row r="89" spans="1:7" x14ac:dyDescent="0.3">
      <c r="A89" t="s">
        <v>13</v>
      </c>
      <c r="B89" t="s">
        <v>36</v>
      </c>
      <c r="C89" t="s">
        <v>71</v>
      </c>
      <c r="D89" t="s">
        <v>73</v>
      </c>
      <c r="E89" t="s">
        <v>68</v>
      </c>
      <c r="F89">
        <v>6.3659999999999997</v>
      </c>
      <c r="G89">
        <v>6.3659999999999997</v>
      </c>
    </row>
    <row r="90" spans="1:7" x14ac:dyDescent="0.3">
      <c r="A90" t="s">
        <v>13</v>
      </c>
      <c r="B90" t="s">
        <v>36</v>
      </c>
      <c r="C90" t="s">
        <v>9</v>
      </c>
      <c r="D90" t="s">
        <v>73</v>
      </c>
      <c r="E90" t="s">
        <v>69</v>
      </c>
      <c r="F90">
        <v>4.9799999999999997E-2</v>
      </c>
      <c r="G90">
        <v>4.9799999999999997E-2</v>
      </c>
    </row>
    <row r="91" spans="1:7" x14ac:dyDescent="0.3">
      <c r="A91" t="s">
        <v>14</v>
      </c>
      <c r="B91" t="s">
        <v>36</v>
      </c>
      <c r="F91" t="s">
        <v>37</v>
      </c>
    </row>
    <row r="92" spans="1:7" x14ac:dyDescent="0.3">
      <c r="A92" t="s">
        <v>12</v>
      </c>
      <c r="B92" t="s">
        <v>38</v>
      </c>
      <c r="C92" t="s">
        <v>6</v>
      </c>
      <c r="D92" t="s">
        <v>67</v>
      </c>
      <c r="E92" t="s">
        <v>68</v>
      </c>
      <c r="F92">
        <v>4.1900000000000004</v>
      </c>
      <c r="G92">
        <v>4.1900000000000004</v>
      </c>
    </row>
    <row r="93" spans="1:7" x14ac:dyDescent="0.3">
      <c r="A93" t="s">
        <v>12</v>
      </c>
      <c r="B93" t="s">
        <v>38</v>
      </c>
      <c r="C93" t="s">
        <v>8</v>
      </c>
      <c r="D93" t="s">
        <v>67</v>
      </c>
      <c r="E93" t="s">
        <v>68</v>
      </c>
      <c r="F93">
        <v>2.86</v>
      </c>
      <c r="G93">
        <v>2.86</v>
      </c>
    </row>
    <row r="94" spans="1:7" x14ac:dyDescent="0.3">
      <c r="A94" t="s">
        <v>12</v>
      </c>
      <c r="B94" t="s">
        <v>38</v>
      </c>
      <c r="C94" t="s">
        <v>9</v>
      </c>
      <c r="D94" t="s">
        <v>67</v>
      </c>
      <c r="E94" t="s">
        <v>69</v>
      </c>
      <c r="F94">
        <v>0.13</v>
      </c>
      <c r="G94">
        <v>0.13</v>
      </c>
    </row>
    <row r="95" spans="1:7" x14ac:dyDescent="0.3">
      <c r="A95" t="s">
        <v>13</v>
      </c>
      <c r="B95" t="s">
        <v>38</v>
      </c>
      <c r="C95" t="s">
        <v>71</v>
      </c>
      <c r="D95" t="s">
        <v>67</v>
      </c>
      <c r="E95" t="s">
        <v>68</v>
      </c>
      <c r="F95">
        <v>9328</v>
      </c>
    </row>
    <row r="96" spans="1:7" x14ac:dyDescent="0.3">
      <c r="A96" t="s">
        <v>13</v>
      </c>
      <c r="B96" t="s">
        <v>38</v>
      </c>
      <c r="C96" t="s">
        <v>9</v>
      </c>
      <c r="D96" t="s">
        <v>67</v>
      </c>
      <c r="E96" t="s">
        <v>69</v>
      </c>
      <c r="F96">
        <v>0.3</v>
      </c>
      <c r="G96">
        <v>0.3</v>
      </c>
    </row>
    <row r="97" spans="1:7" x14ac:dyDescent="0.3">
      <c r="A97" t="s">
        <v>13</v>
      </c>
      <c r="B97" t="s">
        <v>38</v>
      </c>
      <c r="C97" t="s">
        <v>71</v>
      </c>
      <c r="D97" t="s">
        <v>72</v>
      </c>
      <c r="E97" t="s">
        <v>68</v>
      </c>
      <c r="F97">
        <v>10.8</v>
      </c>
      <c r="G97">
        <v>10.8</v>
      </c>
    </row>
    <row r="98" spans="1:7" x14ac:dyDescent="0.3">
      <c r="A98" t="s">
        <v>13</v>
      </c>
      <c r="B98" t="s">
        <v>38</v>
      </c>
      <c r="C98" t="s">
        <v>9</v>
      </c>
      <c r="D98" t="s">
        <v>72</v>
      </c>
      <c r="E98" t="s">
        <v>69</v>
      </c>
      <c r="F98">
        <v>0.105</v>
      </c>
      <c r="G98">
        <v>0.105</v>
      </c>
    </row>
    <row r="99" spans="1:7" x14ac:dyDescent="0.3">
      <c r="A99" t="s">
        <v>13</v>
      </c>
      <c r="B99" t="s">
        <v>38</v>
      </c>
      <c r="C99" t="s">
        <v>71</v>
      </c>
      <c r="D99" t="s">
        <v>73</v>
      </c>
      <c r="E99" t="s">
        <v>68</v>
      </c>
      <c r="F99">
        <v>10</v>
      </c>
      <c r="G99">
        <v>10</v>
      </c>
    </row>
    <row r="100" spans="1:7" x14ac:dyDescent="0.3">
      <c r="A100" t="s">
        <v>13</v>
      </c>
      <c r="B100" t="s">
        <v>38</v>
      </c>
      <c r="C100" t="s">
        <v>9</v>
      </c>
      <c r="D100" t="s">
        <v>73</v>
      </c>
      <c r="E100" t="s">
        <v>69</v>
      </c>
      <c r="F100">
        <v>0.10100000000000001</v>
      </c>
      <c r="G100">
        <v>0.10100000000000001</v>
      </c>
    </row>
    <row r="101" spans="1:7" x14ac:dyDescent="0.3">
      <c r="A101" t="s">
        <v>14</v>
      </c>
      <c r="B101" t="s">
        <v>38</v>
      </c>
      <c r="F101" t="s">
        <v>39</v>
      </c>
    </row>
    <row r="102" spans="1:7" x14ac:dyDescent="0.3">
      <c r="A102" t="s">
        <v>7</v>
      </c>
      <c r="B102" t="s">
        <v>40</v>
      </c>
      <c r="C102" t="s">
        <v>6</v>
      </c>
      <c r="D102" t="s">
        <v>67</v>
      </c>
      <c r="E102" t="s">
        <v>68</v>
      </c>
      <c r="F102">
        <v>8</v>
      </c>
      <c r="G102">
        <v>8</v>
      </c>
    </row>
    <row r="103" spans="1:7" x14ac:dyDescent="0.3">
      <c r="A103" t="s">
        <v>7</v>
      </c>
      <c r="B103" t="s">
        <v>40</v>
      </c>
      <c r="C103" t="s">
        <v>8</v>
      </c>
      <c r="D103" t="s">
        <v>67</v>
      </c>
      <c r="E103" t="s">
        <v>68</v>
      </c>
      <c r="F103">
        <v>4</v>
      </c>
      <c r="G103">
        <v>4</v>
      </c>
    </row>
    <row r="104" spans="1:7" x14ac:dyDescent="0.3">
      <c r="A104" t="s">
        <v>7</v>
      </c>
      <c r="B104" t="s">
        <v>40</v>
      </c>
      <c r="C104" t="s">
        <v>9</v>
      </c>
      <c r="D104" t="s">
        <v>67</v>
      </c>
      <c r="E104" s="1" t="s">
        <v>69</v>
      </c>
      <c r="F104">
        <v>0.6</v>
      </c>
      <c r="G104">
        <v>0.6</v>
      </c>
    </row>
    <row r="105" spans="1:7" x14ac:dyDescent="0.3">
      <c r="A105" t="s">
        <v>14</v>
      </c>
      <c r="B105" t="s">
        <v>40</v>
      </c>
      <c r="F105" t="s">
        <v>41</v>
      </c>
    </row>
    <row r="106" spans="1:7" x14ac:dyDescent="0.3">
      <c r="A106" t="s">
        <v>7</v>
      </c>
      <c r="B106" t="s">
        <v>42</v>
      </c>
      <c r="C106" t="s">
        <v>6</v>
      </c>
      <c r="D106" t="s">
        <v>67</v>
      </c>
      <c r="E106" t="s">
        <v>68</v>
      </c>
      <c r="F106">
        <v>6.8</v>
      </c>
      <c r="G106">
        <v>6.8</v>
      </c>
    </row>
    <row r="107" spans="1:7" x14ac:dyDescent="0.3">
      <c r="A107" t="s">
        <v>7</v>
      </c>
      <c r="B107" t="s">
        <v>42</v>
      </c>
      <c r="C107" t="s">
        <v>8</v>
      </c>
      <c r="D107" t="s">
        <v>67</v>
      </c>
      <c r="E107" t="s">
        <v>68</v>
      </c>
      <c r="F107">
        <v>3.9</v>
      </c>
      <c r="G107">
        <v>3.9</v>
      </c>
    </row>
    <row r="108" spans="1:7" x14ac:dyDescent="0.3">
      <c r="A108" t="s">
        <v>7</v>
      </c>
      <c r="B108" t="s">
        <v>42</v>
      </c>
      <c r="C108" t="s">
        <v>9</v>
      </c>
      <c r="D108" t="s">
        <v>67</v>
      </c>
      <c r="E108" t="s">
        <v>69</v>
      </c>
      <c r="F108">
        <v>0.4</v>
      </c>
      <c r="G108">
        <v>0.4</v>
      </c>
    </row>
    <row r="109" spans="1:7" x14ac:dyDescent="0.3">
      <c r="A109" t="s">
        <v>13</v>
      </c>
      <c r="B109" t="s">
        <v>42</v>
      </c>
      <c r="C109" t="s">
        <v>71</v>
      </c>
      <c r="D109" t="s">
        <v>67</v>
      </c>
      <c r="E109" t="s">
        <v>68</v>
      </c>
      <c r="F109">
        <v>5.0869999999999997</v>
      </c>
      <c r="G109">
        <v>5.0869999999999997</v>
      </c>
    </row>
    <row r="110" spans="1:7" x14ac:dyDescent="0.3">
      <c r="A110" t="s">
        <v>13</v>
      </c>
      <c r="B110" t="s">
        <v>42</v>
      </c>
      <c r="C110" t="s">
        <v>9</v>
      </c>
      <c r="D110" t="s">
        <v>67</v>
      </c>
      <c r="E110" t="s">
        <v>69</v>
      </c>
      <c r="F110">
        <v>8.0000000000000002E-3</v>
      </c>
      <c r="G110">
        <v>8.0000000000000002E-3</v>
      </c>
    </row>
    <row r="111" spans="1:7" x14ac:dyDescent="0.3">
      <c r="A111" t="s">
        <v>13</v>
      </c>
      <c r="B111" t="s">
        <v>42</v>
      </c>
      <c r="C111" t="s">
        <v>71</v>
      </c>
      <c r="D111" t="s">
        <v>72</v>
      </c>
      <c r="E111" t="s">
        <v>68</v>
      </c>
      <c r="F111">
        <v>3.4</v>
      </c>
      <c r="G111">
        <v>3.4</v>
      </c>
    </row>
    <row r="112" spans="1:7" x14ac:dyDescent="0.3">
      <c r="A112" t="s">
        <v>13</v>
      </c>
      <c r="B112" t="s">
        <v>42</v>
      </c>
      <c r="C112" t="s">
        <v>9</v>
      </c>
      <c r="D112" t="s">
        <v>72</v>
      </c>
      <c r="E112" t="s">
        <v>69</v>
      </c>
      <c r="F112">
        <v>0.01</v>
      </c>
      <c r="G112">
        <v>0.01</v>
      </c>
    </row>
    <row r="113" spans="1:7" x14ac:dyDescent="0.3">
      <c r="A113" t="s">
        <v>13</v>
      </c>
      <c r="B113" t="s">
        <v>42</v>
      </c>
      <c r="C113" t="s">
        <v>71</v>
      </c>
      <c r="D113" t="s">
        <v>73</v>
      </c>
      <c r="E113" t="s">
        <v>68</v>
      </c>
      <c r="F113">
        <v>5.5</v>
      </c>
      <c r="G113">
        <v>5.5</v>
      </c>
    </row>
    <row r="114" spans="1:7" x14ac:dyDescent="0.3">
      <c r="A114" t="s">
        <v>13</v>
      </c>
      <c r="B114" t="s">
        <v>42</v>
      </c>
      <c r="C114" t="s">
        <v>9</v>
      </c>
      <c r="D114" t="s">
        <v>73</v>
      </c>
      <c r="E114" t="s">
        <v>69</v>
      </c>
      <c r="F114">
        <v>2.9000000000000001E-2</v>
      </c>
      <c r="G114">
        <v>2.9000000000000001E-2</v>
      </c>
    </row>
    <row r="115" spans="1:7" x14ac:dyDescent="0.3">
      <c r="A115" t="s">
        <v>14</v>
      </c>
      <c r="B115" t="s">
        <v>42</v>
      </c>
      <c r="F115" t="s">
        <v>43</v>
      </c>
    </row>
    <row r="116" spans="1:7" x14ac:dyDescent="0.3">
      <c r="A116" t="s">
        <v>7</v>
      </c>
      <c r="B116" t="s">
        <v>44</v>
      </c>
      <c r="C116" t="s">
        <v>6</v>
      </c>
      <c r="D116" t="s">
        <v>67</v>
      </c>
      <c r="E116" t="s">
        <v>68</v>
      </c>
      <c r="F116">
        <v>10.199999999999999</v>
      </c>
      <c r="G116">
        <v>10.199999999999999</v>
      </c>
    </row>
    <row r="117" spans="1:7" x14ac:dyDescent="0.3">
      <c r="A117" t="s">
        <v>7</v>
      </c>
      <c r="B117" t="s">
        <v>44</v>
      </c>
      <c r="C117" t="s">
        <v>8</v>
      </c>
      <c r="D117" t="s">
        <v>67</v>
      </c>
      <c r="E117" t="s">
        <v>68</v>
      </c>
      <c r="F117">
        <v>10.199999999999999</v>
      </c>
      <c r="G117">
        <v>10.199999999999999</v>
      </c>
    </row>
    <row r="118" spans="1:7" x14ac:dyDescent="0.3">
      <c r="A118" t="s">
        <v>7</v>
      </c>
      <c r="B118" t="s">
        <v>44</v>
      </c>
      <c r="C118" t="s">
        <v>9</v>
      </c>
      <c r="D118" t="s">
        <v>67</v>
      </c>
      <c r="E118" t="s">
        <v>69</v>
      </c>
      <c r="F118">
        <v>0.6</v>
      </c>
      <c r="G118">
        <v>0.6</v>
      </c>
    </row>
    <row r="119" spans="1:7" x14ac:dyDescent="0.3">
      <c r="A119" t="s">
        <v>14</v>
      </c>
      <c r="B119" t="s">
        <v>44</v>
      </c>
      <c r="F119" t="s">
        <v>45</v>
      </c>
    </row>
    <row r="120" spans="1:7" x14ac:dyDescent="0.3">
      <c r="A120" t="s">
        <v>12</v>
      </c>
      <c r="B120" t="s">
        <v>46</v>
      </c>
      <c r="C120" t="s">
        <v>6</v>
      </c>
      <c r="D120" t="s">
        <v>67</v>
      </c>
      <c r="E120" t="s">
        <v>68</v>
      </c>
      <c r="F120">
        <v>7.18</v>
      </c>
      <c r="G120">
        <v>7.18</v>
      </c>
    </row>
    <row r="121" spans="1:7" x14ac:dyDescent="0.3">
      <c r="A121" t="s">
        <v>12</v>
      </c>
      <c r="B121" t="s">
        <v>46</v>
      </c>
      <c r="C121" t="s">
        <v>8</v>
      </c>
      <c r="D121" t="s">
        <v>67</v>
      </c>
      <c r="E121" t="s">
        <v>68</v>
      </c>
      <c r="F121">
        <v>6.4</v>
      </c>
      <c r="G121">
        <v>6.4</v>
      </c>
    </row>
    <row r="122" spans="1:7" x14ac:dyDescent="0.3">
      <c r="A122" t="s">
        <v>12</v>
      </c>
      <c r="B122" t="s">
        <v>46</v>
      </c>
      <c r="C122" t="s">
        <v>9</v>
      </c>
      <c r="D122" t="s">
        <v>67</v>
      </c>
      <c r="E122" t="s">
        <v>69</v>
      </c>
      <c r="F122">
        <v>0.08</v>
      </c>
      <c r="G122">
        <v>0.08</v>
      </c>
    </row>
    <row r="123" spans="1:7" x14ac:dyDescent="0.3">
      <c r="A123" t="s">
        <v>14</v>
      </c>
      <c r="B123" t="s">
        <v>46</v>
      </c>
      <c r="F123" t="s">
        <v>47</v>
      </c>
    </row>
    <row r="124" spans="1:7" x14ac:dyDescent="0.3">
      <c r="A124" t="s">
        <v>12</v>
      </c>
      <c r="B124" t="s">
        <v>48</v>
      </c>
      <c r="C124" t="s">
        <v>6</v>
      </c>
      <c r="D124" t="s">
        <v>67</v>
      </c>
      <c r="E124" t="s">
        <v>68</v>
      </c>
      <c r="F124">
        <v>0.53</v>
      </c>
      <c r="G124">
        <v>0.53</v>
      </c>
    </row>
    <row r="125" spans="1:7" x14ac:dyDescent="0.3">
      <c r="A125" t="s">
        <v>12</v>
      </c>
      <c r="B125" t="s">
        <v>48</v>
      </c>
      <c r="C125" t="s">
        <v>8</v>
      </c>
      <c r="D125" t="s">
        <v>67</v>
      </c>
      <c r="E125" t="s">
        <v>68</v>
      </c>
      <c r="F125">
        <v>0.31</v>
      </c>
      <c r="G125">
        <v>0.31</v>
      </c>
    </row>
    <row r="126" spans="1:7" x14ac:dyDescent="0.3">
      <c r="A126" t="s">
        <v>12</v>
      </c>
      <c r="B126" t="s">
        <v>48</v>
      </c>
      <c r="C126" t="s">
        <v>9</v>
      </c>
      <c r="D126" t="s">
        <v>67</v>
      </c>
      <c r="E126" t="s">
        <v>69</v>
      </c>
      <c r="F126">
        <v>0.03</v>
      </c>
      <c r="G126">
        <v>0.03</v>
      </c>
    </row>
    <row r="127" spans="1:7" x14ac:dyDescent="0.3">
      <c r="A127" t="s">
        <v>14</v>
      </c>
      <c r="B127" t="s">
        <v>48</v>
      </c>
      <c r="F127" t="s">
        <v>49</v>
      </c>
    </row>
    <row r="128" spans="1:7" x14ac:dyDescent="0.3">
      <c r="A128" t="s">
        <v>12</v>
      </c>
      <c r="B128" t="s">
        <v>50</v>
      </c>
      <c r="C128" t="s">
        <v>6</v>
      </c>
      <c r="D128" t="s">
        <v>67</v>
      </c>
      <c r="E128" t="s">
        <v>68</v>
      </c>
      <c r="F128">
        <v>4.4400000000000004</v>
      </c>
      <c r="G128">
        <v>4.4400000000000004</v>
      </c>
    </row>
    <row r="129" spans="1:7" x14ac:dyDescent="0.3">
      <c r="A129" t="s">
        <v>12</v>
      </c>
      <c r="B129" t="s">
        <v>50</v>
      </c>
      <c r="C129" t="s">
        <v>8</v>
      </c>
      <c r="D129" t="s">
        <v>67</v>
      </c>
      <c r="E129" t="s">
        <v>68</v>
      </c>
      <c r="F129">
        <v>0.31</v>
      </c>
      <c r="G129">
        <v>0.31</v>
      </c>
    </row>
    <row r="130" spans="1:7" x14ac:dyDescent="0.3">
      <c r="A130" t="s">
        <v>12</v>
      </c>
      <c r="B130" t="s">
        <v>50</v>
      </c>
      <c r="C130" t="s">
        <v>9</v>
      </c>
      <c r="D130" t="s">
        <v>67</v>
      </c>
      <c r="E130" t="s">
        <v>69</v>
      </c>
      <c r="F130">
        <v>0.23</v>
      </c>
      <c r="G130">
        <v>0.23</v>
      </c>
    </row>
    <row r="131" spans="1:7" x14ac:dyDescent="0.3">
      <c r="A131" t="s">
        <v>12</v>
      </c>
      <c r="B131" t="s">
        <v>51</v>
      </c>
      <c r="C131" t="s">
        <v>6</v>
      </c>
      <c r="D131" t="s">
        <v>67</v>
      </c>
      <c r="E131" t="s">
        <v>74</v>
      </c>
      <c r="F131">
        <v>0.7</v>
      </c>
      <c r="G131">
        <v>0.7</v>
      </c>
    </row>
    <row r="132" spans="1:7" x14ac:dyDescent="0.3">
      <c r="A132" t="s">
        <v>20</v>
      </c>
      <c r="B132" t="s">
        <v>51</v>
      </c>
      <c r="C132" t="s">
        <v>71</v>
      </c>
      <c r="D132" t="s">
        <v>67</v>
      </c>
      <c r="E132" t="s">
        <v>75</v>
      </c>
      <c r="F132">
        <v>0.12</v>
      </c>
      <c r="G132">
        <v>0.12</v>
      </c>
    </row>
    <row r="133" spans="1:7" x14ac:dyDescent="0.3">
      <c r="A133" t="s">
        <v>20</v>
      </c>
      <c r="B133" t="s">
        <v>51</v>
      </c>
      <c r="C133" t="s">
        <v>9</v>
      </c>
      <c r="D133" t="s">
        <v>67</v>
      </c>
      <c r="E133" t="s">
        <v>76</v>
      </c>
      <c r="F133">
        <v>0</v>
      </c>
      <c r="G133">
        <v>0</v>
      </c>
    </row>
    <row r="134" spans="1:7" x14ac:dyDescent="0.3">
      <c r="A134" t="s">
        <v>20</v>
      </c>
      <c r="B134" t="s">
        <v>51</v>
      </c>
      <c r="C134" t="s">
        <v>71</v>
      </c>
      <c r="D134" t="s">
        <v>72</v>
      </c>
      <c r="E134" t="s">
        <v>75</v>
      </c>
      <c r="F134">
        <v>0.3</v>
      </c>
      <c r="G134">
        <v>0.3</v>
      </c>
    </row>
    <row r="135" spans="1:7" x14ac:dyDescent="0.3">
      <c r="A135" t="s">
        <v>20</v>
      </c>
      <c r="B135" t="s">
        <v>51</v>
      </c>
      <c r="C135" t="s">
        <v>9</v>
      </c>
      <c r="D135" t="s">
        <v>72</v>
      </c>
      <c r="E135" t="s">
        <v>76</v>
      </c>
      <c r="F135">
        <v>2.5999999999999999E-2</v>
      </c>
      <c r="G135">
        <v>2.5999999999999999E-2</v>
      </c>
    </row>
    <row r="136" spans="1:7" x14ac:dyDescent="0.3">
      <c r="A136" t="s">
        <v>20</v>
      </c>
      <c r="B136" t="s">
        <v>51</v>
      </c>
      <c r="C136" t="s">
        <v>71</v>
      </c>
      <c r="D136" t="s">
        <v>73</v>
      </c>
      <c r="E136" t="s">
        <v>75</v>
      </c>
      <c r="F136">
        <v>0.24</v>
      </c>
      <c r="G136">
        <v>0.24</v>
      </c>
    </row>
    <row r="137" spans="1:7" x14ac:dyDescent="0.3">
      <c r="A137" t="s">
        <v>20</v>
      </c>
      <c r="B137" t="s">
        <v>51</v>
      </c>
      <c r="C137" t="s">
        <v>9</v>
      </c>
      <c r="D137" t="s">
        <v>73</v>
      </c>
      <c r="E137" t="s">
        <v>76</v>
      </c>
      <c r="F137">
        <v>1.2999999999999999E-2</v>
      </c>
      <c r="G137">
        <v>1.2999999999999999E-2</v>
      </c>
    </row>
    <row r="138" spans="1:7" x14ac:dyDescent="0.3">
      <c r="A138" t="s">
        <v>14</v>
      </c>
      <c r="B138" t="s">
        <v>51</v>
      </c>
      <c r="F138" t="s">
        <v>52</v>
      </c>
    </row>
    <row r="139" spans="1:7" x14ac:dyDescent="0.3">
      <c r="A139" t="s">
        <v>12</v>
      </c>
      <c r="B139" t="s">
        <v>53</v>
      </c>
      <c r="C139" t="s">
        <v>6</v>
      </c>
      <c r="D139" t="s">
        <v>67</v>
      </c>
      <c r="E139" t="s">
        <v>74</v>
      </c>
      <c r="F139">
        <v>3.7</v>
      </c>
      <c r="G139">
        <v>3.7</v>
      </c>
    </row>
    <row r="140" spans="1:7" x14ac:dyDescent="0.3">
      <c r="A140" t="s">
        <v>14</v>
      </c>
      <c r="B140" t="s">
        <v>53</v>
      </c>
      <c r="F140" t="s">
        <v>54</v>
      </c>
    </row>
    <row r="141" spans="1:7" x14ac:dyDescent="0.3">
      <c r="A141" t="s">
        <v>12</v>
      </c>
      <c r="B141" t="s">
        <v>55</v>
      </c>
      <c r="C141" t="s">
        <v>6</v>
      </c>
      <c r="D141" t="s">
        <v>67</v>
      </c>
      <c r="E141" t="s">
        <v>77</v>
      </c>
      <c r="F141">
        <v>1.9</v>
      </c>
      <c r="G141">
        <v>1.9</v>
      </c>
    </row>
    <row r="142" spans="1:7" x14ac:dyDescent="0.3">
      <c r="A142" t="s">
        <v>56</v>
      </c>
      <c r="B142" t="s">
        <v>34</v>
      </c>
      <c r="C142" t="s">
        <v>71</v>
      </c>
      <c r="D142" t="s">
        <v>67</v>
      </c>
      <c r="E142" t="s">
        <v>68</v>
      </c>
      <c r="F142">
        <v>7544</v>
      </c>
      <c r="G142">
        <v>7.5439999999999996</v>
      </c>
    </row>
    <row r="143" spans="1:7" x14ac:dyDescent="0.3">
      <c r="A143" t="s">
        <v>56</v>
      </c>
      <c r="B143" t="s">
        <v>34</v>
      </c>
      <c r="C143" t="s">
        <v>9</v>
      </c>
      <c r="D143" t="s">
        <v>67</v>
      </c>
      <c r="E143" t="s">
        <v>69</v>
      </c>
      <c r="F143">
        <v>1907</v>
      </c>
      <c r="G143">
        <v>1.907</v>
      </c>
    </row>
    <row r="144" spans="1:7" x14ac:dyDescent="0.3">
      <c r="A144" t="s">
        <v>58</v>
      </c>
      <c r="B144" t="s">
        <v>57</v>
      </c>
      <c r="C144" t="s">
        <v>71</v>
      </c>
      <c r="D144" t="s">
        <v>67</v>
      </c>
      <c r="E144" t="s">
        <v>68</v>
      </c>
      <c r="F144">
        <v>6810</v>
      </c>
      <c r="G144">
        <v>6.81</v>
      </c>
    </row>
    <row r="145" spans="1:7" x14ac:dyDescent="0.3">
      <c r="A145" t="s">
        <v>58</v>
      </c>
      <c r="B145" t="s">
        <v>57</v>
      </c>
      <c r="C145" t="s">
        <v>9</v>
      </c>
      <c r="D145" t="s">
        <v>67</v>
      </c>
      <c r="E145" t="s">
        <v>69</v>
      </c>
      <c r="F145">
        <v>1907</v>
      </c>
      <c r="G145">
        <v>1.907</v>
      </c>
    </row>
    <row r="146" spans="1:7" x14ac:dyDescent="0.3">
      <c r="A146" t="s">
        <v>58</v>
      </c>
      <c r="B146" t="s">
        <v>59</v>
      </c>
      <c r="C146" t="s">
        <v>71</v>
      </c>
      <c r="D146" t="s">
        <v>67</v>
      </c>
      <c r="E146" t="s">
        <v>68</v>
      </c>
      <c r="F146">
        <v>14.71</v>
      </c>
      <c r="G146">
        <v>14.71</v>
      </c>
    </row>
    <row r="147" spans="1:7" x14ac:dyDescent="0.3">
      <c r="A147" t="s">
        <v>58</v>
      </c>
      <c r="B147" t="s">
        <v>59</v>
      </c>
      <c r="C147" t="s">
        <v>9</v>
      </c>
      <c r="D147" t="s">
        <v>67</v>
      </c>
      <c r="E147" t="s">
        <v>69</v>
      </c>
      <c r="F147">
        <v>6040</v>
      </c>
      <c r="G147">
        <v>6.04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EBA9-73E2-4F3D-8434-069DBCEBA3B9}">
  <dimension ref="A1:H28"/>
  <sheetViews>
    <sheetView workbookViewId="0">
      <selection activeCell="N2" sqref="N2"/>
    </sheetView>
  </sheetViews>
  <sheetFormatPr defaultRowHeight="14.4" x14ac:dyDescent="0.3"/>
  <cols>
    <col min="1" max="1" width="27.6640625" bestFit="1" customWidth="1"/>
    <col min="2" max="2" width="17.33203125" bestFit="1" customWidth="1"/>
    <col min="3" max="3" width="16.44140625" bestFit="1" customWidth="1"/>
    <col min="4" max="4" width="7.33203125" bestFit="1" customWidth="1"/>
    <col min="5" max="6" width="12.88671875" bestFit="1" customWidth="1"/>
    <col min="7" max="7" width="8" bestFit="1" customWidth="1"/>
    <col min="8" max="8" width="11.33203125" bestFit="1" customWidth="1"/>
    <col min="9" max="9" width="12" bestFit="1" customWidth="1"/>
    <col min="10" max="10" width="10.44140625" bestFit="1" customWidth="1"/>
  </cols>
  <sheetData>
    <row r="1" spans="1:8" x14ac:dyDescent="0.3">
      <c r="A1" s="2" t="s">
        <v>1</v>
      </c>
      <c r="B1" s="5" t="s">
        <v>64</v>
      </c>
    </row>
    <row r="2" spans="1:8" x14ac:dyDescent="0.3">
      <c r="A2" s="2" t="s">
        <v>65</v>
      </c>
      <c r="B2" s="5" t="s">
        <v>67</v>
      </c>
    </row>
    <row r="4" spans="1:8" x14ac:dyDescent="0.3">
      <c r="A4" s="2" t="s">
        <v>60</v>
      </c>
      <c r="B4" s="2" t="s">
        <v>61</v>
      </c>
    </row>
    <row r="5" spans="1:8" x14ac:dyDescent="0.3">
      <c r="A5" s="2" t="s">
        <v>62</v>
      </c>
      <c r="B5" s="5" t="s">
        <v>56</v>
      </c>
      <c r="C5" s="5" t="s">
        <v>58</v>
      </c>
      <c r="D5" s="5" t="s">
        <v>13</v>
      </c>
      <c r="E5" s="5" t="s">
        <v>7</v>
      </c>
      <c r="F5" s="5" t="s">
        <v>12</v>
      </c>
      <c r="G5" s="5" t="s">
        <v>20</v>
      </c>
      <c r="H5" s="5" t="s">
        <v>63</v>
      </c>
    </row>
    <row r="6" spans="1:8" x14ac:dyDescent="0.3">
      <c r="A6" s="4" t="s">
        <v>50</v>
      </c>
      <c r="B6" s="3"/>
      <c r="C6" s="3"/>
      <c r="D6" s="3"/>
      <c r="E6" s="3"/>
      <c r="F6" s="3">
        <v>4.75</v>
      </c>
      <c r="G6" s="3"/>
      <c r="H6" s="3">
        <v>4.75</v>
      </c>
    </row>
    <row r="7" spans="1:8" x14ac:dyDescent="0.3">
      <c r="A7" s="4" t="s">
        <v>48</v>
      </c>
      <c r="B7" s="3"/>
      <c r="C7" s="3"/>
      <c r="D7" s="3"/>
      <c r="E7" s="3"/>
      <c r="F7" s="3">
        <v>0.84000000000000008</v>
      </c>
      <c r="G7" s="3"/>
      <c r="H7" s="3">
        <v>0.84000000000000008</v>
      </c>
    </row>
    <row r="8" spans="1:8" x14ac:dyDescent="0.3">
      <c r="A8" s="4" t="s">
        <v>25</v>
      </c>
      <c r="B8" s="3"/>
      <c r="C8" s="3"/>
      <c r="D8" s="3">
        <v>22.523</v>
      </c>
      <c r="E8" s="3">
        <v>16.899999999999999</v>
      </c>
      <c r="F8" s="3"/>
      <c r="G8" s="3"/>
      <c r="H8" s="3">
        <v>39.423000000000002</v>
      </c>
    </row>
    <row r="9" spans="1:8" x14ac:dyDescent="0.3">
      <c r="A9" s="4" t="s">
        <v>5</v>
      </c>
      <c r="B9" s="3"/>
      <c r="C9" s="3"/>
      <c r="D9" s="3">
        <v>9.61</v>
      </c>
      <c r="E9" s="3">
        <v>16.600000000000001</v>
      </c>
      <c r="F9" s="3">
        <v>16.490000000000002</v>
      </c>
      <c r="G9" s="3"/>
      <c r="H9" s="3">
        <v>42.7</v>
      </c>
    </row>
    <row r="10" spans="1:8" x14ac:dyDescent="0.3">
      <c r="A10" s="4" t="s">
        <v>16</v>
      </c>
      <c r="B10" s="3"/>
      <c r="C10" s="3"/>
      <c r="D10" s="3"/>
      <c r="E10" s="3">
        <v>2.23</v>
      </c>
      <c r="F10" s="3">
        <v>9.66</v>
      </c>
      <c r="G10" s="3">
        <v>2.528</v>
      </c>
      <c r="H10" s="3">
        <v>14.418000000000001</v>
      </c>
    </row>
    <row r="11" spans="1:8" x14ac:dyDescent="0.3">
      <c r="A11" s="4" t="s">
        <v>42</v>
      </c>
      <c r="B11" s="3"/>
      <c r="C11" s="3"/>
      <c r="D11" s="3">
        <v>5.0869999999999997</v>
      </c>
      <c r="E11" s="3">
        <v>10.7</v>
      </c>
      <c r="F11" s="3"/>
      <c r="G11" s="3"/>
      <c r="H11" s="3">
        <v>15.786999999999999</v>
      </c>
    </row>
    <row r="12" spans="1:8" x14ac:dyDescent="0.3">
      <c r="A12" s="4" t="s">
        <v>28</v>
      </c>
      <c r="B12" s="3"/>
      <c r="C12" s="3"/>
      <c r="D12" s="3"/>
      <c r="E12" s="3">
        <v>10.9</v>
      </c>
      <c r="F12" s="3"/>
      <c r="G12" s="3"/>
      <c r="H12" s="3">
        <v>10.9</v>
      </c>
    </row>
    <row r="13" spans="1:8" x14ac:dyDescent="0.3">
      <c r="A13" s="4" t="s">
        <v>30</v>
      </c>
      <c r="B13" s="3"/>
      <c r="C13" s="3"/>
      <c r="D13" s="3"/>
      <c r="E13" s="3">
        <v>26.700000000000003</v>
      </c>
      <c r="F13" s="3"/>
      <c r="G13" s="3"/>
      <c r="H13" s="3">
        <v>26.700000000000003</v>
      </c>
    </row>
    <row r="14" spans="1:8" x14ac:dyDescent="0.3">
      <c r="A14" s="4" t="s">
        <v>22</v>
      </c>
      <c r="B14" s="3"/>
      <c r="C14" s="3"/>
      <c r="D14" s="3"/>
      <c r="E14" s="3">
        <v>20.900000000000002</v>
      </c>
      <c r="F14" s="3"/>
      <c r="G14" s="3"/>
      <c r="H14" s="3">
        <v>20.900000000000002</v>
      </c>
    </row>
    <row r="15" spans="1:8" x14ac:dyDescent="0.3">
      <c r="A15" s="4" t="s">
        <v>44</v>
      </c>
      <c r="B15" s="3"/>
      <c r="C15" s="3"/>
      <c r="D15" s="3"/>
      <c r="E15" s="3">
        <v>20.399999999999999</v>
      </c>
      <c r="F15" s="3"/>
      <c r="G15" s="3"/>
      <c r="H15" s="3">
        <v>20.399999999999999</v>
      </c>
    </row>
    <row r="16" spans="1:8" x14ac:dyDescent="0.3">
      <c r="A16" s="4" t="s">
        <v>34</v>
      </c>
      <c r="B16" s="3">
        <v>7.5439999999999996</v>
      </c>
      <c r="C16" s="3"/>
      <c r="D16" s="3"/>
      <c r="E16" s="3">
        <v>23.6</v>
      </c>
      <c r="F16" s="3">
        <v>15.18</v>
      </c>
      <c r="G16" s="3"/>
      <c r="H16" s="3">
        <v>46.323999999999998</v>
      </c>
    </row>
    <row r="17" spans="1:8" x14ac:dyDescent="0.3">
      <c r="A17" s="4" t="s">
        <v>57</v>
      </c>
      <c r="B17" s="3"/>
      <c r="C17" s="3">
        <v>6.81</v>
      </c>
      <c r="D17" s="3"/>
      <c r="E17" s="3"/>
      <c r="F17" s="3"/>
      <c r="G17" s="3"/>
      <c r="H17" s="3">
        <v>6.81</v>
      </c>
    </row>
    <row r="18" spans="1:8" x14ac:dyDescent="0.3">
      <c r="A18" s="4" t="s">
        <v>59</v>
      </c>
      <c r="B18" s="3"/>
      <c r="C18" s="3">
        <v>14.71</v>
      </c>
      <c r="D18" s="3"/>
      <c r="E18" s="3"/>
      <c r="F18" s="3"/>
      <c r="G18" s="3"/>
      <c r="H18" s="3">
        <v>14.71</v>
      </c>
    </row>
    <row r="19" spans="1:8" x14ac:dyDescent="0.3">
      <c r="A19" s="4" t="s">
        <v>19</v>
      </c>
      <c r="B19" s="3"/>
      <c r="C19" s="3"/>
      <c r="D19" s="3"/>
      <c r="E19" s="3">
        <v>2.23</v>
      </c>
      <c r="F19" s="3"/>
      <c r="G19" s="3"/>
      <c r="H19" s="3">
        <v>2.23</v>
      </c>
    </row>
    <row r="20" spans="1:8" x14ac:dyDescent="0.3">
      <c r="A20" s="4" t="s">
        <v>32</v>
      </c>
      <c r="B20" s="3"/>
      <c r="C20" s="3"/>
      <c r="D20" s="3">
        <v>7.2469999999999999</v>
      </c>
      <c r="E20" s="3">
        <v>10.1</v>
      </c>
      <c r="F20" s="3">
        <v>4.1899999999999995</v>
      </c>
      <c r="G20" s="3"/>
      <c r="H20" s="3">
        <v>21.536999999999999</v>
      </c>
    </row>
    <row r="21" spans="1:8" x14ac:dyDescent="0.3">
      <c r="A21" s="4" t="s">
        <v>46</v>
      </c>
      <c r="B21" s="3"/>
      <c r="C21" s="3"/>
      <c r="D21" s="3"/>
      <c r="E21" s="3"/>
      <c r="F21" s="3">
        <v>13.58</v>
      </c>
      <c r="G21" s="3"/>
      <c r="H21" s="3">
        <v>13.58</v>
      </c>
    </row>
    <row r="22" spans="1:8" x14ac:dyDescent="0.3">
      <c r="A22" s="4" t="s">
        <v>38</v>
      </c>
      <c r="B22" s="3"/>
      <c r="C22" s="3"/>
      <c r="D22" s="3"/>
      <c r="E22" s="3"/>
      <c r="F22" s="3">
        <v>7.0500000000000007</v>
      </c>
      <c r="G22" s="3"/>
      <c r="H22" s="3">
        <v>7.0500000000000007</v>
      </c>
    </row>
    <row r="23" spans="1:8" x14ac:dyDescent="0.3">
      <c r="A23" s="4" t="s">
        <v>40</v>
      </c>
      <c r="B23" s="3"/>
      <c r="C23" s="3"/>
      <c r="D23" s="3"/>
      <c r="E23" s="3">
        <v>12</v>
      </c>
      <c r="F23" s="3"/>
      <c r="G23" s="3"/>
      <c r="H23" s="3">
        <v>12</v>
      </c>
    </row>
    <row r="24" spans="1:8" x14ac:dyDescent="0.3">
      <c r="A24" s="4" t="s">
        <v>53</v>
      </c>
      <c r="B24" s="3"/>
      <c r="C24" s="3"/>
      <c r="D24" s="3"/>
      <c r="E24" s="3"/>
      <c r="F24" s="3">
        <v>3.7</v>
      </c>
      <c r="G24" s="3"/>
      <c r="H24" s="3">
        <v>3.7</v>
      </c>
    </row>
    <row r="25" spans="1:8" x14ac:dyDescent="0.3">
      <c r="A25" s="4" t="s">
        <v>55</v>
      </c>
      <c r="B25" s="3"/>
      <c r="C25" s="3"/>
      <c r="D25" s="3"/>
      <c r="E25" s="3"/>
      <c r="F25" s="3">
        <v>1.9</v>
      </c>
      <c r="G25" s="3"/>
      <c r="H25" s="3">
        <v>1.9</v>
      </c>
    </row>
    <row r="26" spans="1:8" x14ac:dyDescent="0.3">
      <c r="A26" s="4" t="s">
        <v>51</v>
      </c>
      <c r="B26" s="3"/>
      <c r="C26" s="3"/>
      <c r="D26" s="3"/>
      <c r="E26" s="3"/>
      <c r="F26" s="3">
        <v>0.7</v>
      </c>
      <c r="G26" s="3">
        <v>0.12</v>
      </c>
      <c r="H26" s="3">
        <v>0.82</v>
      </c>
    </row>
    <row r="27" spans="1:8" x14ac:dyDescent="0.3">
      <c r="A27" s="4" t="s">
        <v>36</v>
      </c>
      <c r="B27" s="3"/>
      <c r="C27" s="3"/>
      <c r="D27" s="3">
        <v>9.9700000000000006</v>
      </c>
      <c r="E27" s="3">
        <v>19.7</v>
      </c>
      <c r="F27" s="3">
        <v>4.6900000000000004</v>
      </c>
      <c r="G27" s="3"/>
      <c r="H27" s="3">
        <v>34.36</v>
      </c>
    </row>
    <row r="28" spans="1:8" x14ac:dyDescent="0.3">
      <c r="A28" s="4" t="s">
        <v>63</v>
      </c>
      <c r="B28" s="3">
        <v>7.5439999999999996</v>
      </c>
      <c r="C28" s="3">
        <v>21.52</v>
      </c>
      <c r="D28" s="3">
        <v>54.436999999999998</v>
      </c>
      <c r="E28" s="3">
        <v>192.95999999999998</v>
      </c>
      <c r="F28" s="3">
        <v>82.73</v>
      </c>
      <c r="G28" s="3">
        <v>2.6480000000000001</v>
      </c>
      <c r="H28" s="3">
        <v>361.839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822D-952C-47DA-A2E1-09EA5E5B9137}">
  <sheetPr>
    <tabColor rgb="FFFF0000"/>
  </sheetPr>
  <dimension ref="A1"/>
  <sheetViews>
    <sheetView workbookViewId="0">
      <selection activeCell="F42" sqref="F4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A58-ED7E-49C4-8D93-67CCE1506A37}">
  <sheetPr>
    <tabColor rgb="FFFF0000"/>
  </sheetPr>
  <dimension ref="A1:G25"/>
  <sheetViews>
    <sheetView workbookViewId="0">
      <selection activeCell="A41" sqref="A41"/>
    </sheetView>
  </sheetViews>
  <sheetFormatPr defaultRowHeight="14.4" x14ac:dyDescent="0.3"/>
  <cols>
    <col min="1" max="1" width="24.44140625" bestFit="1" customWidth="1"/>
    <col min="2" max="2" width="12.6640625" bestFit="1" customWidth="1"/>
    <col min="3" max="4" width="11.5546875" bestFit="1" customWidth="1"/>
    <col min="5" max="6" width="15.109375" bestFit="1" customWidth="1"/>
    <col min="7" max="7" width="10.109375" bestFit="1" customWidth="1"/>
  </cols>
  <sheetData>
    <row r="1" spans="1:7" x14ac:dyDescent="0.3">
      <c r="A1" s="5" t="s">
        <v>60</v>
      </c>
      <c r="B1" s="5" t="s">
        <v>61</v>
      </c>
      <c r="C1" s="5"/>
      <c r="D1" s="5"/>
      <c r="E1" s="5"/>
      <c r="F1" s="5"/>
      <c r="G1" s="5"/>
    </row>
    <row r="2" spans="1:7" x14ac:dyDescent="0.3">
      <c r="A2" s="5" t="s">
        <v>62</v>
      </c>
      <c r="B2" s="5" t="s">
        <v>13</v>
      </c>
      <c r="C2" s="5" t="s">
        <v>7</v>
      </c>
      <c r="D2" s="5" t="s">
        <v>12</v>
      </c>
      <c r="E2" s="5" t="s">
        <v>56</v>
      </c>
      <c r="F2" s="5" t="s">
        <v>58</v>
      </c>
      <c r="G2" s="5" t="s">
        <v>63</v>
      </c>
    </row>
    <row r="3" spans="1:7" x14ac:dyDescent="0.3">
      <c r="A3" s="5" t="s">
        <v>50</v>
      </c>
      <c r="B3" s="5"/>
      <c r="C3" s="5"/>
      <c r="D3" s="5">
        <v>4.75</v>
      </c>
      <c r="E3" s="5"/>
      <c r="F3" s="5"/>
      <c r="G3" s="5">
        <v>4.75</v>
      </c>
    </row>
    <row r="4" spans="1:7" x14ac:dyDescent="0.3">
      <c r="A4" s="5" t="s">
        <v>48</v>
      </c>
      <c r="B4" s="5"/>
      <c r="C4" s="5"/>
      <c r="D4" s="5">
        <v>0.84</v>
      </c>
      <c r="E4" s="5"/>
      <c r="F4" s="5"/>
      <c r="G4" s="5">
        <v>0.84</v>
      </c>
    </row>
    <row r="5" spans="1:7" x14ac:dyDescent="0.3">
      <c r="A5" s="5" t="s">
        <v>25</v>
      </c>
      <c r="B5" s="5">
        <v>22.523</v>
      </c>
      <c r="C5" s="5">
        <v>16.899999999999999</v>
      </c>
      <c r="D5" s="5"/>
      <c r="E5" s="5"/>
      <c r="F5" s="5"/>
      <c r="G5" s="5">
        <v>39.423000000000002</v>
      </c>
    </row>
    <row r="6" spans="1:7" x14ac:dyDescent="0.3">
      <c r="A6" s="5" t="s">
        <v>5</v>
      </c>
      <c r="B6" s="5">
        <v>9.61</v>
      </c>
      <c r="C6" s="5">
        <v>16.600000000000001</v>
      </c>
      <c r="D6" s="5">
        <v>16.489999999999998</v>
      </c>
      <c r="E6" s="5"/>
      <c r="F6" s="5"/>
      <c r="G6" s="5">
        <v>42.7</v>
      </c>
    </row>
    <row r="7" spans="1:7" x14ac:dyDescent="0.3">
      <c r="A7" s="5" t="s">
        <v>16</v>
      </c>
      <c r="B7" s="5">
        <v>2.528</v>
      </c>
      <c r="C7" s="5">
        <v>2.23</v>
      </c>
      <c r="D7" s="5">
        <v>2.19</v>
      </c>
      <c r="E7" s="5"/>
      <c r="F7" s="5"/>
      <c r="G7" s="5">
        <v>6.9480000000000004</v>
      </c>
    </row>
    <row r="8" spans="1:7" x14ac:dyDescent="0.3">
      <c r="A8" s="5" t="s">
        <v>42</v>
      </c>
      <c r="B8" s="5">
        <v>5.0869999999999997</v>
      </c>
      <c r="C8" s="5">
        <v>10.7</v>
      </c>
      <c r="D8" s="5"/>
      <c r="E8" s="5"/>
      <c r="F8" s="5"/>
      <c r="G8" s="5">
        <v>15.787000000000001</v>
      </c>
    </row>
    <row r="9" spans="1:7" x14ac:dyDescent="0.3">
      <c r="A9" s="5" t="s">
        <v>28</v>
      </c>
      <c r="B9" s="5"/>
      <c r="C9" s="5">
        <v>10.9</v>
      </c>
      <c r="D9" s="5">
        <v>9.66</v>
      </c>
      <c r="E9" s="5"/>
      <c r="F9" s="5"/>
      <c r="G9" s="5">
        <v>20.56</v>
      </c>
    </row>
    <row r="10" spans="1:7" x14ac:dyDescent="0.3">
      <c r="A10" s="5" t="s">
        <v>30</v>
      </c>
      <c r="B10" s="5"/>
      <c r="C10" s="5">
        <v>26.7</v>
      </c>
      <c r="D10" s="5"/>
      <c r="E10" s="5"/>
      <c r="F10" s="5"/>
      <c r="G10" s="5">
        <v>26.7</v>
      </c>
    </row>
    <row r="11" spans="1:7" x14ac:dyDescent="0.3">
      <c r="A11" s="5" t="s">
        <v>22</v>
      </c>
      <c r="B11" s="5"/>
      <c r="C11" s="5">
        <v>20.9</v>
      </c>
      <c r="D11" s="5"/>
      <c r="E11" s="5"/>
      <c r="F11" s="5"/>
      <c r="G11" s="5">
        <v>20.9</v>
      </c>
    </row>
    <row r="12" spans="1:7" x14ac:dyDescent="0.3">
      <c r="A12" s="5" t="s">
        <v>44</v>
      </c>
      <c r="B12" s="5"/>
      <c r="C12" s="5">
        <v>20.399999999999999</v>
      </c>
      <c r="D12" s="5"/>
      <c r="E12" s="5"/>
      <c r="F12" s="5"/>
      <c r="G12" s="5">
        <v>20.399999999999999</v>
      </c>
    </row>
    <row r="13" spans="1:7" x14ac:dyDescent="0.3">
      <c r="A13" s="5" t="s">
        <v>34</v>
      </c>
      <c r="B13" s="5"/>
      <c r="C13" s="5">
        <v>23.6</v>
      </c>
      <c r="D13" s="5">
        <v>15.18</v>
      </c>
      <c r="E13" s="5">
        <v>7.5</v>
      </c>
      <c r="F13" s="5"/>
      <c r="G13" s="5">
        <v>46.28</v>
      </c>
    </row>
    <row r="14" spans="1:7" x14ac:dyDescent="0.3">
      <c r="A14" s="5" t="s">
        <v>57</v>
      </c>
      <c r="B14" s="5"/>
      <c r="C14" s="5"/>
      <c r="D14" s="5"/>
      <c r="E14" s="5"/>
      <c r="F14" s="5">
        <v>6.81</v>
      </c>
      <c r="G14" s="5">
        <v>6.81</v>
      </c>
    </row>
    <row r="15" spans="1:7" x14ac:dyDescent="0.3">
      <c r="A15" s="5" t="s">
        <v>59</v>
      </c>
      <c r="B15" s="5"/>
      <c r="C15" s="5"/>
      <c r="D15" s="5"/>
      <c r="E15" s="5"/>
      <c r="F15" s="5">
        <v>14.71</v>
      </c>
      <c r="G15" s="5">
        <v>14.71</v>
      </c>
    </row>
    <row r="16" spans="1:7" x14ac:dyDescent="0.3">
      <c r="A16" s="5" t="s">
        <v>19</v>
      </c>
      <c r="B16" s="5"/>
      <c r="C16" s="5">
        <v>2.23</v>
      </c>
      <c r="D16" s="5"/>
      <c r="E16" s="5"/>
      <c r="F16" s="5"/>
      <c r="G16" s="5">
        <v>2.23</v>
      </c>
    </row>
    <row r="17" spans="1:7" x14ac:dyDescent="0.3">
      <c r="A17" s="5" t="s">
        <v>32</v>
      </c>
      <c r="B17" s="5">
        <v>7.2469999999999999</v>
      </c>
      <c r="C17" s="5">
        <v>10.1</v>
      </c>
      <c r="D17" s="5">
        <v>4.1900000000000004</v>
      </c>
      <c r="E17" s="5"/>
      <c r="F17" s="5"/>
      <c r="G17" s="5">
        <v>21.536999999999999</v>
      </c>
    </row>
    <row r="18" spans="1:7" x14ac:dyDescent="0.3">
      <c r="A18" s="5" t="s">
        <v>46</v>
      </c>
      <c r="B18" s="5"/>
      <c r="C18" s="5"/>
      <c r="D18" s="5">
        <v>13.58</v>
      </c>
      <c r="E18" s="5"/>
      <c r="F18" s="5"/>
      <c r="G18" s="5">
        <v>13.58</v>
      </c>
    </row>
    <row r="19" spans="1:7" x14ac:dyDescent="0.3">
      <c r="A19" s="5" t="s">
        <v>38</v>
      </c>
      <c r="B19" s="5"/>
      <c r="C19" s="5"/>
      <c r="D19" s="5">
        <v>7.05</v>
      </c>
      <c r="E19" s="5"/>
      <c r="F19" s="5"/>
      <c r="G19" s="5">
        <v>7.05</v>
      </c>
    </row>
    <row r="20" spans="1:7" x14ac:dyDescent="0.3">
      <c r="A20" s="5" t="s">
        <v>40</v>
      </c>
      <c r="B20" s="5"/>
      <c r="C20" s="5">
        <v>12</v>
      </c>
      <c r="D20" s="5"/>
      <c r="E20" s="5"/>
      <c r="F20" s="5"/>
      <c r="G20" s="5">
        <v>12</v>
      </c>
    </row>
    <row r="21" spans="1:7" x14ac:dyDescent="0.3">
      <c r="A21" s="5" t="s">
        <v>53</v>
      </c>
      <c r="B21" s="5"/>
      <c r="C21" s="5"/>
      <c r="D21" s="5">
        <v>3.7</v>
      </c>
      <c r="E21" s="5"/>
      <c r="F21" s="5"/>
      <c r="G21" s="5">
        <v>3.7</v>
      </c>
    </row>
    <row r="22" spans="1:7" x14ac:dyDescent="0.3">
      <c r="A22" s="5" t="s">
        <v>55</v>
      </c>
      <c r="B22" s="5"/>
      <c r="C22" s="5"/>
      <c r="D22" s="5">
        <v>1.9</v>
      </c>
      <c r="E22" s="5"/>
      <c r="F22" s="5"/>
      <c r="G22" s="5">
        <v>1.9</v>
      </c>
    </row>
    <row r="23" spans="1:7" x14ac:dyDescent="0.3">
      <c r="A23" s="5" t="s">
        <v>51</v>
      </c>
      <c r="B23" s="5">
        <v>0.12</v>
      </c>
      <c r="C23" s="5"/>
      <c r="D23" s="5">
        <v>0.7</v>
      </c>
      <c r="E23" s="5"/>
      <c r="F23" s="5"/>
      <c r="G23" s="5">
        <v>0.82</v>
      </c>
    </row>
    <row r="24" spans="1:7" x14ac:dyDescent="0.3">
      <c r="A24" s="5" t="s">
        <v>36</v>
      </c>
      <c r="B24" s="5">
        <v>9.9700000000000006</v>
      </c>
      <c r="C24" s="5">
        <v>19.7</v>
      </c>
      <c r="D24" s="5">
        <v>4.6900000000000004</v>
      </c>
      <c r="E24" s="5"/>
      <c r="F24" s="5"/>
      <c r="G24" s="5">
        <v>34.36</v>
      </c>
    </row>
    <row r="25" spans="1:7" x14ac:dyDescent="0.3">
      <c r="A25" s="5" t="s">
        <v>63</v>
      </c>
      <c r="B25" s="5">
        <v>57.085000000000001</v>
      </c>
      <c r="C25" s="5">
        <v>192.96</v>
      </c>
      <c r="D25" s="5">
        <v>84.92</v>
      </c>
      <c r="E25" s="5">
        <v>7.5</v>
      </c>
      <c r="F25" s="5">
        <v>21.52</v>
      </c>
      <c r="G25" s="5">
        <v>363.98500000000001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DA164E4CDE447931009150B521B50" ma:contentTypeVersion="18" ma:contentTypeDescription="Create a new document." ma:contentTypeScope="" ma:versionID="28895ea9c11a2934114e4d1dc68ad196">
  <xsd:schema xmlns:xsd="http://www.w3.org/2001/XMLSchema" xmlns:xs="http://www.w3.org/2001/XMLSchema" xmlns:p="http://schemas.microsoft.com/office/2006/metadata/properties" xmlns:ns2="6be7595b-c7a7-4c97-99c0-5201a05973ed" xmlns:ns3="10d047b6-f61f-4da8-9fea-68f0e3792f12" targetNamespace="http://schemas.microsoft.com/office/2006/metadata/properties" ma:root="true" ma:fieldsID="d33606f9768003eda72b506f9d6a7600" ns2:_="" ns3:_="">
    <xsd:import namespace="6be7595b-c7a7-4c97-99c0-5201a05973ed"/>
    <xsd:import namespace="10d047b6-f61f-4da8-9fea-68f0e3792f1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7595b-c7a7-4c97-99c0-5201a05973e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047b6-f61f-4da8-9fea-68f0e3792f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be7595b-c7a7-4c97-99c0-5201a05973ed">EFAZVMN3UR3J-586252059-1672</_dlc_DocId>
    <_dlc_DocIdUrl xmlns="6be7595b-c7a7-4c97-99c0-5201a05973ed">
      <Url>https://spx.ens.dk/sites/gr/co/_layouts/15/DocIdRedir.aspx?ID=EFAZVMN3UR3J-586252059-1672</Url>
      <Description>EFAZVMN3UR3J-586252059-1672</Description>
    </_dlc_DocIdUrl>
    <_dlc_DocIdPersistId xmlns="6be7595b-c7a7-4c97-99c0-5201a05973ed" xsi:nil="true"/>
  </documentManagement>
</p:properties>
</file>

<file path=customXml/item5.xml>��
</file>

<file path=customXml/itemProps1.xml><?xml version="1.0" encoding="utf-8"?>
<ds:datastoreItem xmlns:ds="http://schemas.openxmlformats.org/officeDocument/2006/customXml" ds:itemID="{59DD6357-885C-4932-BBA2-CB2E64B25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e7595b-c7a7-4c97-99c0-5201a05973ed"/>
    <ds:schemaRef ds:uri="10d047b6-f61f-4da8-9fea-68f0e3792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033EDE-14B3-443F-82F2-30A3D7F7972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8B331AD-0F3E-4AD9-BE4F-7CADC11C229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344F773-6742-41C6-8315-E8BCFAED24E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6be7595b-c7a7-4c97-99c0-5201a05973ed"/>
    <ds:schemaRef ds:uri="http://www.w3.org/XML/1998/namespace"/>
    <ds:schemaRef ds:uri="http://schemas.openxmlformats.org/package/2006/metadata/core-properties"/>
    <ds:schemaRef ds:uri="10d047b6-f61f-4da8-9fea-68f0e3792f12"/>
    <ds:schemaRef ds:uri="http://purl.org/dc/terms/"/>
  </ds:schemaRefs>
</ds:datastoreItem>
</file>

<file path=customXml/itemProps5.xml><?xml version="1.0" encoding="utf-8"?>
<ds:datastoreItem xmlns:ds="http://schemas.openxmlformats.org/officeDocument/2006/customXml" ds:itemID="{04628C60-4CAB-4598-8692-FDDEB66C5E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Employment_Coefficients_Long_Fo</vt:lpstr>
      <vt:lpstr>Cons&amp;Manu</vt:lpstr>
      <vt:lpstr>Cons&amp;Manu_old</vt:lpstr>
      <vt:lpstr>Cons&amp;Manu_data_old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Michele Lovat Arranz</dc:creator>
  <cp:lastModifiedBy>Francesco Michele Lovat Arranz</cp:lastModifiedBy>
  <dcterms:created xsi:type="dcterms:W3CDTF">2026-04-18T01:13:27Z</dcterms:created>
  <dcterms:modified xsi:type="dcterms:W3CDTF">2026-05-19T07:36:23Z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0x010100B94DA164E4CDE447931009150B521B50</vt:lpwstr>
  </property>
  <property fmtid="{D5CDD505-2E9C-101B-9397-08002B2CF9AE}" pid="3" name="_dlc_DocIdItemGuid">
    <vt:lpwstr>5bce9720-35db-48d3-9bcd-1a93af884402</vt:lpwstr>
  </property>
</Properties>
</file>