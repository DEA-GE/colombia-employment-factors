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appings_Rutovitz" sheetId="2" state="visible" r:id="rId2"/>
    <sheet name="Mappings_Catalogue" sheetId="3" state="visible" r:id="rId3"/>
    <sheet name="Method_2030_2050" sheetId="4" state="visible" r:id="rId4"/>
    <sheet name="Employment_Outputs" sheetId="5" state="visible" r:id="rId5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sz val="11"/>
    </font>
  </fonts>
  <fills count="4">
    <fill>
      <patternFill/>
    </fill>
    <fill>
      <patternFill patternType="gray125"/>
    </fill>
    <fill>
      <patternFill patternType="solid">
        <fgColor rgb="000F766E"/>
      </patternFill>
    </fill>
    <fill>
      <patternFill patternType="solid">
        <fgColor rgb="00FFF59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MappingsRutovitz" displayName="MappingsRutovitz" ref="A1:D14" headerRowCount="1">
  <autoFilter ref="A1:D14"/>
  <tableColumns count="4">
    <tableColumn id="1" name="Technology"/>
    <tableColumn id="2" name="Rutovitz_Table9_Tech"/>
    <tableColumn id="3" name="Latin_America_2030_decline_factor"/>
    <tableColumn id="4" name="Applied_multiplier_2015_to_203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appingsCatalogue" displayName="MappingsCatalogue" ref="A1:D23" headerRowCount="1">
  <autoFilter ref="A1:D23"/>
  <tableColumns count="4">
    <tableColumn id="1" name="Technology"/>
    <tableColumn id="2" name="Catalogue_Tech"/>
    <tableColumn id="3" name="Mapping_Type"/>
    <tableColumn id="4" name="Projection_Rul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EmploymentOutputs" displayName="EmploymentOutputs" ref="A1:Q362" headerRowCount="1">
  <autoFilter ref="A1:Q362"/>
  <tableColumns count="17">
    <tableColumn id="1" name="Source"/>
    <tableColumn id="2" name="Technology"/>
    <tableColumn id="3" name="Factor_Type"/>
    <tableColumn id="4" name="Job_Type"/>
    <tableColumn id="5" name="Unit"/>
    <tableColumn id="6" name="Year"/>
    <tableColumn id="7" name="Value"/>
    <tableColumn id="8" name="Value_Numeric"/>
    <tableColumn id="9" name="Method_Applied"/>
    <tableColumn id="10" name="Mapped_Rutovitz_Tech"/>
    <tableColumn id="11" name="Rutovitz_2030_Factor"/>
    <tableColumn id="12" name="Mapped_Catalogue_Tech"/>
    <tableColumn id="13" name="Learning_Rate"/>
    <tableColumn id="14" name="Projection_Input"/>
    <tableColumn id="15" name="Base_Year"/>
    <tableColumn id="16" name="Projected_Year"/>
    <tableColumn id="17" name="Projected_Val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32" customWidth="1" min="3" max="3"/>
    <col width="35" customWidth="1" min="4" max="4"/>
    <col width="35" customWidth="1" min="5" max="5"/>
    <col width="35" customWidth="1" min="6" max="6"/>
  </cols>
  <sheetData>
    <row r="1"/>
    <row r="2">
      <c r="B2" s="1" t="inlineStr">
        <is>
          <t>Workbook</t>
        </is>
      </c>
      <c r="C2" s="1" t="inlineStr">
        <is>
          <t>Purpose</t>
        </is>
      </c>
      <c r="D2" s="1" t="inlineStr">
        <is>
          <t>Key inputs</t>
        </is>
      </c>
      <c r="E2" s="1" t="inlineStr">
        <is>
          <t>Notes</t>
        </is>
      </c>
      <c r="F2" s="1" t="inlineStr">
        <is>
          <t>Source context</t>
        </is>
      </c>
    </row>
    <row r="3">
      <c r="B3" t="inlineStr">
        <is>
          <t>Overview</t>
        </is>
      </c>
      <c r="C3" t="inlineStr">
        <is>
          <t>Navigation and assumptions</t>
        </is>
      </c>
      <c r="D3" t="inlineStr">
        <is>
          <t>User inputs highlighted yellow</t>
        </is>
      </c>
      <c r="E3" t="inlineStr">
        <is>
          <t>Supports ex-post jobs calculations for OSeMOSYS-Colombia</t>
        </is>
      </c>
      <c r="F3" t="inlineStr">
        <is>
          <t>Technology Catalogue, Rutovitz, and employment factor inputs</t>
        </is>
      </c>
    </row>
    <row r="4">
      <c r="B4" t="inlineStr">
        <is>
          <t>Mappings_Rutovitz</t>
        </is>
      </c>
      <c r="C4" t="inlineStr">
        <is>
          <t>Mapping to Rutovitz Table 9</t>
        </is>
      </c>
      <c r="D4" t="inlineStr">
        <is>
          <t>Latin America 2030 decline factors</t>
        </is>
      </c>
      <c r="E4" t="inlineStr">
        <is>
          <t>Construction, manufacturing, and O&amp;M for Rutovitz 2015 rows</t>
        </is>
      </c>
      <c r="F4" t="inlineStr">
        <is>
          <t>Rutovitz 2015 Table 9</t>
        </is>
      </c>
    </row>
    <row r="5">
      <c r="B5" t="inlineStr">
        <is>
          <t>Mappings_Catalogue</t>
        </is>
      </c>
      <c r="C5" t="inlineStr">
        <is>
          <t>Mapping to Colombian catalogue</t>
        </is>
      </c>
      <c r="D5" t="inlineStr">
        <is>
          <t>CAPEX/OPEX ratio technology names</t>
        </is>
      </c>
      <c r="E5" t="inlineStr">
        <is>
          <t>Direct, proxy, partial, or constant mapping rule</t>
        </is>
      </c>
      <c r="F5" t="inlineStr">
        <is>
          <t>Colombian Technology Catalogue</t>
        </is>
      </c>
    </row>
    <row r="6">
      <c r="B6" t="inlineStr">
        <is>
          <t>Method_2030_2050</t>
        </is>
      </c>
      <c r="C6" t="inlineStr">
        <is>
          <t>Transparent formulas</t>
        </is>
      </c>
      <c r="D6" t="inlineStr">
        <is>
          <t>Yellow cells are key inputs</t>
        </is>
      </c>
      <c r="E6" t="inlineStr">
        <is>
          <t>Includes equations and worked inputs</t>
        </is>
      </c>
      <c r="F6" t="inlineStr">
        <is>
          <t>For audit and adjustment</t>
        </is>
      </c>
    </row>
    <row r="7">
      <c r="B7" t="inlineStr">
        <is>
          <t>Employment_Outputs</t>
        </is>
      </c>
      <c r="C7" t="inlineStr">
        <is>
          <t>Final long-format outputs</t>
        </is>
      </c>
      <c r="D7" t="inlineStr">
        <is>
          <t>All original and projected rows</t>
        </is>
      </c>
      <c r="E7" t="inlineStr">
        <is>
          <t>CSV-equivalent dataset</t>
        </is>
      </c>
      <c r="F7" t="inlineStr">
        <is>
          <t>For direct model use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35" customWidth="1" min="3" max="3"/>
    <col width="33" customWidth="1" min="4" max="4"/>
  </cols>
  <sheetData>
    <row r="1">
      <c r="A1" s="1" t="inlineStr">
        <is>
          <t>Technology</t>
        </is>
      </c>
      <c r="B1" s="1" t="inlineStr">
        <is>
          <t>Rutovitz_Table9_Tech</t>
        </is>
      </c>
      <c r="C1" s="1" t="inlineStr">
        <is>
          <t>Latin_America_2030_decline_factor</t>
        </is>
      </c>
      <c r="D1" s="1" t="inlineStr">
        <is>
          <t>Applied_multiplier_2015_to_2030</t>
        </is>
      </c>
    </row>
    <row r="2">
      <c r="A2" t="inlineStr">
        <is>
          <t>Coal power</t>
        </is>
      </c>
      <c r="B2" t="inlineStr">
        <is>
          <t>Coal</t>
        </is>
      </c>
      <c r="C2" t="n">
        <v>0</v>
      </c>
      <c r="D2">
        <f>IF(ISNUMBER(C2),1-C2,"")</f>
        <v/>
      </c>
    </row>
    <row r="3">
      <c r="A3" t="inlineStr">
        <is>
          <t>Gas CCGT/OCGT</t>
        </is>
      </c>
      <c r="B3" t="inlineStr">
        <is>
          <t>Gas</t>
        </is>
      </c>
      <c r="C3" t="n">
        <v>0.05</v>
      </c>
      <c r="D3">
        <f>IF(ISNUMBER(C3),1-C3,"")</f>
        <v/>
      </c>
    </row>
    <row r="4">
      <c r="A4" t="inlineStr">
        <is>
          <t>Oil and diesel</t>
        </is>
      </c>
      <c r="B4" t="inlineStr">
        <is>
          <t>Oil</t>
        </is>
      </c>
      <c r="C4" t="n">
        <v>0.06</v>
      </c>
      <c r="D4">
        <f>IF(ISNUMBER(C4),1-C4,"")</f>
        <v/>
      </c>
    </row>
    <row r="5">
      <c r="A5" t="inlineStr">
        <is>
          <t>Nuclear</t>
        </is>
      </c>
      <c r="B5" t="inlineStr">
        <is>
          <t>Nuclear</t>
        </is>
      </c>
      <c r="C5" t="n">
        <v>0</v>
      </c>
      <c r="D5">
        <f>IF(ISNUMBER(C5),1-C5,"")</f>
        <v/>
      </c>
    </row>
    <row r="6">
      <c r="A6" t="inlineStr">
        <is>
          <t>Biomass power</t>
        </is>
      </c>
      <c r="B6" t="inlineStr">
        <is>
          <t>Biomass</t>
        </is>
      </c>
      <c r="C6" t="n">
        <v>0.03</v>
      </c>
      <c r="D6">
        <f>IF(ISNUMBER(C6),1-C6,"")</f>
        <v/>
      </c>
    </row>
    <row r="7">
      <c r="A7" t="inlineStr">
        <is>
          <t>Hydro (large)</t>
        </is>
      </c>
      <c r="B7" t="inlineStr">
        <is>
          <t>Hydro-large</t>
        </is>
      </c>
      <c r="C7" t="n">
        <v>-0.07000000000000001</v>
      </c>
      <c r="D7">
        <f>IF(ISNUMBER(C7),1-C7,"")</f>
        <v/>
      </c>
    </row>
    <row r="8">
      <c r="A8" t="inlineStr">
        <is>
          <t>Hydro (small)</t>
        </is>
      </c>
      <c r="B8" t="inlineStr">
        <is>
          <t>Hydro-small</t>
        </is>
      </c>
      <c r="C8" t="n">
        <v>-0.07000000000000001</v>
      </c>
      <c r="D8">
        <f>IF(ISNUMBER(C8),1-C8,"")</f>
        <v/>
      </c>
    </row>
    <row r="9">
      <c r="A9" t="inlineStr">
        <is>
          <t>Onshore wind</t>
        </is>
      </c>
      <c r="B9" t="inlineStr">
        <is>
          <t>Wind onshore</t>
        </is>
      </c>
      <c r="C9" t="n">
        <v>0.05</v>
      </c>
      <c r="D9">
        <f>IF(ISNUMBER(C9),1-C9,"")</f>
        <v/>
      </c>
    </row>
    <row r="10">
      <c r="A10" t="inlineStr">
        <is>
          <t>Offshore wind</t>
        </is>
      </c>
      <c r="B10" t="inlineStr">
        <is>
          <t>Wind offshore</t>
        </is>
      </c>
      <c r="C10" t="n">
        <v>0.23</v>
      </c>
      <c r="D10">
        <f>IF(ISNUMBER(C10),1-C10,"")</f>
        <v/>
      </c>
    </row>
    <row r="11">
      <c r="A11" t="inlineStr">
        <is>
          <t>Utility-scale solar PV</t>
        </is>
      </c>
      <c r="B11" t="inlineStr">
        <is>
          <t>PV</t>
        </is>
      </c>
      <c r="C11" t="n">
        <v>0.41</v>
      </c>
      <c r="D11">
        <f>IF(ISNUMBER(C11),1-C11,"")</f>
        <v/>
      </c>
    </row>
    <row r="12">
      <c r="A12" t="inlineStr">
        <is>
          <t>Solar thermal (CSP)</t>
        </is>
      </c>
      <c r="B12" t="inlineStr">
        <is>
          <t>Solar thermal power</t>
        </is>
      </c>
      <c r="C12" t="n">
        <v>0.12</v>
      </c>
      <c r="D12">
        <f>IF(ISNUMBER(C12),1-C12,"")</f>
        <v/>
      </c>
    </row>
    <row r="13">
      <c r="A13" t="inlineStr">
        <is>
          <t>Geothermal</t>
        </is>
      </c>
      <c r="B13" t="inlineStr">
        <is>
          <t>Geothermal power</t>
        </is>
      </c>
      <c r="C13" t="n">
        <v>0.48</v>
      </c>
      <c r="D13">
        <f>IF(ISNUMBER(C13),1-C13,"")</f>
        <v/>
      </c>
    </row>
    <row r="14">
      <c r="A14" t="inlineStr">
        <is>
          <t>Ocean</t>
        </is>
      </c>
      <c r="B14" t="inlineStr">
        <is>
          <t>Ocean</t>
        </is>
      </c>
      <c r="C14" t="n">
        <v>0.31</v>
      </c>
      <c r="D14">
        <f>IF(ISNUMBER(C14),1-C14,"")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28" customWidth="1" min="2" max="2"/>
    <col width="19" customWidth="1" min="3" max="3"/>
    <col width="35" customWidth="1" min="4" max="4"/>
  </cols>
  <sheetData>
    <row r="1">
      <c r="A1" s="1" t="inlineStr">
        <is>
          <t>Technology</t>
        </is>
      </c>
      <c r="B1" s="1" t="inlineStr">
        <is>
          <t>Catalogue_Tech</t>
        </is>
      </c>
      <c r="C1" s="1" t="inlineStr">
        <is>
          <t>Mapping_Type</t>
        </is>
      </c>
      <c r="D1" s="1" t="inlineStr">
        <is>
          <t>Projection_Rule</t>
        </is>
      </c>
    </row>
    <row r="2">
      <c r="A2" t="inlineStr">
        <is>
          <t>Battery storage (distributed)</t>
        </is>
      </c>
      <c r="B2" t="inlineStr">
        <is>
          <t>Small-scale Lithium-ion</t>
        </is>
      </c>
      <c r="C2" t="inlineStr">
        <is>
          <t>direct</t>
        </is>
      </c>
      <c r="D2" t="inlineStr">
        <is>
          <t>Use CAPEX/OPEX ratios from the mapped Technology Catalogue row.</t>
        </is>
      </c>
    </row>
    <row r="3">
      <c r="A3" t="inlineStr">
        <is>
          <t>Battery storage (grid)</t>
        </is>
      </c>
      <c r="B3" t="inlineStr">
        <is>
          <t>Utility-scale Lithium-ion</t>
        </is>
      </c>
      <c r="C3" t="inlineStr">
        <is>
          <t>direct</t>
        </is>
      </c>
      <c r="D3" t="inlineStr">
        <is>
          <t>Use CAPEX/OPEX ratios from the mapped Technology Catalogue row.</t>
        </is>
      </c>
    </row>
    <row r="4">
      <c r="A4" t="inlineStr">
        <is>
          <t>Biomass power</t>
        </is>
      </c>
      <c r="B4" t="inlineStr">
        <is>
          <t>Biomass power plant</t>
        </is>
      </c>
      <c r="C4" t="inlineStr">
        <is>
          <t>direct</t>
        </is>
      </c>
      <c r="D4" t="inlineStr">
        <is>
          <t>Use CAPEX/OPEX ratios from the mapped Technology Catalogue row.</t>
        </is>
      </c>
    </row>
    <row r="5">
      <c r="A5" t="inlineStr">
        <is>
          <t>Coal power</t>
        </is>
      </c>
      <c r="B5" t="inlineStr">
        <is>
          <t>Coal Supercritical</t>
        </is>
      </c>
      <c r="C5" t="inlineStr">
        <is>
          <t>direct</t>
        </is>
      </c>
      <c r="D5" t="inlineStr">
        <is>
          <t>Use CAPEX/OPEX ratios from the mapped Technology Catalogue row.</t>
        </is>
      </c>
    </row>
    <row r="6">
      <c r="A6" t="inlineStr">
        <is>
          <t>Gas CCGT/OCGT</t>
        </is>
      </c>
      <c r="B6" t="inlineStr">
        <is>
          <t>CCGT (GAS)</t>
        </is>
      </c>
      <c r="C6" t="inlineStr">
        <is>
          <t>direct</t>
        </is>
      </c>
      <c r="D6" t="inlineStr">
        <is>
          <t>Use CAPEX/OPEX ratios from the mapped Technology Catalogue row.</t>
        </is>
      </c>
    </row>
    <row r="7">
      <c r="A7" t="inlineStr">
        <is>
          <t>Geothermal</t>
        </is>
      </c>
      <c r="B7" t="inlineStr">
        <is>
          <t>Geothermal large</t>
        </is>
      </c>
      <c r="C7" t="inlineStr">
        <is>
          <t>direct</t>
        </is>
      </c>
      <c r="D7" t="inlineStr">
        <is>
          <t>Use CAPEX/OPEX ratios from the mapped Technology Catalogue row.</t>
        </is>
      </c>
    </row>
    <row r="8">
      <c r="A8" t="inlineStr">
        <is>
          <t>Hydro (large)</t>
        </is>
      </c>
      <c r="B8" t="inlineStr">
        <is>
          <t>Large Hydro reservoir</t>
        </is>
      </c>
      <c r="C8" t="inlineStr">
        <is>
          <t>direct</t>
        </is>
      </c>
      <c r="D8" t="inlineStr">
        <is>
          <t>Use CAPEX/OPEX ratios from the mapped Technology Catalogue row.</t>
        </is>
      </c>
    </row>
    <row r="9">
      <c r="A9" t="inlineStr">
        <is>
          <t>Hydro (small)</t>
        </is>
      </c>
      <c r="B9" t="inlineStr">
        <is>
          <t>Small RoR hydro power</t>
        </is>
      </c>
      <c r="C9" t="inlineStr">
        <is>
          <t>direct</t>
        </is>
      </c>
      <c r="D9" t="inlineStr">
        <is>
          <t>Use CAPEX/OPEX ratios from the mapped Technology Catalogue row.</t>
        </is>
      </c>
    </row>
    <row r="10">
      <c r="A10" t="inlineStr">
        <is>
          <t>Nuclear</t>
        </is>
      </c>
      <c r="B10" t="inlineStr">
        <is>
          <t>Nuclear PWR</t>
        </is>
      </c>
      <c r="C10" t="inlineStr">
        <is>
          <t>direct</t>
        </is>
      </c>
      <c r="D10" t="inlineStr">
        <is>
          <t>Use CAPEX/OPEX ratios from the mapped Technology Catalogue row.</t>
        </is>
      </c>
    </row>
    <row r="11">
      <c r="A11" t="inlineStr">
        <is>
          <t>Offshore wind</t>
        </is>
      </c>
      <c r="B11" t="inlineStr">
        <is>
          <t>Wind Offshore fixed bottom</t>
        </is>
      </c>
      <c r="C11" t="inlineStr">
        <is>
          <t>direct</t>
        </is>
      </c>
      <c r="D11" t="inlineStr">
        <is>
          <t>Use fixed-bottom offshore wind ratios for generic offshore wind rows.</t>
        </is>
      </c>
    </row>
    <row r="12">
      <c r="A12" t="inlineStr">
        <is>
          <t>Offshore wind (fixed)</t>
        </is>
      </c>
      <c r="B12" t="inlineStr">
        <is>
          <t>Wind Offshore fixed bottom</t>
        </is>
      </c>
      <c r="C12" t="inlineStr">
        <is>
          <t>direct</t>
        </is>
      </c>
      <c r="D12" t="inlineStr">
        <is>
          <t>Use CAPEX/OPEX ratios from the mapped Technology Catalogue row.</t>
        </is>
      </c>
    </row>
    <row r="13">
      <c r="A13" t="inlineStr">
        <is>
          <t>Offshore wind (floating)</t>
        </is>
      </c>
      <c r="B13" t="inlineStr">
        <is>
          <t>Wind offshore floating</t>
        </is>
      </c>
      <c r="C13" t="inlineStr">
        <is>
          <t>partial</t>
        </is>
      </c>
      <c r="D13" t="inlineStr">
        <is>
          <t>2024 ratios are unavailable; use 2050/2030 where a 2030 base exists.</t>
        </is>
      </c>
    </row>
    <row r="14">
      <c r="A14" t="inlineStr">
        <is>
          <t>Oil and diesel</t>
        </is>
      </c>
      <c r="B14" t="inlineStr">
        <is>
          <t>SCGT (GAS)</t>
        </is>
      </c>
      <c r="C14" t="inlineStr">
        <is>
          <t>proxy</t>
        </is>
      </c>
      <c r="D14" t="inlineStr">
        <is>
          <t>Proxy oil/diesel with simple-cycle gas turbine ratios.</t>
        </is>
      </c>
    </row>
    <row r="15">
      <c r="A15" t="inlineStr">
        <is>
          <t>Onshore wind</t>
        </is>
      </c>
      <c r="B15" t="inlineStr">
        <is>
          <t>Wind Onshore</t>
        </is>
      </c>
      <c r="C15" t="inlineStr">
        <is>
          <t>direct</t>
        </is>
      </c>
      <c r="D15" t="inlineStr">
        <is>
          <t>Use CAPEX/OPEX ratios from the mapped Technology Catalogue row.</t>
        </is>
      </c>
    </row>
    <row r="16">
      <c r="A16" t="inlineStr">
        <is>
          <t>Pumped hydro storage</t>
        </is>
      </c>
      <c r="B16" t="inlineStr">
        <is>
          <t>Hydro pumped storage</t>
        </is>
      </c>
      <c r="C16" t="inlineStr">
        <is>
          <t>direct</t>
        </is>
      </c>
      <c r="D16" t="inlineStr">
        <is>
          <t>Use CAPEX/OPEX ratios from the mapped Technology Catalogue row.</t>
        </is>
      </c>
    </row>
    <row r="17">
      <c r="A17" t="inlineStr">
        <is>
          <t>Rooftop solar PV</t>
        </is>
      </c>
      <c r="B17" t="inlineStr">
        <is>
          <t>Residential PV (rooftop)</t>
        </is>
      </c>
      <c r="C17" t="inlineStr">
        <is>
          <t>direct</t>
        </is>
      </c>
      <c r="D17" t="inlineStr">
        <is>
          <t>Use residential rooftop PV ratios for rooftop solar rows.</t>
        </is>
      </c>
    </row>
    <row r="18">
      <c r="A18" t="inlineStr">
        <is>
          <t>Solar thermal (CSP)</t>
        </is>
      </c>
      <c r="B18" t="inlineStr"/>
      <c r="C18" t="inlineStr">
        <is>
          <t>unmapped_constant</t>
        </is>
      </c>
      <c r="D18" t="inlineStr">
        <is>
          <t>No matching ratio row; hold projected values constant.</t>
        </is>
      </c>
    </row>
    <row r="19">
      <c r="A19" t="inlineStr">
        <is>
          <t>Ocean</t>
        </is>
      </c>
      <c r="B19" t="inlineStr"/>
      <c r="C19" t="inlineStr">
        <is>
          <t>unmapped_constant</t>
        </is>
      </c>
      <c r="D19" t="inlineStr">
        <is>
          <t>No matching ratio row; hold projected values constant.</t>
        </is>
      </c>
    </row>
    <row r="20">
      <c r="A20" t="inlineStr">
        <is>
          <t>Transmission (double circuit)</t>
        </is>
      </c>
      <c r="B20" t="inlineStr"/>
      <c r="C20" t="inlineStr">
        <is>
          <t>unmapped_constant</t>
        </is>
      </c>
      <c r="D20" t="inlineStr">
        <is>
          <t>No matching ratio row; hold projected values constant.</t>
        </is>
      </c>
    </row>
    <row r="21">
      <c r="A21" t="inlineStr">
        <is>
          <t>Transmission (other)</t>
        </is>
      </c>
      <c r="B21" t="inlineStr"/>
      <c r="C21" t="inlineStr">
        <is>
          <t>unmapped_constant</t>
        </is>
      </c>
      <c r="D21" t="inlineStr">
        <is>
          <t>No matching ratio row; hold projected values constant.</t>
        </is>
      </c>
    </row>
    <row r="22">
      <c r="A22" t="inlineStr">
        <is>
          <t>Transmission (single circuit)</t>
        </is>
      </c>
      <c r="B22" t="inlineStr"/>
      <c r="C22" t="inlineStr">
        <is>
          <t>unmapped_constant</t>
        </is>
      </c>
      <c r="D22" t="inlineStr">
        <is>
          <t>No matching ratio row; hold projected values constant.</t>
        </is>
      </c>
    </row>
    <row r="23">
      <c r="A23" t="inlineStr">
        <is>
          <t>Utility-scale solar PV</t>
        </is>
      </c>
      <c r="B23" t="inlineStr">
        <is>
          <t>Utility scale PV(tracking)</t>
        </is>
      </c>
      <c r="C23" t="inlineStr">
        <is>
          <t>direct</t>
        </is>
      </c>
      <c r="D23" t="inlineStr">
        <is>
          <t>Use utility-scale tracking PV ratios.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35" customWidth="1" min="3" max="3"/>
    <col width="35" customWidth="1" min="4" max="4"/>
    <col width="31" customWidth="1" min="5" max="5"/>
    <col width="20" customWidth="1" min="6" max="6"/>
    <col width="35" customWidth="1" min="7" max="7"/>
  </cols>
  <sheetData>
    <row r="1"/>
    <row r="2">
      <c r="B2" s="1" t="inlineStr">
        <is>
          <t>Input type</t>
        </is>
      </c>
      <c r="C2" s="1" t="inlineStr">
        <is>
          <t>Formula</t>
        </is>
      </c>
      <c r="D2" s="1" t="inlineStr">
        <is>
          <t>2030 input</t>
        </is>
      </c>
      <c r="E2" s="1" t="inlineStr">
        <is>
          <t>2050 input</t>
        </is>
      </c>
      <c r="F2" s="1" t="inlineStr">
        <is>
          <t>Example technology</t>
        </is>
      </c>
      <c r="G2" s="1" t="inlineStr">
        <is>
          <t>Comment</t>
        </is>
      </c>
    </row>
    <row r="3">
      <c r="B3" t="inlineStr">
        <is>
          <t>Rutovitz 2015 C/M/O&amp;M</t>
        </is>
      </c>
      <c r="C3" t="inlineStr">
        <is>
          <t>EF_2030 = EF_2015 * (1 - decline_factor_2030)</t>
        </is>
      </c>
      <c r="D3" s="2" t="inlineStr">
        <is>
          <t>Latin America Table 9 coefficient</t>
        </is>
      </c>
      <c r="E3" s="2" t="inlineStr">
        <is>
          <t>2050/2030 CAPEX or OPEX ratio</t>
        </is>
      </c>
      <c r="F3" t="inlineStr">
        <is>
          <t>Solar PV</t>
        </is>
      </c>
      <c r="G3" t="inlineStr">
        <is>
          <t>2030 uses Rutovitz Table 9; 2050 uses catalogue CAPEX/OPEX transition ratios.</t>
        </is>
      </c>
    </row>
    <row r="4">
      <c r="B4" t="inlineStr">
        <is>
          <t>CAPEX/OPEX ratio</t>
        </is>
      </c>
      <c r="C4" t="inlineStr">
        <is>
          <t>EF_2030 = EF_2024 * ratio_2030_2024; EF_2050 = EF_2030 * ratio_2050_2030</t>
        </is>
      </c>
      <c r="D4" s="2" t="inlineStr">
        <is>
          <t>2030/2024 CAPEX or OPEX ratio</t>
        </is>
      </c>
      <c r="E4" s="2" t="inlineStr">
        <is>
          <t>2050/2030 CAPEX or OPEX ratio</t>
        </is>
      </c>
      <c r="F4" t="inlineStr">
        <is>
          <t>Coal power</t>
        </is>
      </c>
      <c r="G4" t="inlineStr">
        <is>
          <t>Used for non-Rutovitz-2015 projection rows mapped to catalogue ratio technologies.</t>
        </is>
      </c>
    </row>
    <row r="5"/>
    <row r="6"/>
    <row r="7">
      <c r="B7" s="3" t="inlineStr">
        <is>
          <t>CAPEX/OPEX ratio inputs</t>
        </is>
      </c>
    </row>
    <row r="8">
      <c r="B8" s="1" t="inlineStr">
        <is>
          <t>Catalogue tech</t>
        </is>
      </c>
      <c r="C8" s="1" t="inlineStr">
        <is>
          <t>CAPEX 2030/2024</t>
        </is>
      </c>
      <c r="D8" s="1" t="inlineStr">
        <is>
          <t>CAPEX 2050/2030</t>
        </is>
      </c>
      <c r="E8" s="1" t="inlineStr">
        <is>
          <t>OPEX 2030/2024</t>
        </is>
      </c>
      <c r="F8" s="1" t="inlineStr">
        <is>
          <t>OPEX 2050/2030</t>
        </is>
      </c>
    </row>
    <row r="9">
      <c r="B9" t="inlineStr">
        <is>
          <t>Residential PV (rooftop)</t>
        </is>
      </c>
      <c r="C9" t="n">
        <v>0.6897748795362156</v>
      </c>
      <c r="D9" t="n">
        <v>0.6714972458666703</v>
      </c>
      <c r="E9" t="n">
        <v>0.8588235294117647</v>
      </c>
      <c r="F9" t="n">
        <v>0.8424657534246576</v>
      </c>
    </row>
    <row r="10">
      <c r="B10" t="inlineStr">
        <is>
          <t>Industrial PV (rooftop)</t>
        </is>
      </c>
      <c r="C10" t="n">
        <v>0.6890290867413077</v>
      </c>
      <c r="D10" t="n">
        <v>0.6707100788036421</v>
      </c>
      <c r="E10" t="n">
        <v>0.86</v>
      </c>
      <c r="F10" t="n">
        <v>0.8449612403100775</v>
      </c>
    </row>
    <row r="11">
      <c r="B11" t="inlineStr">
        <is>
          <t>Small scale PV</t>
        </is>
      </c>
      <c r="C11" t="n">
        <v>0.6904286411778979</v>
      </c>
      <c r="D11" t="n">
        <v>0.672185877426923</v>
      </c>
      <c r="E11" t="n">
        <v>0.8545454545454545</v>
      </c>
      <c r="F11" t="n">
        <v>0.851063829787234</v>
      </c>
    </row>
    <row r="12">
      <c r="B12" t="inlineStr">
        <is>
          <t>Utility scale PV(tracking)</t>
        </is>
      </c>
      <c r="C12" t="n">
        <v>0.6901613393937807</v>
      </c>
      <c r="D12" t="n">
        <v>0.6719044761324922</v>
      </c>
      <c r="E12" t="n">
        <v>0.8513513513513513</v>
      </c>
      <c r="F12" t="n">
        <v>0.8571428571428571</v>
      </c>
    </row>
    <row r="13">
      <c r="B13" t="inlineStr">
        <is>
          <t>Floating PV</t>
        </is>
      </c>
      <c r="C13" t="n">
        <v>0.6962167495815776</v>
      </c>
      <c r="D13" t="n">
        <v>0.6782262962213075</v>
      </c>
      <c r="E13" t="n">
        <v>0.8581818181818182</v>
      </c>
      <c r="F13" t="n">
        <v>0.847457627118644</v>
      </c>
    </row>
    <row r="14">
      <c r="B14" t="inlineStr">
        <is>
          <t>Wind Onshore</t>
        </is>
      </c>
      <c r="C14" t="n">
        <v>0.9490264910424701</v>
      </c>
      <c r="D14" t="n">
        <v>0.9469531187817524</v>
      </c>
      <c r="E14" t="n">
        <v>0.9489051094890508</v>
      </c>
      <c r="F14" t="n">
        <v>0.946153846153846</v>
      </c>
    </row>
    <row r="15">
      <c r="B15" t="inlineStr">
        <is>
          <t>Small wind onshore</t>
        </is>
      </c>
      <c r="C15" t="n">
        <v>0.9490264910424702</v>
      </c>
      <c r="D15" t="n">
        <v>0.9469531187817524</v>
      </c>
      <c r="E15" t="n">
        <v>0.9386861313868612</v>
      </c>
      <c r="F15" t="n">
        <v>0.9362363919129082</v>
      </c>
    </row>
    <row r="16">
      <c r="B16" t="inlineStr">
        <is>
          <t>Wind Offshore fixed bottom</t>
        </is>
      </c>
      <c r="C16" t="n">
        <v>0.7465205953781396</v>
      </c>
      <c r="D16" t="n">
        <v>0.7005449997448997</v>
      </c>
      <c r="E16" t="n">
        <v>0.7465437788018433</v>
      </c>
      <c r="F16" t="n">
        <v>0.6975308641975309</v>
      </c>
    </row>
    <row r="17">
      <c r="B17" t="inlineStr">
        <is>
          <t>Wind offshore floating</t>
        </is>
      </c>
      <c r="C17" t="n">
        <v/>
      </c>
      <c r="D17" t="n">
        <v>0.5229712702987412</v>
      </c>
      <c r="E17" t="n">
        <v/>
      </c>
      <c r="F17" t="n">
        <v>0.5207373271889401</v>
      </c>
    </row>
    <row r="18">
      <c r="B18" t="inlineStr">
        <is>
          <t>Large RoR hydro power</t>
        </is>
      </c>
      <c r="C18" t="n">
        <v>0.998209354851183</v>
      </c>
      <c r="D18" t="n">
        <v>0.994910686684318</v>
      </c>
      <c r="E18" t="n">
        <v>0.9981818181818182</v>
      </c>
      <c r="F18" t="n">
        <v>0.9945355191256831</v>
      </c>
    </row>
    <row r="19">
      <c r="B19" t="inlineStr">
        <is>
          <t>Small RoR hydro power</t>
        </is>
      </c>
      <c r="C19" t="n">
        <v>0.998209354851183</v>
      </c>
      <c r="D19" t="n">
        <v>0.994910686684318</v>
      </c>
      <c r="E19" t="n">
        <v>0.9984962406015038</v>
      </c>
      <c r="F19" t="n">
        <v>0.993975903614458</v>
      </c>
    </row>
    <row r="20">
      <c r="B20" t="inlineStr">
        <is>
          <t>Mini RoR hydro power</t>
        </is>
      </c>
      <c r="C20" t="n">
        <v>0.997886206128944</v>
      </c>
      <c r="D20" t="n">
        <v>0.9949106866843184</v>
      </c>
      <c r="E20" t="n">
        <v>0.9957446808510638</v>
      </c>
      <c r="F20" t="n">
        <v>0.9946581196581196</v>
      </c>
    </row>
    <row r="21">
      <c r="B21" t="inlineStr">
        <is>
          <t>Large Hydro reservoir</t>
        </is>
      </c>
      <c r="C21" t="n">
        <v>0.998209354851183</v>
      </c>
      <c r="D21" t="n">
        <v>0.994910686684318</v>
      </c>
      <c r="E21" t="n">
        <v>0.9981818181818182</v>
      </c>
      <c r="F21" t="n">
        <v>0.9945355191256831</v>
      </c>
    </row>
    <row r="22">
      <c r="B22" t="inlineStr">
        <is>
          <t>Geothermal large</t>
        </is>
      </c>
      <c r="C22" t="n">
        <v>0.941982699695581</v>
      </c>
      <c r="D22" t="n">
        <v>0.9229247031680952</v>
      </c>
      <c r="E22" t="n">
        <v>0.9420935412026726</v>
      </c>
      <c r="F22" t="n">
        <v>0.9231678486997636</v>
      </c>
    </row>
    <row r="23">
      <c r="B23" t="inlineStr">
        <is>
          <t>Geothermal small</t>
        </is>
      </c>
      <c r="C23" t="n">
        <v>0.941982699695581</v>
      </c>
      <c r="D23" t="n">
        <v>0.9229247031680952</v>
      </c>
      <c r="E23" t="n">
        <v>0.9415073115860516</v>
      </c>
      <c r="F23" t="n">
        <v>0.9235364396654721</v>
      </c>
    </row>
    <row r="24">
      <c r="B24" t="inlineStr">
        <is>
          <t>Biomass power plant</t>
        </is>
      </c>
      <c r="C24" t="n">
        <v>0.96201821049129</v>
      </c>
      <c r="D24" t="n">
        <v>0.940469872308534</v>
      </c>
      <c r="E24" t="n">
        <v>0.9621087314662272</v>
      </c>
      <c r="F24" t="n">
        <v>0.940068493150685</v>
      </c>
    </row>
    <row r="25">
      <c r="B25" t="inlineStr">
        <is>
          <t>Biogas power plant</t>
        </is>
      </c>
      <c r="C25" t="n">
        <v>0.96201821049129</v>
      </c>
      <c r="D25" t="n">
        <v>0.9404698723085338</v>
      </c>
      <c r="E25" t="n">
        <v>0.961038961038961</v>
      </c>
      <c r="F25" t="n">
        <v>0.9414414414414416</v>
      </c>
    </row>
    <row r="26">
      <c r="B26" t="inlineStr">
        <is>
          <t>Coal Supercritical</t>
        </is>
      </c>
      <c r="C26" t="n">
        <v>0.988059840239808</v>
      </c>
      <c r="D26" t="n">
        <v>0.9607509570263428</v>
      </c>
      <c r="E26" t="n">
        <v>0.988118811881188</v>
      </c>
      <c r="F26" t="n">
        <v>0.9599198396793588</v>
      </c>
    </row>
    <row r="27">
      <c r="B27" t="inlineStr">
        <is>
          <t>CCGT (GAS)</t>
        </is>
      </c>
      <c r="C27" t="n">
        <v>0.988059840239808</v>
      </c>
      <c r="D27" t="n">
        <v>0.9607509570263428</v>
      </c>
      <c r="E27" t="n">
        <v>0.9878419452887538</v>
      </c>
      <c r="F27" t="n">
        <v>0.96</v>
      </c>
    </row>
    <row r="28">
      <c r="B28" t="inlineStr">
        <is>
          <t>SCGT (GAS)</t>
        </is>
      </c>
      <c r="C28" t="n">
        <v>0.988059840239808</v>
      </c>
      <c r="D28" t="n">
        <v>0.9607509570263428</v>
      </c>
      <c r="E28" t="n">
        <v>0.9863945578231292</v>
      </c>
      <c r="F28" t="n">
        <v>0.9620689655172414</v>
      </c>
    </row>
    <row r="29">
      <c r="B29" t="inlineStr">
        <is>
          <t>MSW</t>
        </is>
      </c>
      <c r="C29" t="n">
        <v>0.988059840239808</v>
      </c>
      <c r="D29" t="n">
        <v>0.9607509570263428</v>
      </c>
      <c r="E29" t="n">
        <v>0.988425925925926</v>
      </c>
      <c r="F29" t="n">
        <v>0.9601873536299764</v>
      </c>
    </row>
    <row r="30">
      <c r="B30" t="inlineStr">
        <is>
          <t>Nuclear PWR</t>
        </is>
      </c>
      <c r="C30" t="n">
        <v>0.8777777777777778</v>
      </c>
      <c r="D30" t="n">
        <v>0.860759493670886</v>
      </c>
      <c r="E30" t="n">
        <v>0.9448818897637796</v>
      </c>
      <c r="F30" t="n">
        <v>0.9416666666666668</v>
      </c>
    </row>
    <row r="31">
      <c r="B31" t="inlineStr">
        <is>
          <t>Nuclear SMR</t>
        </is>
      </c>
      <c r="C31" t="n">
        <v/>
      </c>
      <c r="D31" t="n">
        <v>0.7604166666666666</v>
      </c>
      <c r="E31" t="n">
        <v/>
      </c>
      <c r="F31" t="n">
        <v>0.9272727272727272</v>
      </c>
    </row>
    <row r="32">
      <c r="B32" t="inlineStr">
        <is>
          <t>Utility-scale Lithium-ion</t>
        </is>
      </c>
      <c r="C32" t="n">
        <v>0.6042408896299716</v>
      </c>
      <c r="D32" t="n">
        <v>0.7149207670900813</v>
      </c>
      <c r="E32" t="n">
        <v>0.7219747501285814</v>
      </c>
      <c r="F32" t="n">
        <v>0.8009507801593532</v>
      </c>
    </row>
    <row r="33">
      <c r="B33" t="inlineStr">
        <is>
          <t>Small-scale Lithium-ion</t>
        </is>
      </c>
      <c r="C33" t="n">
        <v>0.6042408896299716</v>
      </c>
      <c r="D33" t="n">
        <v>0.7149207670900813</v>
      </c>
      <c r="E33" t="n">
        <v>0.7219747501285814</v>
      </c>
      <c r="F33" t="n">
        <v>0.8009507801593531</v>
      </c>
    </row>
    <row r="34">
      <c r="B34" t="inlineStr">
        <is>
          <t>Hydro pumped storage</t>
        </is>
      </c>
      <c r="C34" t="n">
        <v>0.998209354851183</v>
      </c>
      <c r="D34" t="n">
        <v>0.994910686684318</v>
      </c>
      <c r="E34" t="n">
        <v>1</v>
      </c>
      <c r="F34" t="n">
        <v>0.9916666666666668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3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31" customWidth="1" min="2" max="2"/>
    <col width="28" customWidth="1" min="3" max="3"/>
    <col width="12" customWidth="1" min="4" max="4"/>
    <col width="12" customWidth="1" min="5" max="5"/>
    <col width="12" customWidth="1" min="6" max="6"/>
    <col width="35" customWidth="1" min="7" max="7"/>
    <col width="35" customWidth="1" min="8" max="8"/>
    <col width="34" customWidth="1" min="9" max="9"/>
    <col width="22" customWidth="1" min="10" max="10"/>
    <col width="35" customWidth="1" min="11" max="11"/>
    <col width="27" customWidth="1" min="12" max="12"/>
    <col width="15" customWidth="1" min="13" max="13"/>
    <col width="35" customWidth="1" min="14" max="14"/>
    <col width="12" customWidth="1" min="15" max="15"/>
    <col width="16" customWidth="1" min="16" max="16"/>
    <col width="35" customWidth="1" min="17" max="17"/>
  </cols>
  <sheetData>
    <row r="1">
      <c r="A1" s="1" t="inlineStr">
        <is>
          <t>Source</t>
        </is>
      </c>
      <c r="B1" s="1" t="inlineStr">
        <is>
          <t>Technology</t>
        </is>
      </c>
      <c r="C1" s="1" t="inlineStr">
        <is>
          <t>Factor_Type</t>
        </is>
      </c>
      <c r="D1" s="1" t="inlineStr">
        <is>
          <t>Job_Type</t>
        </is>
      </c>
      <c r="E1" s="1" t="inlineStr">
        <is>
          <t>Unit</t>
        </is>
      </c>
      <c r="F1" s="1" t="inlineStr">
        <is>
          <t>Year</t>
        </is>
      </c>
      <c r="G1" s="1" t="inlineStr">
        <is>
          <t>Value</t>
        </is>
      </c>
      <c r="H1" s="1" t="inlineStr">
        <is>
          <t>Value_Numeric</t>
        </is>
      </c>
      <c r="I1" s="1" t="inlineStr">
        <is>
          <t>Method_Applied</t>
        </is>
      </c>
      <c r="J1" s="1" t="inlineStr">
        <is>
          <t>Mapped_Rutovitz_Tech</t>
        </is>
      </c>
      <c r="K1" s="1" t="inlineStr">
        <is>
          <t>Rutovitz_2030_Factor</t>
        </is>
      </c>
      <c r="L1" s="1" t="inlineStr">
        <is>
          <t>Mapped_Catalogue_Tech</t>
        </is>
      </c>
      <c r="M1" s="1" t="inlineStr">
        <is>
          <t>Learning_Rate</t>
        </is>
      </c>
      <c r="N1" s="1" t="inlineStr">
        <is>
          <t>Projection_Input</t>
        </is>
      </c>
      <c r="O1" s="1" t="inlineStr">
        <is>
          <t>Base_Year</t>
        </is>
      </c>
      <c r="P1" s="1" t="inlineStr">
        <is>
          <t>Projected_Year</t>
        </is>
      </c>
      <c r="Q1" s="1" t="inlineStr">
        <is>
          <t>Projected_Value</t>
        </is>
      </c>
    </row>
    <row r="2">
      <c r="A2" t="inlineStr">
        <is>
          <t>Rutovitz 2025</t>
        </is>
      </c>
      <c r="B2" t="inlineStr">
        <is>
          <t>Battery storage (distributed)</t>
        </is>
      </c>
      <c r="C2" t="inlineStr">
        <is>
          <t>Construction</t>
        </is>
      </c>
      <c r="D2" t="inlineStr">
        <is>
          <t>Direct</t>
        </is>
      </c>
      <c r="E2" t="inlineStr">
        <is>
          <t>job-yr/MW</t>
        </is>
      </c>
      <c r="F2" t="n">
        <v>2024</v>
      </c>
      <c r="G2" t="inlineStr">
        <is>
          <t>4.44</t>
        </is>
      </c>
      <c r="H2" t="n">
        <v>4.44</v>
      </c>
      <c r="I2" t="inlineStr">
        <is>
          <t>Original</t>
        </is>
      </c>
      <c r="J2" t="inlineStr"/>
      <c r="K2" t="inlineStr"/>
      <c r="L2" t="inlineStr"/>
      <c r="M2" t="inlineStr"/>
      <c r="N2" t="inlineStr"/>
      <c r="O2" t="n">
        <v>2024</v>
      </c>
      <c r="P2" t="n">
        <v>2024</v>
      </c>
      <c r="Q2" t="n">
        <v>4.44</v>
      </c>
    </row>
    <row r="3">
      <c r="A3" t="inlineStr">
        <is>
          <t>Rutovitz 2025</t>
        </is>
      </c>
      <c r="B3" t="inlineStr">
        <is>
          <t>Battery storage (distributed)</t>
        </is>
      </c>
      <c r="C3" t="inlineStr">
        <is>
          <t>Construction</t>
        </is>
      </c>
      <c r="D3" t="inlineStr">
        <is>
          <t>Direct</t>
        </is>
      </c>
      <c r="E3" t="inlineStr">
        <is>
          <t>job-yr/MW</t>
        </is>
      </c>
      <c r="F3" t="n">
        <v>2030</v>
      </c>
      <c r="G3">
        <f>G2*IFERROR(IF(ISNUMBER(INDEX(Method_2030_2050!$C$9:$C$34,MATCH(L3,Method_2030_2050!$B$9:$B$34,0))),INDEX(Method_2030_2050!$C$9:$C$34,MATCH(L3,Method_2030_2050!$B$9:$B$34,0)),1),1)</f>
        <v/>
      </c>
      <c r="H3">
        <f>H2*IFERROR(IF(ISNUMBER(INDEX(Method_2030_2050!$C$9:$C$34,MATCH(L3,Method_2030_2050!$B$9:$B$34,0))),INDEX(Method_2030_2050!$C$9:$C$34,MATCH(L3,Method_2030_2050!$B$9:$B$34,0)),1),1)</f>
        <v/>
      </c>
      <c r="I3" t="inlineStr">
        <is>
          <t>CAPEX/OPEX ratio projection</t>
        </is>
      </c>
      <c r="J3" t="inlineStr"/>
      <c r="K3" t="inlineStr"/>
      <c r="L3" t="inlineStr">
        <is>
          <t>Small-scale Lithium-ion</t>
        </is>
      </c>
      <c r="M3" t="inlineStr"/>
      <c r="N3" t="inlineStr">
        <is>
          <t>CAPEX 2030/2024=0.6042408896299716</t>
        </is>
      </c>
      <c r="O3" t="n">
        <v>2024</v>
      </c>
      <c r="P3" t="n">
        <v>2030</v>
      </c>
      <c r="Q3">
        <f>Q2*IFERROR(IF(ISNUMBER(INDEX(Method_2030_2050!$C$9:$C$34,MATCH(L3,Method_2030_2050!$B$9:$B$34,0))),INDEX(Method_2030_2050!$C$9:$C$34,MATCH(L3,Method_2030_2050!$B$9:$B$34,0)),1),1)</f>
        <v/>
      </c>
    </row>
    <row r="4">
      <c r="A4" t="inlineStr">
        <is>
          <t>Rutovitz 2025</t>
        </is>
      </c>
      <c r="B4" t="inlineStr">
        <is>
          <t>Battery storage (distributed)</t>
        </is>
      </c>
      <c r="C4" t="inlineStr">
        <is>
          <t>Construction</t>
        </is>
      </c>
      <c r="D4" t="inlineStr">
        <is>
          <t>Direct</t>
        </is>
      </c>
      <c r="E4" t="inlineStr">
        <is>
          <t>job-yr/MW</t>
        </is>
      </c>
      <c r="F4" t="n">
        <v>2050</v>
      </c>
      <c r="G4">
        <f>G3*IFERROR(IF(ISNUMBER(INDEX(Method_2030_2050!$D$9:$D$34,MATCH(L4,Method_2030_2050!$B$9:$B$34,0))),INDEX(Method_2030_2050!$D$9:$D$34,MATCH(L4,Method_2030_2050!$B$9:$B$34,0)),1),1)</f>
        <v/>
      </c>
      <c r="H4">
        <f>H3*IFERROR(IF(ISNUMBER(INDEX(Method_2030_2050!$D$9:$D$34,MATCH(L4,Method_2030_2050!$B$9:$B$34,0))),INDEX(Method_2030_2050!$D$9:$D$34,MATCH(L4,Method_2030_2050!$B$9:$B$34,0)),1),1)</f>
        <v/>
      </c>
      <c r="I4" t="inlineStr">
        <is>
          <t>CAPEX/OPEX ratio projection</t>
        </is>
      </c>
      <c r="J4" t="inlineStr"/>
      <c r="K4" t="inlineStr"/>
      <c r="L4" t="inlineStr">
        <is>
          <t>Small-scale Lithium-ion</t>
        </is>
      </c>
      <c r="M4" t="inlineStr"/>
      <c r="N4" t="inlineStr">
        <is>
          <t>CAPEX 2050/2030=0.7149207670900813</t>
        </is>
      </c>
      <c r="O4" t="n">
        <v>2030</v>
      </c>
      <c r="P4" t="n">
        <v>2050</v>
      </c>
      <c r="Q4">
        <f>Q3*IFERROR(IF(ISNUMBER(INDEX(Method_2030_2050!$D$9:$D$34,MATCH(L4,Method_2030_2050!$B$9:$B$34,0))),INDEX(Method_2030_2050!$D$9:$D$34,MATCH(L4,Method_2030_2050!$B$9:$B$34,0)),1),1)</f>
        <v/>
      </c>
    </row>
    <row r="5">
      <c r="A5" t="inlineStr">
        <is>
          <t>Rutovitz 2025</t>
        </is>
      </c>
      <c r="B5" t="inlineStr">
        <is>
          <t>Battery storage (distributed)</t>
        </is>
      </c>
      <c r="C5" t="inlineStr">
        <is>
          <t>Manufacturing</t>
        </is>
      </c>
      <c r="D5" t="inlineStr">
        <is>
          <t>Direct</t>
        </is>
      </c>
      <c r="E5" t="inlineStr">
        <is>
          <t>job-yr/MW</t>
        </is>
      </c>
      <c r="F5" t="n">
        <v>2024</v>
      </c>
      <c r="G5" t="inlineStr">
        <is>
          <t>0.31</t>
        </is>
      </c>
      <c r="H5" t="n">
        <v>0.31</v>
      </c>
      <c r="I5" t="inlineStr">
        <is>
          <t>Original</t>
        </is>
      </c>
      <c r="J5" t="inlineStr"/>
      <c r="K5" t="inlineStr"/>
      <c r="L5" t="inlineStr"/>
      <c r="M5" t="inlineStr"/>
      <c r="N5" t="inlineStr"/>
      <c r="O5" t="n">
        <v>2024</v>
      </c>
      <c r="P5" t="n">
        <v>2024</v>
      </c>
      <c r="Q5" t="n">
        <v>0.31</v>
      </c>
    </row>
    <row r="6">
      <c r="A6" t="inlineStr">
        <is>
          <t>Rutovitz 2025</t>
        </is>
      </c>
      <c r="B6" t="inlineStr">
        <is>
          <t>Battery storage (distributed)</t>
        </is>
      </c>
      <c r="C6" t="inlineStr">
        <is>
          <t>Manufacturing</t>
        </is>
      </c>
      <c r="D6" t="inlineStr">
        <is>
          <t>Direct</t>
        </is>
      </c>
      <c r="E6" t="inlineStr">
        <is>
          <t>job-yr/MW</t>
        </is>
      </c>
      <c r="F6" t="n">
        <v>2030</v>
      </c>
      <c r="G6">
        <f>G5*IFERROR(IF(ISNUMBER(INDEX(Method_2030_2050!$C$9:$C$34,MATCH(L6,Method_2030_2050!$B$9:$B$34,0))),INDEX(Method_2030_2050!$C$9:$C$34,MATCH(L6,Method_2030_2050!$B$9:$B$34,0)),1),1)</f>
        <v/>
      </c>
      <c r="H6">
        <f>H5*IFERROR(IF(ISNUMBER(INDEX(Method_2030_2050!$C$9:$C$34,MATCH(L6,Method_2030_2050!$B$9:$B$34,0))),INDEX(Method_2030_2050!$C$9:$C$34,MATCH(L6,Method_2030_2050!$B$9:$B$34,0)),1),1)</f>
        <v/>
      </c>
      <c r="I6" t="inlineStr">
        <is>
          <t>CAPEX/OPEX ratio projection</t>
        </is>
      </c>
      <c r="J6" t="inlineStr"/>
      <c r="K6" t="inlineStr"/>
      <c r="L6" t="inlineStr">
        <is>
          <t>Small-scale Lithium-ion</t>
        </is>
      </c>
      <c r="M6" t="inlineStr"/>
      <c r="N6" t="inlineStr">
        <is>
          <t>CAPEX 2030/2024=0.6042408896299716</t>
        </is>
      </c>
      <c r="O6" t="n">
        <v>2024</v>
      </c>
      <c r="P6" t="n">
        <v>2030</v>
      </c>
      <c r="Q6">
        <f>Q5*IFERROR(IF(ISNUMBER(INDEX(Method_2030_2050!$C$9:$C$34,MATCH(L6,Method_2030_2050!$B$9:$B$34,0))),INDEX(Method_2030_2050!$C$9:$C$34,MATCH(L6,Method_2030_2050!$B$9:$B$34,0)),1),1)</f>
        <v/>
      </c>
    </row>
    <row r="7">
      <c r="A7" t="inlineStr">
        <is>
          <t>Rutovitz 2025</t>
        </is>
      </c>
      <c r="B7" t="inlineStr">
        <is>
          <t>Battery storage (distributed)</t>
        </is>
      </c>
      <c r="C7" t="inlineStr">
        <is>
          <t>Manufacturing</t>
        </is>
      </c>
      <c r="D7" t="inlineStr">
        <is>
          <t>Direct</t>
        </is>
      </c>
      <c r="E7" t="inlineStr">
        <is>
          <t>job-yr/MW</t>
        </is>
      </c>
      <c r="F7" t="n">
        <v>2050</v>
      </c>
      <c r="G7">
        <f>G6*IFERROR(IF(ISNUMBER(INDEX(Method_2030_2050!$D$9:$D$34,MATCH(L7,Method_2030_2050!$B$9:$B$34,0))),INDEX(Method_2030_2050!$D$9:$D$34,MATCH(L7,Method_2030_2050!$B$9:$B$34,0)),1),1)</f>
        <v/>
      </c>
      <c r="H7">
        <f>H6*IFERROR(IF(ISNUMBER(INDEX(Method_2030_2050!$D$9:$D$34,MATCH(L7,Method_2030_2050!$B$9:$B$34,0))),INDEX(Method_2030_2050!$D$9:$D$34,MATCH(L7,Method_2030_2050!$B$9:$B$34,0)),1),1)</f>
        <v/>
      </c>
      <c r="I7" t="inlineStr">
        <is>
          <t>CAPEX/OPEX ratio projection</t>
        </is>
      </c>
      <c r="J7" t="inlineStr"/>
      <c r="K7" t="inlineStr"/>
      <c r="L7" t="inlineStr">
        <is>
          <t>Small-scale Lithium-ion</t>
        </is>
      </c>
      <c r="M7" t="inlineStr"/>
      <c r="N7" t="inlineStr">
        <is>
          <t>CAPEX 2050/2030=0.7149207670900813</t>
        </is>
      </c>
      <c r="O7" t="n">
        <v>2030</v>
      </c>
      <c r="P7" t="n">
        <v>2050</v>
      </c>
      <c r="Q7">
        <f>Q6*IFERROR(IF(ISNUMBER(INDEX(Method_2030_2050!$D$9:$D$34,MATCH(L7,Method_2030_2050!$B$9:$B$34,0))),INDEX(Method_2030_2050!$D$9:$D$34,MATCH(L7,Method_2030_2050!$B$9:$B$34,0)),1),1)</f>
        <v/>
      </c>
    </row>
    <row r="8">
      <c r="A8" t="inlineStr">
        <is>
          <t>Rutovitz 2025</t>
        </is>
      </c>
      <c r="B8" t="inlineStr">
        <is>
          <t>Battery storage (distributed)</t>
        </is>
      </c>
      <c r="C8" t="inlineStr">
        <is>
          <t>O&amp;M</t>
        </is>
      </c>
      <c r="D8" t="inlineStr">
        <is>
          <t>Direct</t>
        </is>
      </c>
      <c r="E8" t="inlineStr">
        <is>
          <t>job/MW</t>
        </is>
      </c>
      <c r="F8" t="n">
        <v>2024</v>
      </c>
      <c r="G8" t="inlineStr">
        <is>
          <t>0.23</t>
        </is>
      </c>
      <c r="H8" t="n">
        <v>0.23</v>
      </c>
      <c r="I8" t="inlineStr">
        <is>
          <t>Original</t>
        </is>
      </c>
      <c r="J8" t="inlineStr"/>
      <c r="K8" t="inlineStr"/>
      <c r="L8" t="inlineStr"/>
      <c r="M8" t="inlineStr"/>
      <c r="N8" t="inlineStr"/>
      <c r="O8" t="n">
        <v>2024</v>
      </c>
      <c r="P8" t="n">
        <v>2024</v>
      </c>
      <c r="Q8" t="n">
        <v>0.23</v>
      </c>
    </row>
    <row r="9">
      <c r="A9" t="inlineStr">
        <is>
          <t>Rutovitz 2025</t>
        </is>
      </c>
      <c r="B9" t="inlineStr">
        <is>
          <t>Battery storage (distributed)</t>
        </is>
      </c>
      <c r="C9" t="inlineStr">
        <is>
          <t>O&amp;M</t>
        </is>
      </c>
      <c r="D9" t="inlineStr">
        <is>
          <t>Direct</t>
        </is>
      </c>
      <c r="E9" t="inlineStr">
        <is>
          <t>job/MW</t>
        </is>
      </c>
      <c r="F9" t="n">
        <v>2030</v>
      </c>
      <c r="G9">
        <f>G8*IFERROR(IF(ISNUMBER(INDEX(Method_2030_2050!$E$9:$E$34,MATCH(L9,Method_2030_2050!$B$9:$B$34,0))),INDEX(Method_2030_2050!$E$9:$E$34,MATCH(L9,Method_2030_2050!$B$9:$B$34,0)),1),1)</f>
        <v/>
      </c>
      <c r="H9">
        <f>H8*IFERROR(IF(ISNUMBER(INDEX(Method_2030_2050!$E$9:$E$34,MATCH(L9,Method_2030_2050!$B$9:$B$34,0))),INDEX(Method_2030_2050!$E$9:$E$34,MATCH(L9,Method_2030_2050!$B$9:$B$34,0)),1),1)</f>
        <v/>
      </c>
      <c r="I9" t="inlineStr">
        <is>
          <t>CAPEX/OPEX ratio projection</t>
        </is>
      </c>
      <c r="J9" t="inlineStr"/>
      <c r="K9" t="inlineStr"/>
      <c r="L9" t="inlineStr">
        <is>
          <t>Small-scale Lithium-ion</t>
        </is>
      </c>
      <c r="M9" t="inlineStr"/>
      <c r="N9" t="inlineStr">
        <is>
          <t>OPEX 2030/2024=0.7219747501285814</t>
        </is>
      </c>
      <c r="O9" t="n">
        <v>2024</v>
      </c>
      <c r="P9" t="n">
        <v>2030</v>
      </c>
      <c r="Q9">
        <f>Q8*IFERROR(IF(ISNUMBER(INDEX(Method_2030_2050!$E$9:$E$34,MATCH(L9,Method_2030_2050!$B$9:$B$34,0))),INDEX(Method_2030_2050!$E$9:$E$34,MATCH(L9,Method_2030_2050!$B$9:$B$34,0)),1),1)</f>
        <v/>
      </c>
    </row>
    <row r="10">
      <c r="A10" t="inlineStr">
        <is>
          <t>Rutovitz 2025</t>
        </is>
      </c>
      <c r="B10" t="inlineStr">
        <is>
          <t>Battery storage (distributed)</t>
        </is>
      </c>
      <c r="C10" t="inlineStr">
        <is>
          <t>O&amp;M</t>
        </is>
      </c>
      <c r="D10" t="inlineStr">
        <is>
          <t>Direct</t>
        </is>
      </c>
      <c r="E10" t="inlineStr">
        <is>
          <t>job/MW</t>
        </is>
      </c>
      <c r="F10" t="n">
        <v>2050</v>
      </c>
      <c r="G10">
        <f>G9*IFERROR(IF(ISNUMBER(INDEX(Method_2030_2050!$F$9:$F$34,MATCH(L10,Method_2030_2050!$B$9:$B$34,0))),INDEX(Method_2030_2050!$F$9:$F$34,MATCH(L10,Method_2030_2050!$B$9:$B$34,0)),1),1)</f>
        <v/>
      </c>
      <c r="H10">
        <f>H9*IFERROR(IF(ISNUMBER(INDEX(Method_2030_2050!$F$9:$F$34,MATCH(L10,Method_2030_2050!$B$9:$B$34,0))),INDEX(Method_2030_2050!$F$9:$F$34,MATCH(L10,Method_2030_2050!$B$9:$B$34,0)),1),1)</f>
        <v/>
      </c>
      <c r="I10" t="inlineStr">
        <is>
          <t>CAPEX/OPEX ratio projection</t>
        </is>
      </c>
      <c r="J10" t="inlineStr"/>
      <c r="K10" t="inlineStr"/>
      <c r="L10" t="inlineStr">
        <is>
          <t>Small-scale Lithium-ion</t>
        </is>
      </c>
      <c r="M10" t="inlineStr"/>
      <c r="N10" t="inlineStr">
        <is>
          <t>OPEX 2050/2030=0.8009507801593531</t>
        </is>
      </c>
      <c r="O10" t="n">
        <v>2030</v>
      </c>
      <c r="P10" t="n">
        <v>2050</v>
      </c>
      <c r="Q10">
        <f>Q9*IFERROR(IF(ISNUMBER(INDEX(Method_2030_2050!$F$9:$F$34,MATCH(L10,Method_2030_2050!$B$9:$B$34,0))),INDEX(Method_2030_2050!$F$9:$F$34,MATCH(L10,Method_2030_2050!$B$9:$B$34,0)),1),1)</f>
        <v/>
      </c>
    </row>
    <row r="11">
      <c r="A11" t="inlineStr">
        <is>
          <t>Rutovitz 2025</t>
        </is>
      </c>
      <c r="B11" t="inlineStr">
        <is>
          <t>Battery storage (grid)</t>
        </is>
      </c>
      <c r="C11" t="inlineStr">
        <is>
          <t>Construction</t>
        </is>
      </c>
      <c r="D11" t="inlineStr">
        <is>
          <t>Direct</t>
        </is>
      </c>
      <c r="E11" t="inlineStr">
        <is>
          <t>job-yr/MW</t>
        </is>
      </c>
      <c r="F11" t="n">
        <v>2024</v>
      </c>
      <c r="G11" t="inlineStr">
        <is>
          <t>0.53</t>
        </is>
      </c>
      <c r="H11" t="n">
        <v>0.53</v>
      </c>
      <c r="I11" t="inlineStr">
        <is>
          <t>Original</t>
        </is>
      </c>
      <c r="J11" t="inlineStr"/>
      <c r="K11" t="inlineStr"/>
      <c r="L11" t="inlineStr"/>
      <c r="M11" t="inlineStr"/>
      <c r="N11" t="inlineStr"/>
      <c r="O11" t="n">
        <v>2024</v>
      </c>
      <c r="P11" t="n">
        <v>2024</v>
      </c>
      <c r="Q11" t="n">
        <v>0.53</v>
      </c>
    </row>
    <row r="12">
      <c r="A12" t="inlineStr">
        <is>
          <t>Rutovitz 2025</t>
        </is>
      </c>
      <c r="B12" t="inlineStr">
        <is>
          <t>Battery storage (grid)</t>
        </is>
      </c>
      <c r="C12" t="inlineStr">
        <is>
          <t>Construction</t>
        </is>
      </c>
      <c r="D12" t="inlineStr">
        <is>
          <t>Direct</t>
        </is>
      </c>
      <c r="E12" t="inlineStr">
        <is>
          <t>job-yr/MW</t>
        </is>
      </c>
      <c r="F12" t="n">
        <v>2030</v>
      </c>
      <c r="G12">
        <f>G11*IFERROR(IF(ISNUMBER(INDEX(Method_2030_2050!$C$9:$C$34,MATCH(L12,Method_2030_2050!$B$9:$B$34,0))),INDEX(Method_2030_2050!$C$9:$C$34,MATCH(L12,Method_2030_2050!$B$9:$B$34,0)),1),1)</f>
        <v/>
      </c>
      <c r="H12">
        <f>H11*IFERROR(IF(ISNUMBER(INDEX(Method_2030_2050!$C$9:$C$34,MATCH(L12,Method_2030_2050!$B$9:$B$34,0))),INDEX(Method_2030_2050!$C$9:$C$34,MATCH(L12,Method_2030_2050!$B$9:$B$34,0)),1),1)</f>
        <v/>
      </c>
      <c r="I12" t="inlineStr">
        <is>
          <t>CAPEX/OPEX ratio projection</t>
        </is>
      </c>
      <c r="J12" t="inlineStr"/>
      <c r="K12" t="inlineStr"/>
      <c r="L12" t="inlineStr">
        <is>
          <t>Utility-scale Lithium-ion</t>
        </is>
      </c>
      <c r="M12" t="inlineStr"/>
      <c r="N12" t="inlineStr">
        <is>
          <t>CAPEX 2030/2024=0.6042408896299716</t>
        </is>
      </c>
      <c r="O12" t="n">
        <v>2024</v>
      </c>
      <c r="P12" t="n">
        <v>2030</v>
      </c>
      <c r="Q12">
        <f>Q11*IFERROR(IF(ISNUMBER(INDEX(Method_2030_2050!$C$9:$C$34,MATCH(L12,Method_2030_2050!$B$9:$B$34,0))),INDEX(Method_2030_2050!$C$9:$C$34,MATCH(L12,Method_2030_2050!$B$9:$B$34,0)),1),1)</f>
        <v/>
      </c>
    </row>
    <row r="13">
      <c r="A13" t="inlineStr">
        <is>
          <t>Rutovitz 2025</t>
        </is>
      </c>
      <c r="B13" t="inlineStr">
        <is>
          <t>Battery storage (grid)</t>
        </is>
      </c>
      <c r="C13" t="inlineStr">
        <is>
          <t>Construction</t>
        </is>
      </c>
      <c r="D13" t="inlineStr">
        <is>
          <t>Direct</t>
        </is>
      </c>
      <c r="E13" t="inlineStr">
        <is>
          <t>job-yr/MW</t>
        </is>
      </c>
      <c r="F13" t="n">
        <v>2050</v>
      </c>
      <c r="G13">
        <f>G12*IFERROR(IF(ISNUMBER(INDEX(Method_2030_2050!$D$9:$D$34,MATCH(L13,Method_2030_2050!$B$9:$B$34,0))),INDEX(Method_2030_2050!$D$9:$D$34,MATCH(L13,Method_2030_2050!$B$9:$B$34,0)),1),1)</f>
        <v/>
      </c>
      <c r="H13">
        <f>H12*IFERROR(IF(ISNUMBER(INDEX(Method_2030_2050!$D$9:$D$34,MATCH(L13,Method_2030_2050!$B$9:$B$34,0))),INDEX(Method_2030_2050!$D$9:$D$34,MATCH(L13,Method_2030_2050!$B$9:$B$34,0)),1),1)</f>
        <v/>
      </c>
      <c r="I13" t="inlineStr">
        <is>
          <t>CAPEX/OPEX ratio projection</t>
        </is>
      </c>
      <c r="J13" t="inlineStr"/>
      <c r="K13" t="inlineStr"/>
      <c r="L13" t="inlineStr">
        <is>
          <t>Utility-scale Lithium-ion</t>
        </is>
      </c>
      <c r="M13" t="inlineStr"/>
      <c r="N13" t="inlineStr">
        <is>
          <t>CAPEX 2050/2030=0.7149207670900813</t>
        </is>
      </c>
      <c r="O13" t="n">
        <v>2030</v>
      </c>
      <c r="P13" t="n">
        <v>2050</v>
      </c>
      <c r="Q13">
        <f>Q12*IFERROR(IF(ISNUMBER(INDEX(Method_2030_2050!$D$9:$D$34,MATCH(L13,Method_2030_2050!$B$9:$B$34,0))),INDEX(Method_2030_2050!$D$9:$D$34,MATCH(L13,Method_2030_2050!$B$9:$B$34,0)),1),1)</f>
        <v/>
      </c>
    </row>
    <row r="14">
      <c r="A14" t="inlineStr">
        <is>
          <t>Rutovitz 2025</t>
        </is>
      </c>
      <c r="B14" t="inlineStr">
        <is>
          <t>Battery storage (grid)</t>
        </is>
      </c>
      <c r="C14" t="inlineStr">
        <is>
          <t>Manufacturing</t>
        </is>
      </c>
      <c r="D14" t="inlineStr">
        <is>
          <t>Direct</t>
        </is>
      </c>
      <c r="E14" t="inlineStr">
        <is>
          <t>job-yr/MW</t>
        </is>
      </c>
      <c r="F14" t="n">
        <v>2024</v>
      </c>
      <c r="G14" t="inlineStr">
        <is>
          <t>0.31</t>
        </is>
      </c>
      <c r="H14" t="n">
        <v>0.31</v>
      </c>
      <c r="I14" t="inlineStr">
        <is>
          <t>Original</t>
        </is>
      </c>
      <c r="J14" t="inlineStr"/>
      <c r="K14" t="inlineStr"/>
      <c r="L14" t="inlineStr"/>
      <c r="M14" t="inlineStr"/>
      <c r="N14" t="inlineStr"/>
      <c r="O14" t="n">
        <v>2024</v>
      </c>
      <c r="P14" t="n">
        <v>2024</v>
      </c>
      <c r="Q14" t="n">
        <v>0.31</v>
      </c>
    </row>
    <row r="15">
      <c r="A15" t="inlineStr">
        <is>
          <t>Rutovitz 2025</t>
        </is>
      </c>
      <c r="B15" t="inlineStr">
        <is>
          <t>Battery storage (grid)</t>
        </is>
      </c>
      <c r="C15" t="inlineStr">
        <is>
          <t>Manufacturing</t>
        </is>
      </c>
      <c r="D15" t="inlineStr">
        <is>
          <t>Direct</t>
        </is>
      </c>
      <c r="E15" t="inlineStr">
        <is>
          <t>job-yr/MW</t>
        </is>
      </c>
      <c r="F15" t="n">
        <v>2030</v>
      </c>
      <c r="G15">
        <f>G14*IFERROR(IF(ISNUMBER(INDEX(Method_2030_2050!$C$9:$C$34,MATCH(L15,Method_2030_2050!$B$9:$B$34,0))),INDEX(Method_2030_2050!$C$9:$C$34,MATCH(L15,Method_2030_2050!$B$9:$B$34,0)),1),1)</f>
        <v/>
      </c>
      <c r="H15">
        <f>H14*IFERROR(IF(ISNUMBER(INDEX(Method_2030_2050!$C$9:$C$34,MATCH(L15,Method_2030_2050!$B$9:$B$34,0))),INDEX(Method_2030_2050!$C$9:$C$34,MATCH(L15,Method_2030_2050!$B$9:$B$34,0)),1),1)</f>
        <v/>
      </c>
      <c r="I15" t="inlineStr">
        <is>
          <t>CAPEX/OPEX ratio projection</t>
        </is>
      </c>
      <c r="J15" t="inlineStr"/>
      <c r="K15" t="inlineStr"/>
      <c r="L15" t="inlineStr">
        <is>
          <t>Utility-scale Lithium-ion</t>
        </is>
      </c>
      <c r="M15" t="inlineStr"/>
      <c r="N15" t="inlineStr">
        <is>
          <t>CAPEX 2030/2024=0.6042408896299716</t>
        </is>
      </c>
      <c r="O15" t="n">
        <v>2024</v>
      </c>
      <c r="P15" t="n">
        <v>2030</v>
      </c>
      <c r="Q15">
        <f>Q14*IFERROR(IF(ISNUMBER(INDEX(Method_2030_2050!$C$9:$C$34,MATCH(L15,Method_2030_2050!$B$9:$B$34,0))),INDEX(Method_2030_2050!$C$9:$C$34,MATCH(L15,Method_2030_2050!$B$9:$B$34,0)),1),1)</f>
        <v/>
      </c>
    </row>
    <row r="16">
      <c r="A16" t="inlineStr">
        <is>
          <t>Rutovitz 2025</t>
        </is>
      </c>
      <c r="B16" t="inlineStr">
        <is>
          <t>Battery storage (grid)</t>
        </is>
      </c>
      <c r="C16" t="inlineStr">
        <is>
          <t>Manufacturing</t>
        </is>
      </c>
      <c r="D16" t="inlineStr">
        <is>
          <t>Direct</t>
        </is>
      </c>
      <c r="E16" t="inlineStr">
        <is>
          <t>job-yr/MW</t>
        </is>
      </c>
      <c r="F16" t="n">
        <v>2050</v>
      </c>
      <c r="G16">
        <f>G15*IFERROR(IF(ISNUMBER(INDEX(Method_2030_2050!$D$9:$D$34,MATCH(L16,Method_2030_2050!$B$9:$B$34,0))),INDEX(Method_2030_2050!$D$9:$D$34,MATCH(L16,Method_2030_2050!$B$9:$B$34,0)),1),1)</f>
        <v/>
      </c>
      <c r="H16">
        <f>H15*IFERROR(IF(ISNUMBER(INDEX(Method_2030_2050!$D$9:$D$34,MATCH(L16,Method_2030_2050!$B$9:$B$34,0))),INDEX(Method_2030_2050!$D$9:$D$34,MATCH(L16,Method_2030_2050!$B$9:$B$34,0)),1),1)</f>
        <v/>
      </c>
      <c r="I16" t="inlineStr">
        <is>
          <t>CAPEX/OPEX ratio projection</t>
        </is>
      </c>
      <c r="J16" t="inlineStr"/>
      <c r="K16" t="inlineStr"/>
      <c r="L16" t="inlineStr">
        <is>
          <t>Utility-scale Lithium-ion</t>
        </is>
      </c>
      <c r="M16" t="inlineStr"/>
      <c r="N16" t="inlineStr">
        <is>
          <t>CAPEX 2050/2030=0.7149207670900813</t>
        </is>
      </c>
      <c r="O16" t="n">
        <v>2030</v>
      </c>
      <c r="P16" t="n">
        <v>2050</v>
      </c>
      <c r="Q16">
        <f>Q15*IFERROR(IF(ISNUMBER(INDEX(Method_2030_2050!$D$9:$D$34,MATCH(L16,Method_2030_2050!$B$9:$B$34,0))),INDEX(Method_2030_2050!$D$9:$D$34,MATCH(L16,Method_2030_2050!$B$9:$B$34,0)),1),1)</f>
        <v/>
      </c>
    </row>
    <row r="17">
      <c r="A17" t="inlineStr">
        <is>
          <t>Rutovitz 2025</t>
        </is>
      </c>
      <c r="B17" t="inlineStr">
        <is>
          <t>Battery storage (grid)</t>
        </is>
      </c>
      <c r="C17" t="inlineStr">
        <is>
          <t>O&amp;M</t>
        </is>
      </c>
      <c r="D17" t="inlineStr">
        <is>
          <t>Direct</t>
        </is>
      </c>
      <c r="E17" t="inlineStr">
        <is>
          <t>job/MW</t>
        </is>
      </c>
      <c r="F17" t="n">
        <v>2024</v>
      </c>
      <c r="G17" t="inlineStr">
        <is>
          <t>0.03</t>
        </is>
      </c>
      <c r="H17" t="n">
        <v>0.03</v>
      </c>
      <c r="I17" t="inlineStr">
        <is>
          <t>Original</t>
        </is>
      </c>
      <c r="J17" t="inlineStr"/>
      <c r="K17" t="inlineStr"/>
      <c r="L17" t="inlineStr"/>
      <c r="M17" t="inlineStr"/>
      <c r="N17" t="inlineStr"/>
      <c r="O17" t="n">
        <v>2024</v>
      </c>
      <c r="P17" t="n">
        <v>2024</v>
      </c>
      <c r="Q17" t="n">
        <v>0.03</v>
      </c>
    </row>
    <row r="18">
      <c r="A18" t="inlineStr">
        <is>
          <t>Rutovitz 2025</t>
        </is>
      </c>
      <c r="B18" t="inlineStr">
        <is>
          <t>Battery storage (grid)</t>
        </is>
      </c>
      <c r="C18" t="inlineStr">
        <is>
          <t>O&amp;M</t>
        </is>
      </c>
      <c r="D18" t="inlineStr">
        <is>
          <t>Direct</t>
        </is>
      </c>
      <c r="E18" t="inlineStr">
        <is>
          <t>job/MW</t>
        </is>
      </c>
      <c r="F18" t="n">
        <v>2030</v>
      </c>
      <c r="G18">
        <f>G17*IFERROR(IF(ISNUMBER(INDEX(Method_2030_2050!$E$9:$E$34,MATCH(L18,Method_2030_2050!$B$9:$B$34,0))),INDEX(Method_2030_2050!$E$9:$E$34,MATCH(L18,Method_2030_2050!$B$9:$B$34,0)),1),1)</f>
        <v/>
      </c>
      <c r="H18">
        <f>H17*IFERROR(IF(ISNUMBER(INDEX(Method_2030_2050!$E$9:$E$34,MATCH(L18,Method_2030_2050!$B$9:$B$34,0))),INDEX(Method_2030_2050!$E$9:$E$34,MATCH(L18,Method_2030_2050!$B$9:$B$34,0)),1),1)</f>
        <v/>
      </c>
      <c r="I18" t="inlineStr">
        <is>
          <t>CAPEX/OPEX ratio projection</t>
        </is>
      </c>
      <c r="J18" t="inlineStr"/>
      <c r="K18" t="inlineStr"/>
      <c r="L18" t="inlineStr">
        <is>
          <t>Utility-scale Lithium-ion</t>
        </is>
      </c>
      <c r="M18" t="inlineStr"/>
      <c r="N18" t="inlineStr">
        <is>
          <t>OPEX 2030/2024=0.7219747501285814</t>
        </is>
      </c>
      <c r="O18" t="n">
        <v>2024</v>
      </c>
      <c r="P18" t="n">
        <v>2030</v>
      </c>
      <c r="Q18">
        <f>Q17*IFERROR(IF(ISNUMBER(INDEX(Method_2030_2050!$E$9:$E$34,MATCH(L18,Method_2030_2050!$B$9:$B$34,0))),INDEX(Method_2030_2050!$E$9:$E$34,MATCH(L18,Method_2030_2050!$B$9:$B$34,0)),1),1)</f>
        <v/>
      </c>
    </row>
    <row r="19">
      <c r="A19" t="inlineStr">
        <is>
          <t>Rutovitz 2025</t>
        </is>
      </c>
      <c r="B19" t="inlineStr">
        <is>
          <t>Battery storage (grid)</t>
        </is>
      </c>
      <c r="C19" t="inlineStr">
        <is>
          <t>O&amp;M</t>
        </is>
      </c>
      <c r="D19" t="inlineStr">
        <is>
          <t>Direct</t>
        </is>
      </c>
      <c r="E19" t="inlineStr">
        <is>
          <t>job/MW</t>
        </is>
      </c>
      <c r="F19" t="n">
        <v>2050</v>
      </c>
      <c r="G19">
        <f>G18*IFERROR(IF(ISNUMBER(INDEX(Method_2030_2050!$F$9:$F$34,MATCH(L19,Method_2030_2050!$B$9:$B$34,0))),INDEX(Method_2030_2050!$F$9:$F$34,MATCH(L19,Method_2030_2050!$B$9:$B$34,0)),1),1)</f>
        <v/>
      </c>
      <c r="H19">
        <f>H18*IFERROR(IF(ISNUMBER(INDEX(Method_2030_2050!$F$9:$F$34,MATCH(L19,Method_2030_2050!$B$9:$B$34,0))),INDEX(Method_2030_2050!$F$9:$F$34,MATCH(L19,Method_2030_2050!$B$9:$B$34,0)),1),1)</f>
        <v/>
      </c>
      <c r="I19" t="inlineStr">
        <is>
          <t>CAPEX/OPEX ratio projection</t>
        </is>
      </c>
      <c r="J19" t="inlineStr"/>
      <c r="K19" t="inlineStr"/>
      <c r="L19" t="inlineStr">
        <is>
          <t>Utility-scale Lithium-ion</t>
        </is>
      </c>
      <c r="M19" t="inlineStr"/>
      <c r="N19" t="inlineStr">
        <is>
          <t>OPEX 2050/2030=0.8009507801593532</t>
        </is>
      </c>
      <c r="O19" t="n">
        <v>2030</v>
      </c>
      <c r="P19" t="n">
        <v>2050</v>
      </c>
      <c r="Q19">
        <f>Q18*IFERROR(IF(ISNUMBER(INDEX(Method_2030_2050!$F$9:$F$34,MATCH(L19,Method_2030_2050!$B$9:$B$34,0))),INDEX(Method_2030_2050!$F$9:$F$34,MATCH(L19,Method_2030_2050!$B$9:$B$34,0)),1),1)</f>
        <v/>
      </c>
    </row>
    <row r="20">
      <c r="A20" t="inlineStr">
        <is>
          <t>Rutovitz 2015</t>
        </is>
      </c>
      <c r="B20" t="inlineStr">
        <is>
          <t>Biomass power</t>
        </is>
      </c>
      <c r="C20" t="inlineStr">
        <is>
          <t>Construction</t>
        </is>
      </c>
      <c r="D20" t="inlineStr">
        <is>
          <t>Direct</t>
        </is>
      </c>
      <c r="E20" t="inlineStr">
        <is>
          <t>job-yr/MW</t>
        </is>
      </c>
      <c r="F20" t="n">
        <v>2015</v>
      </c>
      <c r="G20" t="inlineStr">
        <is>
          <t>14</t>
        </is>
      </c>
      <c r="H20" t="n">
        <v>14</v>
      </c>
      <c r="I20" t="inlineStr">
        <is>
          <t>Original</t>
        </is>
      </c>
      <c r="J20" t="inlineStr"/>
      <c r="K20" t="inlineStr"/>
      <c r="L20" t="inlineStr"/>
      <c r="M20" t="inlineStr"/>
      <c r="N20" t="inlineStr"/>
      <c r="O20" t="n">
        <v>2015</v>
      </c>
      <c r="P20" t="n">
        <v>2015</v>
      </c>
      <c r="Q20" t="n">
        <v>14</v>
      </c>
    </row>
    <row r="21">
      <c r="A21" t="inlineStr">
        <is>
          <t>Rutovitz 2015</t>
        </is>
      </c>
      <c r="B21" t="inlineStr">
        <is>
          <t>Biomass power</t>
        </is>
      </c>
      <c r="C21" t="inlineStr">
        <is>
          <t>Construction</t>
        </is>
      </c>
      <c r="D21" t="inlineStr">
        <is>
          <t>Direct</t>
        </is>
      </c>
      <c r="E21" t="inlineStr">
        <is>
          <t>job-yr/MW</t>
        </is>
      </c>
      <c r="F21" t="n">
        <v>2030</v>
      </c>
      <c r="G21">
        <f>G20*K21</f>
        <v/>
      </c>
      <c r="H21">
        <f>H20*K21</f>
        <v/>
      </c>
      <c r="I21" t="inlineStr">
        <is>
          <t>Rutovitz Table 9 decline to 2030</t>
        </is>
      </c>
      <c r="J21" t="inlineStr">
        <is>
          <t>Biomass</t>
        </is>
      </c>
      <c r="K21">
        <f>INDEX(Mappings_Rutovitz!$D$2:$D$14,MATCH(J21,Mappings_Rutovitz!$B$2:$B$14,0))</f>
        <v/>
      </c>
      <c r="L21" t="inlineStr"/>
      <c r="M21" t="inlineStr"/>
      <c r="N21" t="inlineStr">
        <is>
          <t>Rutovitz Table 9 Latin America 2030</t>
        </is>
      </c>
      <c r="O21" t="n">
        <v>2015</v>
      </c>
      <c r="P21" t="n">
        <v>2030</v>
      </c>
      <c r="Q21">
        <f>Q20*K21</f>
        <v/>
      </c>
    </row>
    <row r="22">
      <c r="A22" t="inlineStr">
        <is>
          <t>Rutovitz 2015</t>
        </is>
      </c>
      <c r="B22" t="inlineStr">
        <is>
          <t>Biomass power</t>
        </is>
      </c>
      <c r="C22" t="inlineStr">
        <is>
          <t>Construction</t>
        </is>
      </c>
      <c r="D22" t="inlineStr">
        <is>
          <t>Direct</t>
        </is>
      </c>
      <c r="E22" t="inlineStr">
        <is>
          <t>job-yr/MW</t>
        </is>
      </c>
      <c r="F22" t="n">
        <v>2050</v>
      </c>
      <c r="G22">
        <f>G21*IFERROR(IF(ISNUMBER(INDEX(Method_2030_2050!$D$9:$D$34,MATCH(L22,Method_2030_2050!$B$9:$B$34,0))),INDEX(Method_2030_2050!$D$9:$D$34,MATCH(L22,Method_2030_2050!$B$9:$B$34,0)),1),1)</f>
        <v/>
      </c>
      <c r="H22">
        <f>H21*IFERROR(IF(ISNUMBER(INDEX(Method_2030_2050!$D$9:$D$34,MATCH(L22,Method_2030_2050!$B$9:$B$34,0))),INDEX(Method_2030_2050!$D$9:$D$34,MATCH(L22,Method_2030_2050!$B$9:$B$34,0)),1),1)</f>
        <v/>
      </c>
      <c r="I22" t="inlineStr">
        <is>
          <t>CAPEX/OPEX ratio projection</t>
        </is>
      </c>
      <c r="J22" t="inlineStr">
        <is>
          <t>Biomass</t>
        </is>
      </c>
      <c r="K22" t="inlineStr"/>
      <c r="L22" t="inlineStr">
        <is>
          <t>Biomass power plant</t>
        </is>
      </c>
      <c r="M22" t="inlineStr"/>
      <c r="N22" t="inlineStr">
        <is>
          <t>CAPEX 2050/2030=0.940469872308534</t>
        </is>
      </c>
      <c r="O22" t="n">
        <v>2030</v>
      </c>
      <c r="P22" t="n">
        <v>2050</v>
      </c>
      <c r="Q22">
        <f>Q21*IFERROR(IF(ISNUMBER(INDEX(Method_2030_2050!$D$9:$D$34,MATCH(L22,Method_2030_2050!$B$9:$B$34,0))),INDEX(Method_2030_2050!$D$9:$D$34,MATCH(L22,Method_2030_2050!$B$9:$B$34,0)),1),1)</f>
        <v/>
      </c>
    </row>
    <row r="23">
      <c r="A23" t="inlineStr">
        <is>
          <t>I-JEDI</t>
        </is>
      </c>
      <c r="B23" t="inlineStr">
        <is>
          <t>Biomass power</t>
        </is>
      </c>
      <c r="C23" t="inlineStr">
        <is>
          <t>Construction&amp;Manufacturing</t>
        </is>
      </c>
      <c r="D23" t="inlineStr">
        <is>
          <t>Direct</t>
        </is>
      </c>
      <c r="E23" t="inlineStr">
        <is>
          <t>job-yr/MW</t>
        </is>
      </c>
      <c r="F23" t="n">
        <v>2024</v>
      </c>
      <c r="G23" t="inlineStr">
        <is>
          <t>22.523</t>
        </is>
      </c>
      <c r="H23" t="n">
        <v>22.523</v>
      </c>
      <c r="I23" t="inlineStr">
        <is>
          <t>Original</t>
        </is>
      </c>
      <c r="J23" t="inlineStr"/>
      <c r="K23" t="inlineStr"/>
      <c r="L23" t="inlineStr"/>
      <c r="M23" t="inlineStr"/>
      <c r="N23" t="inlineStr"/>
      <c r="O23" t="n">
        <v>2024</v>
      </c>
      <c r="P23" t="n">
        <v>2024</v>
      </c>
      <c r="Q23" t="n">
        <v>22.523</v>
      </c>
    </row>
    <row r="24">
      <c r="A24" t="inlineStr">
        <is>
          <t>I-JEDI</t>
        </is>
      </c>
      <c r="B24" t="inlineStr">
        <is>
          <t>Biomass power</t>
        </is>
      </c>
      <c r="C24" t="inlineStr">
        <is>
          <t>Construction&amp;Manufacturing</t>
        </is>
      </c>
      <c r="D24" t="inlineStr">
        <is>
          <t>Direct</t>
        </is>
      </c>
      <c r="E24" t="inlineStr">
        <is>
          <t>job-yr/MW</t>
        </is>
      </c>
      <c r="F24" t="n">
        <v>2030</v>
      </c>
      <c r="G24">
        <f>G23*IFERROR(IF(ISNUMBER(INDEX(Method_2030_2050!$C$9:$C$34,MATCH(L24,Method_2030_2050!$B$9:$B$34,0))),INDEX(Method_2030_2050!$C$9:$C$34,MATCH(L24,Method_2030_2050!$B$9:$B$34,0)),1),1)</f>
        <v/>
      </c>
      <c r="H24">
        <f>H23*IFERROR(IF(ISNUMBER(INDEX(Method_2030_2050!$C$9:$C$34,MATCH(L24,Method_2030_2050!$B$9:$B$34,0))),INDEX(Method_2030_2050!$C$9:$C$34,MATCH(L24,Method_2030_2050!$B$9:$B$34,0)),1),1)</f>
        <v/>
      </c>
      <c r="I24" t="inlineStr">
        <is>
          <t>CAPEX/OPEX ratio projection</t>
        </is>
      </c>
      <c r="J24" t="inlineStr"/>
      <c r="K24" t="inlineStr"/>
      <c r="L24" t="inlineStr">
        <is>
          <t>Biomass power plant</t>
        </is>
      </c>
      <c r="M24" t="inlineStr"/>
      <c r="N24" t="inlineStr">
        <is>
          <t>CAPEX 2030/2024=0.96201821049129</t>
        </is>
      </c>
      <c r="O24" t="n">
        <v>2024</v>
      </c>
      <c r="P24" t="n">
        <v>2030</v>
      </c>
      <c r="Q24">
        <f>Q23*IFERROR(IF(ISNUMBER(INDEX(Method_2030_2050!$C$9:$C$34,MATCH(L24,Method_2030_2050!$B$9:$B$34,0))),INDEX(Method_2030_2050!$C$9:$C$34,MATCH(L24,Method_2030_2050!$B$9:$B$34,0)),1),1)</f>
        <v/>
      </c>
    </row>
    <row r="25">
      <c r="A25" t="inlineStr">
        <is>
          <t>I-JEDI</t>
        </is>
      </c>
      <c r="B25" t="inlineStr">
        <is>
          <t>Biomass power</t>
        </is>
      </c>
      <c r="C25" t="inlineStr">
        <is>
          <t>Construction&amp;Manufacturing</t>
        </is>
      </c>
      <c r="D25" t="inlineStr">
        <is>
          <t>Direct</t>
        </is>
      </c>
      <c r="E25" t="inlineStr">
        <is>
          <t>job-yr/MW</t>
        </is>
      </c>
      <c r="F25" t="n">
        <v>2050</v>
      </c>
      <c r="G25">
        <f>G24*IFERROR(IF(ISNUMBER(INDEX(Method_2030_2050!$D$9:$D$34,MATCH(L25,Method_2030_2050!$B$9:$B$34,0))),INDEX(Method_2030_2050!$D$9:$D$34,MATCH(L25,Method_2030_2050!$B$9:$B$34,0)),1),1)</f>
        <v/>
      </c>
      <c r="H25">
        <f>H24*IFERROR(IF(ISNUMBER(INDEX(Method_2030_2050!$D$9:$D$34,MATCH(L25,Method_2030_2050!$B$9:$B$34,0))),INDEX(Method_2030_2050!$D$9:$D$34,MATCH(L25,Method_2030_2050!$B$9:$B$34,0)),1),1)</f>
        <v/>
      </c>
      <c r="I25" t="inlineStr">
        <is>
          <t>CAPEX/OPEX ratio projection</t>
        </is>
      </c>
      <c r="J25" t="inlineStr"/>
      <c r="K25" t="inlineStr"/>
      <c r="L25" t="inlineStr">
        <is>
          <t>Biomass power plant</t>
        </is>
      </c>
      <c r="M25" t="inlineStr"/>
      <c r="N25" t="inlineStr">
        <is>
          <t>CAPEX 2050/2030=0.940469872308534</t>
        </is>
      </c>
      <c r="O25" t="n">
        <v>2030</v>
      </c>
      <c r="P25" t="n">
        <v>2050</v>
      </c>
      <c r="Q25">
        <f>Q24*IFERROR(IF(ISNUMBER(INDEX(Method_2030_2050!$D$9:$D$34,MATCH(L25,Method_2030_2050!$B$9:$B$34,0))),INDEX(Method_2030_2050!$D$9:$D$34,MATCH(L25,Method_2030_2050!$B$9:$B$34,0)),1),1)</f>
        <v/>
      </c>
    </row>
    <row r="26">
      <c r="A26" t="inlineStr">
        <is>
          <t>I-JEDI</t>
        </is>
      </c>
      <c r="B26" t="inlineStr">
        <is>
          <t>Biomass power</t>
        </is>
      </c>
      <c r="C26" t="inlineStr">
        <is>
          <t>Construction&amp;Manufacturing</t>
        </is>
      </c>
      <c r="D26" t="inlineStr">
        <is>
          <t>Indirect</t>
        </is>
      </c>
      <c r="E26" t="inlineStr">
        <is>
          <t>job-yr/MW</t>
        </is>
      </c>
      <c r="F26" t="n">
        <v>2024</v>
      </c>
      <c r="G26" t="inlineStr">
        <is>
          <t>12.506</t>
        </is>
      </c>
      <c r="H26" t="n">
        <v>12.506</v>
      </c>
      <c r="I26" t="inlineStr">
        <is>
          <t>Original</t>
        </is>
      </c>
      <c r="J26" t="inlineStr"/>
      <c r="K26" t="inlineStr"/>
      <c r="L26" t="inlineStr"/>
      <c r="M26" t="inlineStr"/>
      <c r="N26" t="inlineStr"/>
      <c r="O26" t="n">
        <v>2024</v>
      </c>
      <c r="P26" t="n">
        <v>2024</v>
      </c>
      <c r="Q26" t="n">
        <v>12.506</v>
      </c>
    </row>
    <row r="27">
      <c r="A27" t="inlineStr">
        <is>
          <t>I-JEDI</t>
        </is>
      </c>
      <c r="B27" t="inlineStr">
        <is>
          <t>Biomass power</t>
        </is>
      </c>
      <c r="C27" t="inlineStr">
        <is>
          <t>Construction&amp;Manufacturing</t>
        </is>
      </c>
      <c r="D27" t="inlineStr">
        <is>
          <t>Indirect</t>
        </is>
      </c>
      <c r="E27" t="inlineStr">
        <is>
          <t>job-yr/MW</t>
        </is>
      </c>
      <c r="F27" t="n">
        <v>2030</v>
      </c>
      <c r="G27">
        <f>G26*IFERROR(IF(ISNUMBER(INDEX(Method_2030_2050!$C$9:$C$34,MATCH(L27,Method_2030_2050!$B$9:$B$34,0))),INDEX(Method_2030_2050!$C$9:$C$34,MATCH(L27,Method_2030_2050!$B$9:$B$34,0)),1),1)</f>
        <v/>
      </c>
      <c r="H27">
        <f>H26*IFERROR(IF(ISNUMBER(INDEX(Method_2030_2050!$C$9:$C$34,MATCH(L27,Method_2030_2050!$B$9:$B$34,0))),INDEX(Method_2030_2050!$C$9:$C$34,MATCH(L27,Method_2030_2050!$B$9:$B$34,0)),1),1)</f>
        <v/>
      </c>
      <c r="I27" t="inlineStr">
        <is>
          <t>CAPEX/OPEX ratio projection</t>
        </is>
      </c>
      <c r="J27" t="inlineStr"/>
      <c r="K27" t="inlineStr"/>
      <c r="L27" t="inlineStr">
        <is>
          <t>Biomass power plant</t>
        </is>
      </c>
      <c r="M27" t="inlineStr"/>
      <c r="N27" t="inlineStr">
        <is>
          <t>CAPEX 2030/2024=0.96201821049129</t>
        </is>
      </c>
      <c r="O27" t="n">
        <v>2024</v>
      </c>
      <c r="P27" t="n">
        <v>2030</v>
      </c>
      <c r="Q27">
        <f>Q26*IFERROR(IF(ISNUMBER(INDEX(Method_2030_2050!$C$9:$C$34,MATCH(L27,Method_2030_2050!$B$9:$B$34,0))),INDEX(Method_2030_2050!$C$9:$C$34,MATCH(L27,Method_2030_2050!$B$9:$B$34,0)),1),1)</f>
        <v/>
      </c>
    </row>
    <row r="28">
      <c r="A28" t="inlineStr">
        <is>
          <t>I-JEDI</t>
        </is>
      </c>
      <c r="B28" t="inlineStr">
        <is>
          <t>Biomass power</t>
        </is>
      </c>
      <c r="C28" t="inlineStr">
        <is>
          <t>Construction&amp;Manufacturing</t>
        </is>
      </c>
      <c r="D28" t="inlineStr">
        <is>
          <t>Indirect</t>
        </is>
      </c>
      <c r="E28" t="inlineStr">
        <is>
          <t>job-yr/MW</t>
        </is>
      </c>
      <c r="F28" t="n">
        <v>2050</v>
      </c>
      <c r="G28">
        <f>G27*IFERROR(IF(ISNUMBER(INDEX(Method_2030_2050!$D$9:$D$34,MATCH(L28,Method_2030_2050!$B$9:$B$34,0))),INDEX(Method_2030_2050!$D$9:$D$34,MATCH(L28,Method_2030_2050!$B$9:$B$34,0)),1),1)</f>
        <v/>
      </c>
      <c r="H28">
        <f>H27*IFERROR(IF(ISNUMBER(INDEX(Method_2030_2050!$D$9:$D$34,MATCH(L28,Method_2030_2050!$B$9:$B$34,0))),INDEX(Method_2030_2050!$D$9:$D$34,MATCH(L28,Method_2030_2050!$B$9:$B$34,0)),1),1)</f>
        <v/>
      </c>
      <c r="I28" t="inlineStr">
        <is>
          <t>CAPEX/OPEX ratio projection</t>
        </is>
      </c>
      <c r="J28" t="inlineStr"/>
      <c r="K28" t="inlineStr"/>
      <c r="L28" t="inlineStr">
        <is>
          <t>Biomass power plant</t>
        </is>
      </c>
      <c r="M28" t="inlineStr"/>
      <c r="N28" t="inlineStr">
        <is>
          <t>CAPEX 2050/2030=0.940469872308534</t>
        </is>
      </c>
      <c r="O28" t="n">
        <v>2030</v>
      </c>
      <c r="P28" t="n">
        <v>2050</v>
      </c>
      <c r="Q28">
        <f>Q27*IFERROR(IF(ISNUMBER(INDEX(Method_2030_2050!$D$9:$D$34,MATCH(L28,Method_2030_2050!$B$9:$B$34,0))),INDEX(Method_2030_2050!$D$9:$D$34,MATCH(L28,Method_2030_2050!$B$9:$B$34,0)),1),1)</f>
        <v/>
      </c>
    </row>
    <row r="29">
      <c r="A29" t="inlineStr">
        <is>
          <t>I-JEDI</t>
        </is>
      </c>
      <c r="B29" t="inlineStr">
        <is>
          <t>Biomass power</t>
        </is>
      </c>
      <c r="C29" t="inlineStr">
        <is>
          <t>Construction&amp;Manufacturing</t>
        </is>
      </c>
      <c r="D29" t="inlineStr">
        <is>
          <t>Induced</t>
        </is>
      </c>
      <c r="E29" t="inlineStr">
        <is>
          <t>job-yr/MW</t>
        </is>
      </c>
      <c r="F29" t="n">
        <v>2024</v>
      </c>
      <c r="G29" t="inlineStr">
        <is>
          <t>16.497</t>
        </is>
      </c>
      <c r="H29" t="n">
        <v>16.497</v>
      </c>
      <c r="I29" t="inlineStr">
        <is>
          <t>Original</t>
        </is>
      </c>
      <c r="J29" t="inlineStr"/>
      <c r="K29" t="inlineStr"/>
      <c r="L29" t="inlineStr"/>
      <c r="M29" t="inlineStr"/>
      <c r="N29" t="inlineStr"/>
      <c r="O29" t="n">
        <v>2024</v>
      </c>
      <c r="P29" t="n">
        <v>2024</v>
      </c>
      <c r="Q29" t="n">
        <v>16.497</v>
      </c>
    </row>
    <row r="30">
      <c r="A30" t="inlineStr">
        <is>
          <t>I-JEDI</t>
        </is>
      </c>
      <c r="B30" t="inlineStr">
        <is>
          <t>Biomass power</t>
        </is>
      </c>
      <c r="C30" t="inlineStr">
        <is>
          <t>Construction&amp;Manufacturing</t>
        </is>
      </c>
      <c r="D30" t="inlineStr">
        <is>
          <t>Induced</t>
        </is>
      </c>
      <c r="E30" t="inlineStr">
        <is>
          <t>job-yr/MW</t>
        </is>
      </c>
      <c r="F30" t="n">
        <v>2030</v>
      </c>
      <c r="G30">
        <f>G29*IFERROR(IF(ISNUMBER(INDEX(Method_2030_2050!$C$9:$C$34,MATCH(L30,Method_2030_2050!$B$9:$B$34,0))),INDEX(Method_2030_2050!$C$9:$C$34,MATCH(L30,Method_2030_2050!$B$9:$B$34,0)),1),1)</f>
        <v/>
      </c>
      <c r="H30">
        <f>H29*IFERROR(IF(ISNUMBER(INDEX(Method_2030_2050!$C$9:$C$34,MATCH(L30,Method_2030_2050!$B$9:$B$34,0))),INDEX(Method_2030_2050!$C$9:$C$34,MATCH(L30,Method_2030_2050!$B$9:$B$34,0)),1),1)</f>
        <v/>
      </c>
      <c r="I30" t="inlineStr">
        <is>
          <t>CAPEX/OPEX ratio projection</t>
        </is>
      </c>
      <c r="J30" t="inlineStr"/>
      <c r="K30" t="inlineStr"/>
      <c r="L30" t="inlineStr">
        <is>
          <t>Biomass power plant</t>
        </is>
      </c>
      <c r="M30" t="inlineStr"/>
      <c r="N30" t="inlineStr">
        <is>
          <t>CAPEX 2030/2024=0.96201821049129</t>
        </is>
      </c>
      <c r="O30" t="n">
        <v>2024</v>
      </c>
      <c r="P30" t="n">
        <v>2030</v>
      </c>
      <c r="Q30">
        <f>Q29*IFERROR(IF(ISNUMBER(INDEX(Method_2030_2050!$C$9:$C$34,MATCH(L30,Method_2030_2050!$B$9:$B$34,0))),INDEX(Method_2030_2050!$C$9:$C$34,MATCH(L30,Method_2030_2050!$B$9:$B$34,0)),1),1)</f>
        <v/>
      </c>
    </row>
    <row r="31">
      <c r="A31" t="inlineStr">
        <is>
          <t>I-JEDI</t>
        </is>
      </c>
      <c r="B31" t="inlineStr">
        <is>
          <t>Biomass power</t>
        </is>
      </c>
      <c r="C31" t="inlineStr">
        <is>
          <t>Construction&amp;Manufacturing</t>
        </is>
      </c>
      <c r="D31" t="inlineStr">
        <is>
          <t>Induced</t>
        </is>
      </c>
      <c r="E31" t="inlineStr">
        <is>
          <t>job-yr/MW</t>
        </is>
      </c>
      <c r="F31" t="n">
        <v>2050</v>
      </c>
      <c r="G31">
        <f>G30*IFERROR(IF(ISNUMBER(INDEX(Method_2030_2050!$D$9:$D$34,MATCH(L31,Method_2030_2050!$B$9:$B$34,0))),INDEX(Method_2030_2050!$D$9:$D$34,MATCH(L31,Method_2030_2050!$B$9:$B$34,0)),1),1)</f>
        <v/>
      </c>
      <c r="H31">
        <f>H30*IFERROR(IF(ISNUMBER(INDEX(Method_2030_2050!$D$9:$D$34,MATCH(L31,Method_2030_2050!$B$9:$B$34,0))),INDEX(Method_2030_2050!$D$9:$D$34,MATCH(L31,Method_2030_2050!$B$9:$B$34,0)),1),1)</f>
        <v/>
      </c>
      <c r="I31" t="inlineStr">
        <is>
          <t>CAPEX/OPEX ratio projection</t>
        </is>
      </c>
      <c r="J31" t="inlineStr"/>
      <c r="K31" t="inlineStr"/>
      <c r="L31" t="inlineStr">
        <is>
          <t>Biomass power plant</t>
        </is>
      </c>
      <c r="M31" t="inlineStr"/>
      <c r="N31" t="inlineStr">
        <is>
          <t>CAPEX 2050/2030=0.940469872308534</t>
        </is>
      </c>
      <c r="O31" t="n">
        <v>2030</v>
      </c>
      <c r="P31" t="n">
        <v>2050</v>
      </c>
      <c r="Q31">
        <f>Q30*IFERROR(IF(ISNUMBER(INDEX(Method_2030_2050!$D$9:$D$34,MATCH(L31,Method_2030_2050!$B$9:$B$34,0))),INDEX(Method_2030_2050!$D$9:$D$34,MATCH(L31,Method_2030_2050!$B$9:$B$34,0)),1),1)</f>
        <v/>
      </c>
    </row>
    <row r="32">
      <c r="A32" t="inlineStr">
        <is>
          <t>Rutovitz 2015</t>
        </is>
      </c>
      <c r="B32" t="inlineStr">
        <is>
          <t>Biomass power</t>
        </is>
      </c>
      <c r="C32" t="inlineStr">
        <is>
          <t>Fuel</t>
        </is>
      </c>
      <c r="D32" t="inlineStr">
        <is>
          <t>Fuel</t>
        </is>
      </c>
      <c r="E32" t="inlineStr">
        <is>
          <t>job/PJ</t>
        </is>
      </c>
      <c r="F32" t="n">
        <v>2015</v>
      </c>
      <c r="G32" t="inlineStr">
        <is>
          <t>81.1 jobs/PJ</t>
        </is>
      </c>
      <c r="H32" t="n">
        <v>81.09999999999999</v>
      </c>
      <c r="I32" t="inlineStr">
        <is>
          <t>Original</t>
        </is>
      </c>
      <c r="J32" t="inlineStr"/>
      <c r="K32" t="inlineStr"/>
      <c r="L32" t="inlineStr"/>
      <c r="M32" t="inlineStr"/>
      <c r="N32" t="inlineStr"/>
      <c r="O32" t="n">
        <v>2015</v>
      </c>
      <c r="P32" t="n">
        <v>2015</v>
      </c>
      <c r="Q32" t="n">
        <v>81.09999999999999</v>
      </c>
    </row>
    <row r="33">
      <c r="A33" t="inlineStr">
        <is>
          <t>Rutovitz 2015</t>
        </is>
      </c>
      <c r="B33" t="inlineStr">
        <is>
          <t>Biomass power</t>
        </is>
      </c>
      <c r="C33" t="inlineStr">
        <is>
          <t>Manufacturing</t>
        </is>
      </c>
      <c r="D33" t="inlineStr">
        <is>
          <t>Direct</t>
        </is>
      </c>
      <c r="E33" t="inlineStr">
        <is>
          <t>job-yr/MW</t>
        </is>
      </c>
      <c r="F33" t="n">
        <v>2015</v>
      </c>
      <c r="G33" t="inlineStr">
        <is>
          <t>2.9</t>
        </is>
      </c>
      <c r="H33" t="n">
        <v>2.9</v>
      </c>
      <c r="I33" t="inlineStr">
        <is>
          <t>Original</t>
        </is>
      </c>
      <c r="J33" t="inlineStr"/>
      <c r="K33" t="inlineStr"/>
      <c r="L33" t="inlineStr"/>
      <c r="M33" t="inlineStr"/>
      <c r="N33" t="inlineStr"/>
      <c r="O33" t="n">
        <v>2015</v>
      </c>
      <c r="P33" t="n">
        <v>2015</v>
      </c>
      <c r="Q33" t="n">
        <v>2.9</v>
      </c>
    </row>
    <row r="34">
      <c r="A34" t="inlineStr">
        <is>
          <t>Rutovitz 2015</t>
        </is>
      </c>
      <c r="B34" t="inlineStr">
        <is>
          <t>Biomass power</t>
        </is>
      </c>
      <c r="C34" t="inlineStr">
        <is>
          <t>Manufacturing</t>
        </is>
      </c>
      <c r="D34" t="inlineStr">
        <is>
          <t>Direct</t>
        </is>
      </c>
      <c r="E34" t="inlineStr">
        <is>
          <t>job-yr/MW</t>
        </is>
      </c>
      <c r="F34" t="n">
        <v>2030</v>
      </c>
      <c r="G34">
        <f>G33*K34</f>
        <v/>
      </c>
      <c r="H34">
        <f>H33*K34</f>
        <v/>
      </c>
      <c r="I34" t="inlineStr">
        <is>
          <t>Rutovitz Table 9 decline to 2030</t>
        </is>
      </c>
      <c r="J34" t="inlineStr">
        <is>
          <t>Biomass</t>
        </is>
      </c>
      <c r="K34">
        <f>INDEX(Mappings_Rutovitz!$D$2:$D$14,MATCH(J34,Mappings_Rutovitz!$B$2:$B$14,0))</f>
        <v/>
      </c>
      <c r="L34" t="inlineStr"/>
      <c r="M34" t="inlineStr"/>
      <c r="N34" t="inlineStr">
        <is>
          <t>Rutovitz Table 9 Latin America 2030</t>
        </is>
      </c>
      <c r="O34" t="n">
        <v>2015</v>
      </c>
      <c r="P34" t="n">
        <v>2030</v>
      </c>
      <c r="Q34">
        <f>Q33*K34</f>
        <v/>
      </c>
    </row>
    <row r="35">
      <c r="A35" t="inlineStr">
        <is>
          <t>Rutovitz 2015</t>
        </is>
      </c>
      <c r="B35" t="inlineStr">
        <is>
          <t>Biomass power</t>
        </is>
      </c>
      <c r="C35" t="inlineStr">
        <is>
          <t>Manufacturing</t>
        </is>
      </c>
      <c r="D35" t="inlineStr">
        <is>
          <t>Direct</t>
        </is>
      </c>
      <c r="E35" t="inlineStr">
        <is>
          <t>job-yr/MW</t>
        </is>
      </c>
      <c r="F35" t="n">
        <v>2050</v>
      </c>
      <c r="G35">
        <f>G34*IFERROR(IF(ISNUMBER(INDEX(Method_2030_2050!$D$9:$D$34,MATCH(L35,Method_2030_2050!$B$9:$B$34,0))),INDEX(Method_2030_2050!$D$9:$D$34,MATCH(L35,Method_2030_2050!$B$9:$B$34,0)),1),1)</f>
        <v/>
      </c>
      <c r="H35">
        <f>H34*IFERROR(IF(ISNUMBER(INDEX(Method_2030_2050!$D$9:$D$34,MATCH(L35,Method_2030_2050!$B$9:$B$34,0))),INDEX(Method_2030_2050!$D$9:$D$34,MATCH(L35,Method_2030_2050!$B$9:$B$34,0)),1),1)</f>
        <v/>
      </c>
      <c r="I35" t="inlineStr">
        <is>
          <t>CAPEX/OPEX ratio projection</t>
        </is>
      </c>
      <c r="J35" t="inlineStr">
        <is>
          <t>Biomass</t>
        </is>
      </c>
      <c r="K35" t="inlineStr"/>
      <c r="L35" t="inlineStr">
        <is>
          <t>Biomass power plant</t>
        </is>
      </c>
      <c r="M35" t="inlineStr"/>
      <c r="N35" t="inlineStr">
        <is>
          <t>CAPEX 2050/2030=0.940469872308534</t>
        </is>
      </c>
      <c r="O35" t="n">
        <v>2030</v>
      </c>
      <c r="P35" t="n">
        <v>2050</v>
      </c>
      <c r="Q35">
        <f>Q34*IFERROR(IF(ISNUMBER(INDEX(Method_2030_2050!$D$9:$D$34,MATCH(L35,Method_2030_2050!$B$9:$B$34,0))),INDEX(Method_2030_2050!$D$9:$D$34,MATCH(L35,Method_2030_2050!$B$9:$B$34,0)),1),1)</f>
        <v/>
      </c>
    </row>
    <row r="36">
      <c r="A36" t="inlineStr">
        <is>
          <t>I-JEDI</t>
        </is>
      </c>
      <c r="B36" t="inlineStr">
        <is>
          <t>Biomass power</t>
        </is>
      </c>
      <c r="C36" t="inlineStr">
        <is>
          <t>O&amp;M</t>
        </is>
      </c>
      <c r="D36" t="inlineStr">
        <is>
          <t>Direct</t>
        </is>
      </c>
      <c r="E36" t="inlineStr">
        <is>
          <t>job/MW</t>
        </is>
      </c>
      <c r="F36" t="n">
        <v>2024</v>
      </c>
      <c r="G36" t="inlineStr">
        <is>
          <t>2.406</t>
        </is>
      </c>
      <c r="H36" t="n">
        <v>2.406</v>
      </c>
      <c r="I36" t="inlineStr">
        <is>
          <t>Original</t>
        </is>
      </c>
      <c r="J36" t="inlineStr"/>
      <c r="K36" t="inlineStr"/>
      <c r="L36" t="inlineStr"/>
      <c r="M36" t="inlineStr"/>
      <c r="N36" t="inlineStr"/>
      <c r="O36" t="n">
        <v>2024</v>
      </c>
      <c r="P36" t="n">
        <v>2024</v>
      </c>
      <c r="Q36" t="n">
        <v>2.406</v>
      </c>
    </row>
    <row r="37">
      <c r="A37" t="inlineStr">
        <is>
          <t>I-JEDI</t>
        </is>
      </c>
      <c r="B37" t="inlineStr">
        <is>
          <t>Biomass power</t>
        </is>
      </c>
      <c r="C37" t="inlineStr">
        <is>
          <t>O&amp;M</t>
        </is>
      </c>
      <c r="D37" t="inlineStr">
        <is>
          <t>Direct</t>
        </is>
      </c>
      <c r="E37" t="inlineStr">
        <is>
          <t>job/MW</t>
        </is>
      </c>
      <c r="F37" t="n">
        <v>2030</v>
      </c>
      <c r="G37">
        <f>G36*IFERROR(IF(ISNUMBER(INDEX(Method_2030_2050!$E$9:$E$34,MATCH(L37,Method_2030_2050!$B$9:$B$34,0))),INDEX(Method_2030_2050!$E$9:$E$34,MATCH(L37,Method_2030_2050!$B$9:$B$34,0)),1),1)</f>
        <v/>
      </c>
      <c r="H37">
        <f>H36*IFERROR(IF(ISNUMBER(INDEX(Method_2030_2050!$E$9:$E$34,MATCH(L37,Method_2030_2050!$B$9:$B$34,0))),INDEX(Method_2030_2050!$E$9:$E$34,MATCH(L37,Method_2030_2050!$B$9:$B$34,0)),1),1)</f>
        <v/>
      </c>
      <c r="I37" t="inlineStr">
        <is>
          <t>CAPEX/OPEX ratio projection</t>
        </is>
      </c>
      <c r="J37" t="inlineStr"/>
      <c r="K37" t="inlineStr"/>
      <c r="L37" t="inlineStr">
        <is>
          <t>Biomass power plant</t>
        </is>
      </c>
      <c r="M37" t="inlineStr"/>
      <c r="N37" t="inlineStr">
        <is>
          <t>OPEX 2030/2024=0.9621087314662272</t>
        </is>
      </c>
      <c r="O37" t="n">
        <v>2024</v>
      </c>
      <c r="P37" t="n">
        <v>2030</v>
      </c>
      <c r="Q37">
        <f>Q36*IFERROR(IF(ISNUMBER(INDEX(Method_2030_2050!$E$9:$E$34,MATCH(L37,Method_2030_2050!$B$9:$B$34,0))),INDEX(Method_2030_2050!$E$9:$E$34,MATCH(L37,Method_2030_2050!$B$9:$B$34,0)),1),1)</f>
        <v/>
      </c>
    </row>
    <row r="38">
      <c r="A38" t="inlineStr">
        <is>
          <t>I-JEDI</t>
        </is>
      </c>
      <c r="B38" t="inlineStr">
        <is>
          <t>Biomass power</t>
        </is>
      </c>
      <c r="C38" t="inlineStr">
        <is>
          <t>O&amp;M</t>
        </is>
      </c>
      <c r="D38" t="inlineStr">
        <is>
          <t>Direct</t>
        </is>
      </c>
      <c r="E38" t="inlineStr">
        <is>
          <t>job/MW</t>
        </is>
      </c>
      <c r="F38" t="n">
        <v>2050</v>
      </c>
      <c r="G38">
        <f>G37*IFERROR(IF(ISNUMBER(INDEX(Method_2030_2050!$F$9:$F$34,MATCH(L38,Method_2030_2050!$B$9:$B$34,0))),INDEX(Method_2030_2050!$F$9:$F$34,MATCH(L38,Method_2030_2050!$B$9:$B$34,0)),1),1)</f>
        <v/>
      </c>
      <c r="H38">
        <f>H37*IFERROR(IF(ISNUMBER(INDEX(Method_2030_2050!$F$9:$F$34,MATCH(L38,Method_2030_2050!$B$9:$B$34,0))),INDEX(Method_2030_2050!$F$9:$F$34,MATCH(L38,Method_2030_2050!$B$9:$B$34,0)),1),1)</f>
        <v/>
      </c>
      <c r="I38" t="inlineStr">
        <is>
          <t>CAPEX/OPEX ratio projection</t>
        </is>
      </c>
      <c r="J38" t="inlineStr"/>
      <c r="K38" t="inlineStr"/>
      <c r="L38" t="inlineStr">
        <is>
          <t>Biomass power plant</t>
        </is>
      </c>
      <c r="M38" t="inlineStr"/>
      <c r="N38" t="inlineStr">
        <is>
          <t>OPEX 2050/2030=0.940068493150685</t>
        </is>
      </c>
      <c r="O38" t="n">
        <v>2030</v>
      </c>
      <c r="P38" t="n">
        <v>2050</v>
      </c>
      <c r="Q38">
        <f>Q37*IFERROR(IF(ISNUMBER(INDEX(Method_2030_2050!$F$9:$F$34,MATCH(L38,Method_2030_2050!$B$9:$B$34,0))),INDEX(Method_2030_2050!$F$9:$F$34,MATCH(L38,Method_2030_2050!$B$9:$B$34,0)),1),1)</f>
        <v/>
      </c>
    </row>
    <row r="39">
      <c r="A39" t="inlineStr">
        <is>
          <t>Rutovitz 2015</t>
        </is>
      </c>
      <c r="B39" t="inlineStr">
        <is>
          <t>Biomass power</t>
        </is>
      </c>
      <c r="C39" t="inlineStr">
        <is>
          <t>O&amp;M</t>
        </is>
      </c>
      <c r="D39" t="inlineStr">
        <is>
          <t>Direct</t>
        </is>
      </c>
      <c r="E39" t="inlineStr">
        <is>
          <t>job/MW</t>
        </is>
      </c>
      <c r="F39" t="n">
        <v>2015</v>
      </c>
      <c r="G39" t="inlineStr">
        <is>
          <t>1.5</t>
        </is>
      </c>
      <c r="H39" t="n">
        <v>1.5</v>
      </c>
      <c r="I39" t="inlineStr">
        <is>
          <t>Original</t>
        </is>
      </c>
      <c r="J39" t="inlineStr"/>
      <c r="K39" t="inlineStr"/>
      <c r="L39" t="inlineStr"/>
      <c r="M39" t="inlineStr"/>
      <c r="N39" t="inlineStr"/>
      <c r="O39" t="n">
        <v>2015</v>
      </c>
      <c r="P39" t="n">
        <v>2015</v>
      </c>
      <c r="Q39" t="n">
        <v>1.5</v>
      </c>
    </row>
    <row r="40">
      <c r="A40" t="inlineStr">
        <is>
          <t>Rutovitz 2015</t>
        </is>
      </c>
      <c r="B40" t="inlineStr">
        <is>
          <t>Biomass power</t>
        </is>
      </c>
      <c r="C40" t="inlineStr">
        <is>
          <t>O&amp;M</t>
        </is>
      </c>
      <c r="D40" t="inlineStr">
        <is>
          <t>Direct</t>
        </is>
      </c>
      <c r="E40" t="inlineStr">
        <is>
          <t>job/MW</t>
        </is>
      </c>
      <c r="F40" t="n">
        <v>2030</v>
      </c>
      <c r="G40">
        <f>G39*K40</f>
        <v/>
      </c>
      <c r="H40">
        <f>H39*K40</f>
        <v/>
      </c>
      <c r="I40" t="inlineStr">
        <is>
          <t>Rutovitz Table 9 decline to 2030</t>
        </is>
      </c>
      <c r="J40" t="inlineStr">
        <is>
          <t>Biomass</t>
        </is>
      </c>
      <c r="K40">
        <f>INDEX(Mappings_Rutovitz!$D$2:$D$14,MATCH(J40,Mappings_Rutovitz!$B$2:$B$14,0))</f>
        <v/>
      </c>
      <c r="L40" t="inlineStr"/>
      <c r="M40" t="inlineStr"/>
      <c r="N40" t="inlineStr">
        <is>
          <t>Rutovitz Table 9 Latin America 2030</t>
        </is>
      </c>
      <c r="O40" t="n">
        <v>2015</v>
      </c>
      <c r="P40" t="n">
        <v>2030</v>
      </c>
      <c r="Q40">
        <f>Q39*K40</f>
        <v/>
      </c>
    </row>
    <row r="41">
      <c r="A41" t="inlineStr">
        <is>
          <t>Rutovitz 2015</t>
        </is>
      </c>
      <c r="B41" t="inlineStr">
        <is>
          <t>Biomass power</t>
        </is>
      </c>
      <c r="C41" t="inlineStr">
        <is>
          <t>O&amp;M</t>
        </is>
      </c>
      <c r="D41" t="inlineStr">
        <is>
          <t>Direct</t>
        </is>
      </c>
      <c r="E41" t="inlineStr">
        <is>
          <t>job/MW</t>
        </is>
      </c>
      <c r="F41" t="n">
        <v>2050</v>
      </c>
      <c r="G41">
        <f>G40*IFERROR(IF(ISNUMBER(INDEX(Method_2030_2050!$F$9:$F$34,MATCH(L41,Method_2030_2050!$B$9:$B$34,0))),INDEX(Method_2030_2050!$F$9:$F$34,MATCH(L41,Method_2030_2050!$B$9:$B$34,0)),1),1)</f>
        <v/>
      </c>
      <c r="H41">
        <f>H40*IFERROR(IF(ISNUMBER(INDEX(Method_2030_2050!$F$9:$F$34,MATCH(L41,Method_2030_2050!$B$9:$B$34,0))),INDEX(Method_2030_2050!$F$9:$F$34,MATCH(L41,Method_2030_2050!$B$9:$B$34,0)),1),1)</f>
        <v/>
      </c>
      <c r="I41" t="inlineStr">
        <is>
          <t>CAPEX/OPEX ratio projection</t>
        </is>
      </c>
      <c r="J41" t="inlineStr">
        <is>
          <t>Biomass</t>
        </is>
      </c>
      <c r="K41" t="inlineStr"/>
      <c r="L41" t="inlineStr">
        <is>
          <t>Biomass power plant</t>
        </is>
      </c>
      <c r="M41" t="inlineStr"/>
      <c r="N41" t="inlineStr">
        <is>
          <t>OPEX 2050/2030=0.940068493150685</t>
        </is>
      </c>
      <c r="O41" t="n">
        <v>2030</v>
      </c>
      <c r="P41" t="n">
        <v>2050</v>
      </c>
      <c r="Q41">
        <f>Q40*IFERROR(IF(ISNUMBER(INDEX(Method_2030_2050!$F$9:$F$34,MATCH(L41,Method_2030_2050!$B$9:$B$34,0))),INDEX(Method_2030_2050!$F$9:$F$34,MATCH(L41,Method_2030_2050!$B$9:$B$34,0)),1),1)</f>
        <v/>
      </c>
    </row>
    <row r="42">
      <c r="A42" t="inlineStr">
        <is>
          <t>I-JEDI</t>
        </is>
      </c>
      <c r="B42" t="inlineStr">
        <is>
          <t>Biomass power</t>
        </is>
      </c>
      <c r="C42" t="inlineStr">
        <is>
          <t>O&amp;M</t>
        </is>
      </c>
      <c r="D42" t="inlineStr">
        <is>
          <t>Indirect</t>
        </is>
      </c>
      <c r="E42" t="inlineStr">
        <is>
          <t>job/MW</t>
        </is>
      </c>
      <c r="F42" t="n">
        <v>2024</v>
      </c>
      <c r="G42" t="inlineStr">
        <is>
          <t>1.477</t>
        </is>
      </c>
      <c r="H42" t="n">
        <v>1.477</v>
      </c>
      <c r="I42" t="inlineStr">
        <is>
          <t>Original</t>
        </is>
      </c>
      <c r="J42" t="inlineStr"/>
      <c r="K42" t="inlineStr"/>
      <c r="L42" t="inlineStr"/>
      <c r="M42" t="inlineStr"/>
      <c r="N42" t="inlineStr"/>
      <c r="O42" t="n">
        <v>2024</v>
      </c>
      <c r="P42" t="n">
        <v>2024</v>
      </c>
      <c r="Q42" t="n">
        <v>1.477</v>
      </c>
    </row>
    <row r="43">
      <c r="A43" t="inlineStr">
        <is>
          <t>I-JEDI</t>
        </is>
      </c>
      <c r="B43" t="inlineStr">
        <is>
          <t>Biomass power</t>
        </is>
      </c>
      <c r="C43" t="inlineStr">
        <is>
          <t>O&amp;M</t>
        </is>
      </c>
      <c r="D43" t="inlineStr">
        <is>
          <t>Indirect</t>
        </is>
      </c>
      <c r="E43" t="inlineStr">
        <is>
          <t>job/MW</t>
        </is>
      </c>
      <c r="F43" t="n">
        <v>2030</v>
      </c>
      <c r="G43">
        <f>G42*IFERROR(IF(ISNUMBER(INDEX(Method_2030_2050!$E$9:$E$34,MATCH(L43,Method_2030_2050!$B$9:$B$34,0))),INDEX(Method_2030_2050!$E$9:$E$34,MATCH(L43,Method_2030_2050!$B$9:$B$34,0)),1),1)</f>
        <v/>
      </c>
      <c r="H43">
        <f>H42*IFERROR(IF(ISNUMBER(INDEX(Method_2030_2050!$E$9:$E$34,MATCH(L43,Method_2030_2050!$B$9:$B$34,0))),INDEX(Method_2030_2050!$E$9:$E$34,MATCH(L43,Method_2030_2050!$B$9:$B$34,0)),1),1)</f>
        <v/>
      </c>
      <c r="I43" t="inlineStr">
        <is>
          <t>CAPEX/OPEX ratio projection</t>
        </is>
      </c>
      <c r="J43" t="inlineStr"/>
      <c r="K43" t="inlineStr"/>
      <c r="L43" t="inlineStr">
        <is>
          <t>Biomass power plant</t>
        </is>
      </c>
      <c r="M43" t="inlineStr"/>
      <c r="N43" t="inlineStr">
        <is>
          <t>OPEX 2030/2024=0.9621087314662272</t>
        </is>
      </c>
      <c r="O43" t="n">
        <v>2024</v>
      </c>
      <c r="P43" t="n">
        <v>2030</v>
      </c>
      <c r="Q43">
        <f>Q42*IFERROR(IF(ISNUMBER(INDEX(Method_2030_2050!$E$9:$E$34,MATCH(L43,Method_2030_2050!$B$9:$B$34,0))),INDEX(Method_2030_2050!$E$9:$E$34,MATCH(L43,Method_2030_2050!$B$9:$B$34,0)),1),1)</f>
        <v/>
      </c>
    </row>
    <row r="44">
      <c r="A44" t="inlineStr">
        <is>
          <t>I-JEDI</t>
        </is>
      </c>
      <c r="B44" t="inlineStr">
        <is>
          <t>Biomass power</t>
        </is>
      </c>
      <c r="C44" t="inlineStr">
        <is>
          <t>O&amp;M</t>
        </is>
      </c>
      <c r="D44" t="inlineStr">
        <is>
          <t>Indirect</t>
        </is>
      </c>
      <c r="E44" t="inlineStr">
        <is>
          <t>job/MW</t>
        </is>
      </c>
      <c r="F44" t="n">
        <v>2050</v>
      </c>
      <c r="G44">
        <f>G43*IFERROR(IF(ISNUMBER(INDEX(Method_2030_2050!$F$9:$F$34,MATCH(L44,Method_2030_2050!$B$9:$B$34,0))),INDEX(Method_2030_2050!$F$9:$F$34,MATCH(L44,Method_2030_2050!$B$9:$B$34,0)),1),1)</f>
        <v/>
      </c>
      <c r="H44">
        <f>H43*IFERROR(IF(ISNUMBER(INDEX(Method_2030_2050!$F$9:$F$34,MATCH(L44,Method_2030_2050!$B$9:$B$34,0))),INDEX(Method_2030_2050!$F$9:$F$34,MATCH(L44,Method_2030_2050!$B$9:$B$34,0)),1),1)</f>
        <v/>
      </c>
      <c r="I44" t="inlineStr">
        <is>
          <t>CAPEX/OPEX ratio projection</t>
        </is>
      </c>
      <c r="J44" t="inlineStr"/>
      <c r="K44" t="inlineStr"/>
      <c r="L44" t="inlineStr">
        <is>
          <t>Biomass power plant</t>
        </is>
      </c>
      <c r="M44" t="inlineStr"/>
      <c r="N44" t="inlineStr">
        <is>
          <t>OPEX 2050/2030=0.940068493150685</t>
        </is>
      </c>
      <c r="O44" t="n">
        <v>2030</v>
      </c>
      <c r="P44" t="n">
        <v>2050</v>
      </c>
      <c r="Q44">
        <f>Q43*IFERROR(IF(ISNUMBER(INDEX(Method_2030_2050!$F$9:$F$34,MATCH(L44,Method_2030_2050!$B$9:$B$34,0))),INDEX(Method_2030_2050!$F$9:$F$34,MATCH(L44,Method_2030_2050!$B$9:$B$34,0)),1),1)</f>
        <v/>
      </c>
    </row>
    <row r="45">
      <c r="A45" t="inlineStr">
        <is>
          <t>I-JEDI</t>
        </is>
      </c>
      <c r="B45" t="inlineStr">
        <is>
          <t>Biomass power</t>
        </is>
      </c>
      <c r="C45" t="inlineStr">
        <is>
          <t>O&amp;M</t>
        </is>
      </c>
      <c r="D45" t="inlineStr">
        <is>
          <t>Induced</t>
        </is>
      </c>
      <c r="E45" t="inlineStr">
        <is>
          <t>job/MW</t>
        </is>
      </c>
      <c r="F45" t="n">
        <v>2024</v>
      </c>
      <c r="G45" t="inlineStr">
        <is>
          <t>1.672</t>
        </is>
      </c>
      <c r="H45" t="n">
        <v>1.672</v>
      </c>
      <c r="I45" t="inlineStr">
        <is>
          <t>Original</t>
        </is>
      </c>
      <c r="J45" t="inlineStr"/>
      <c r="K45" t="inlineStr"/>
      <c r="L45" t="inlineStr"/>
      <c r="M45" t="inlineStr"/>
      <c r="N45" t="inlineStr"/>
      <c r="O45" t="n">
        <v>2024</v>
      </c>
      <c r="P45" t="n">
        <v>2024</v>
      </c>
      <c r="Q45" t="n">
        <v>1.672</v>
      </c>
    </row>
    <row r="46">
      <c r="A46" t="inlineStr">
        <is>
          <t>I-JEDI</t>
        </is>
      </c>
      <c r="B46" t="inlineStr">
        <is>
          <t>Biomass power</t>
        </is>
      </c>
      <c r="C46" t="inlineStr">
        <is>
          <t>O&amp;M</t>
        </is>
      </c>
      <c r="D46" t="inlineStr">
        <is>
          <t>Induced</t>
        </is>
      </c>
      <c r="E46" t="inlineStr">
        <is>
          <t>job/MW</t>
        </is>
      </c>
      <c r="F46" t="n">
        <v>2030</v>
      </c>
      <c r="G46">
        <f>G45*IFERROR(IF(ISNUMBER(INDEX(Method_2030_2050!$E$9:$E$34,MATCH(L46,Method_2030_2050!$B$9:$B$34,0))),INDEX(Method_2030_2050!$E$9:$E$34,MATCH(L46,Method_2030_2050!$B$9:$B$34,0)),1),1)</f>
        <v/>
      </c>
      <c r="H46">
        <f>H45*IFERROR(IF(ISNUMBER(INDEX(Method_2030_2050!$E$9:$E$34,MATCH(L46,Method_2030_2050!$B$9:$B$34,0))),INDEX(Method_2030_2050!$E$9:$E$34,MATCH(L46,Method_2030_2050!$B$9:$B$34,0)),1),1)</f>
        <v/>
      </c>
      <c r="I46" t="inlineStr">
        <is>
          <t>CAPEX/OPEX ratio projection</t>
        </is>
      </c>
      <c r="J46" t="inlineStr"/>
      <c r="K46" t="inlineStr"/>
      <c r="L46" t="inlineStr">
        <is>
          <t>Biomass power plant</t>
        </is>
      </c>
      <c r="M46" t="inlineStr"/>
      <c r="N46" t="inlineStr">
        <is>
          <t>OPEX 2030/2024=0.9621087314662272</t>
        </is>
      </c>
      <c r="O46" t="n">
        <v>2024</v>
      </c>
      <c r="P46" t="n">
        <v>2030</v>
      </c>
      <c r="Q46">
        <f>Q45*IFERROR(IF(ISNUMBER(INDEX(Method_2030_2050!$E$9:$E$34,MATCH(L46,Method_2030_2050!$B$9:$B$34,0))),INDEX(Method_2030_2050!$E$9:$E$34,MATCH(L46,Method_2030_2050!$B$9:$B$34,0)),1),1)</f>
        <v/>
      </c>
    </row>
    <row r="47">
      <c r="A47" t="inlineStr">
        <is>
          <t>I-JEDI</t>
        </is>
      </c>
      <c r="B47" t="inlineStr">
        <is>
          <t>Biomass power</t>
        </is>
      </c>
      <c r="C47" t="inlineStr">
        <is>
          <t>O&amp;M</t>
        </is>
      </c>
      <c r="D47" t="inlineStr">
        <is>
          <t>Induced</t>
        </is>
      </c>
      <c r="E47" t="inlineStr">
        <is>
          <t>job/MW</t>
        </is>
      </c>
      <c r="F47" t="n">
        <v>2050</v>
      </c>
      <c r="G47">
        <f>G46*IFERROR(IF(ISNUMBER(INDEX(Method_2030_2050!$F$9:$F$34,MATCH(L47,Method_2030_2050!$B$9:$B$34,0))),INDEX(Method_2030_2050!$F$9:$F$34,MATCH(L47,Method_2030_2050!$B$9:$B$34,0)),1),1)</f>
        <v/>
      </c>
      <c r="H47">
        <f>H46*IFERROR(IF(ISNUMBER(INDEX(Method_2030_2050!$F$9:$F$34,MATCH(L47,Method_2030_2050!$B$9:$B$34,0))),INDEX(Method_2030_2050!$F$9:$F$34,MATCH(L47,Method_2030_2050!$B$9:$B$34,0)),1),1)</f>
        <v/>
      </c>
      <c r="I47" t="inlineStr">
        <is>
          <t>CAPEX/OPEX ratio projection</t>
        </is>
      </c>
      <c r="J47" t="inlineStr"/>
      <c r="K47" t="inlineStr"/>
      <c r="L47" t="inlineStr">
        <is>
          <t>Biomass power plant</t>
        </is>
      </c>
      <c r="M47" t="inlineStr"/>
      <c r="N47" t="inlineStr">
        <is>
          <t>OPEX 2050/2030=0.940068493150685</t>
        </is>
      </c>
      <c r="O47" t="n">
        <v>2030</v>
      </c>
      <c r="P47" t="n">
        <v>2050</v>
      </c>
      <c r="Q47">
        <f>Q46*IFERROR(IF(ISNUMBER(INDEX(Method_2030_2050!$F$9:$F$34,MATCH(L47,Method_2030_2050!$B$9:$B$34,0))),INDEX(Method_2030_2050!$F$9:$F$34,MATCH(L47,Method_2030_2050!$B$9:$B$34,0)),1),1)</f>
        <v/>
      </c>
    </row>
    <row r="48">
      <c r="A48" t="inlineStr">
        <is>
          <t>Rutovitz 2015</t>
        </is>
      </c>
      <c r="B48" t="inlineStr">
        <is>
          <t>Coal power</t>
        </is>
      </c>
      <c r="C48" t="inlineStr">
        <is>
          <t>Construction</t>
        </is>
      </c>
      <c r="D48" t="inlineStr">
        <is>
          <t>Direct</t>
        </is>
      </c>
      <c r="E48" t="inlineStr">
        <is>
          <t>job-yr/MW</t>
        </is>
      </c>
      <c r="F48" t="n">
        <v>2015</v>
      </c>
      <c r="G48" t="inlineStr">
        <is>
          <t>11.2</t>
        </is>
      </c>
      <c r="H48" t="n">
        <v>11.2</v>
      </c>
      <c r="I48" t="inlineStr">
        <is>
          <t>Original</t>
        </is>
      </c>
      <c r="J48" t="inlineStr"/>
      <c r="K48" t="inlineStr"/>
      <c r="L48" t="inlineStr"/>
      <c r="M48" t="inlineStr"/>
      <c r="N48" t="inlineStr"/>
      <c r="O48" t="n">
        <v>2015</v>
      </c>
      <c r="P48" t="n">
        <v>2015</v>
      </c>
      <c r="Q48" t="n">
        <v>11.2</v>
      </c>
    </row>
    <row r="49">
      <c r="A49" t="inlineStr">
        <is>
          <t>Rutovitz 2015</t>
        </is>
      </c>
      <c r="B49" t="inlineStr">
        <is>
          <t>Coal power</t>
        </is>
      </c>
      <c r="C49" t="inlineStr">
        <is>
          <t>Construction</t>
        </is>
      </c>
      <c r="D49" t="inlineStr">
        <is>
          <t>Direct</t>
        </is>
      </c>
      <c r="E49" t="inlineStr">
        <is>
          <t>job-yr/MW</t>
        </is>
      </c>
      <c r="F49" t="n">
        <v>2030</v>
      </c>
      <c r="G49">
        <f>G48*K49</f>
        <v/>
      </c>
      <c r="H49">
        <f>H48*K49</f>
        <v/>
      </c>
      <c r="I49" t="inlineStr">
        <is>
          <t>Rutovitz Table 9 decline to 2030</t>
        </is>
      </c>
      <c r="J49" t="inlineStr">
        <is>
          <t>Coal</t>
        </is>
      </c>
      <c r="K49">
        <f>INDEX(Mappings_Rutovitz!$D$2:$D$14,MATCH(J49,Mappings_Rutovitz!$B$2:$B$14,0))</f>
        <v/>
      </c>
      <c r="L49" t="inlineStr"/>
      <c r="M49" t="inlineStr"/>
      <c r="N49" t="inlineStr">
        <is>
          <t>Rutovitz Table 9 Latin America 2030</t>
        </is>
      </c>
      <c r="O49" t="n">
        <v>2015</v>
      </c>
      <c r="P49" t="n">
        <v>2030</v>
      </c>
      <c r="Q49">
        <f>Q48*K49</f>
        <v/>
      </c>
    </row>
    <row r="50">
      <c r="A50" t="inlineStr">
        <is>
          <t>Rutovitz 2015</t>
        </is>
      </c>
      <c r="B50" t="inlineStr">
        <is>
          <t>Coal power</t>
        </is>
      </c>
      <c r="C50" t="inlineStr">
        <is>
          <t>Construction</t>
        </is>
      </c>
      <c r="D50" t="inlineStr">
        <is>
          <t>Direct</t>
        </is>
      </c>
      <c r="E50" t="inlineStr">
        <is>
          <t>job-yr/MW</t>
        </is>
      </c>
      <c r="F50" t="n">
        <v>2050</v>
      </c>
      <c r="G50">
        <f>G49*IFERROR(IF(ISNUMBER(INDEX(Method_2030_2050!$D$9:$D$34,MATCH(L50,Method_2030_2050!$B$9:$B$34,0))),INDEX(Method_2030_2050!$D$9:$D$34,MATCH(L50,Method_2030_2050!$B$9:$B$34,0)),1),1)</f>
        <v/>
      </c>
      <c r="H50">
        <f>H49*IFERROR(IF(ISNUMBER(INDEX(Method_2030_2050!$D$9:$D$34,MATCH(L50,Method_2030_2050!$B$9:$B$34,0))),INDEX(Method_2030_2050!$D$9:$D$34,MATCH(L50,Method_2030_2050!$B$9:$B$34,0)),1),1)</f>
        <v/>
      </c>
      <c r="I50" t="inlineStr">
        <is>
          <t>CAPEX/OPEX ratio projection</t>
        </is>
      </c>
      <c r="J50" t="inlineStr">
        <is>
          <t>Coal</t>
        </is>
      </c>
      <c r="K50" t="inlineStr"/>
      <c r="L50" t="inlineStr">
        <is>
          <t>Coal Supercritical</t>
        </is>
      </c>
      <c r="M50" t="inlineStr"/>
      <c r="N50" t="inlineStr">
        <is>
          <t>CAPEX 2050/2030=0.9607509570263428</t>
        </is>
      </c>
      <c r="O50" t="n">
        <v>2030</v>
      </c>
      <c r="P50" t="n">
        <v>2050</v>
      </c>
      <c r="Q50">
        <f>Q49*IFERROR(IF(ISNUMBER(INDEX(Method_2030_2050!$D$9:$D$34,MATCH(L50,Method_2030_2050!$B$9:$B$34,0))),INDEX(Method_2030_2050!$D$9:$D$34,MATCH(L50,Method_2030_2050!$B$9:$B$34,0)),1),1)</f>
        <v/>
      </c>
    </row>
    <row r="51">
      <c r="A51" t="inlineStr">
        <is>
          <t>Rutovitz 2025</t>
        </is>
      </c>
      <c r="B51" t="inlineStr">
        <is>
          <t>Coal power</t>
        </is>
      </c>
      <c r="C51" t="inlineStr">
        <is>
          <t>Construction</t>
        </is>
      </c>
      <c r="D51" t="inlineStr">
        <is>
          <t>Direct</t>
        </is>
      </c>
      <c r="E51" t="inlineStr">
        <is>
          <t>job-yr/MW</t>
        </is>
      </c>
      <c r="F51" t="n">
        <v>2024</v>
      </c>
      <c r="G51" t="inlineStr">
        <is>
          <t>11.08</t>
        </is>
      </c>
      <c r="H51" t="n">
        <v>11.08</v>
      </c>
      <c r="I51" t="inlineStr">
        <is>
          <t>Original</t>
        </is>
      </c>
      <c r="J51" t="inlineStr"/>
      <c r="K51" t="inlineStr"/>
      <c r="L51" t="inlineStr"/>
      <c r="M51" t="inlineStr"/>
      <c r="N51" t="inlineStr"/>
      <c r="O51" t="n">
        <v>2024</v>
      </c>
      <c r="P51" t="n">
        <v>2024</v>
      </c>
      <c r="Q51" t="n">
        <v>11.08</v>
      </c>
    </row>
    <row r="52">
      <c r="A52" t="inlineStr">
        <is>
          <t>Rutovitz 2025</t>
        </is>
      </c>
      <c r="B52" t="inlineStr">
        <is>
          <t>Coal power</t>
        </is>
      </c>
      <c r="C52" t="inlineStr">
        <is>
          <t>Construction</t>
        </is>
      </c>
      <c r="D52" t="inlineStr">
        <is>
          <t>Direct</t>
        </is>
      </c>
      <c r="E52" t="inlineStr">
        <is>
          <t>job-yr/MW</t>
        </is>
      </c>
      <c r="F52" t="n">
        <v>2030</v>
      </c>
      <c r="G52">
        <f>G51*IFERROR(IF(ISNUMBER(INDEX(Method_2030_2050!$C$9:$C$34,MATCH(L52,Method_2030_2050!$B$9:$B$34,0))),INDEX(Method_2030_2050!$C$9:$C$34,MATCH(L52,Method_2030_2050!$B$9:$B$34,0)),1),1)</f>
        <v/>
      </c>
      <c r="H52">
        <f>H51*IFERROR(IF(ISNUMBER(INDEX(Method_2030_2050!$C$9:$C$34,MATCH(L52,Method_2030_2050!$B$9:$B$34,0))),INDEX(Method_2030_2050!$C$9:$C$34,MATCH(L52,Method_2030_2050!$B$9:$B$34,0)),1),1)</f>
        <v/>
      </c>
      <c r="I52" t="inlineStr">
        <is>
          <t>CAPEX/OPEX ratio projection</t>
        </is>
      </c>
      <c r="J52" t="inlineStr"/>
      <c r="K52" t="inlineStr"/>
      <c r="L52" t="inlineStr">
        <is>
          <t>Coal Supercritical</t>
        </is>
      </c>
      <c r="M52" t="inlineStr"/>
      <c r="N52" t="inlineStr">
        <is>
          <t>CAPEX 2030/2024=0.988059840239808</t>
        </is>
      </c>
      <c r="O52" t="n">
        <v>2024</v>
      </c>
      <c r="P52" t="n">
        <v>2030</v>
      </c>
      <c r="Q52">
        <f>Q51*IFERROR(IF(ISNUMBER(INDEX(Method_2030_2050!$C$9:$C$34,MATCH(L52,Method_2030_2050!$B$9:$B$34,0))),INDEX(Method_2030_2050!$C$9:$C$34,MATCH(L52,Method_2030_2050!$B$9:$B$34,0)),1),1)</f>
        <v/>
      </c>
    </row>
    <row r="53">
      <c r="A53" t="inlineStr">
        <is>
          <t>Rutovitz 2025</t>
        </is>
      </c>
      <c r="B53" t="inlineStr">
        <is>
          <t>Coal power</t>
        </is>
      </c>
      <c r="C53" t="inlineStr">
        <is>
          <t>Construction</t>
        </is>
      </c>
      <c r="D53" t="inlineStr">
        <is>
          <t>Direct</t>
        </is>
      </c>
      <c r="E53" t="inlineStr">
        <is>
          <t>job-yr/MW</t>
        </is>
      </c>
      <c r="F53" t="n">
        <v>2050</v>
      </c>
      <c r="G53">
        <f>G52*IFERROR(IF(ISNUMBER(INDEX(Method_2030_2050!$D$9:$D$34,MATCH(L53,Method_2030_2050!$B$9:$B$34,0))),INDEX(Method_2030_2050!$D$9:$D$34,MATCH(L53,Method_2030_2050!$B$9:$B$34,0)),1),1)</f>
        <v/>
      </c>
      <c r="H53">
        <f>H52*IFERROR(IF(ISNUMBER(INDEX(Method_2030_2050!$D$9:$D$34,MATCH(L53,Method_2030_2050!$B$9:$B$34,0))),INDEX(Method_2030_2050!$D$9:$D$34,MATCH(L53,Method_2030_2050!$B$9:$B$34,0)),1),1)</f>
        <v/>
      </c>
      <c r="I53" t="inlineStr">
        <is>
          <t>CAPEX/OPEX ratio projection</t>
        </is>
      </c>
      <c r="J53" t="inlineStr"/>
      <c r="K53" t="inlineStr"/>
      <c r="L53" t="inlineStr">
        <is>
          <t>Coal Supercritical</t>
        </is>
      </c>
      <c r="M53" t="inlineStr"/>
      <c r="N53" t="inlineStr">
        <is>
          <t>CAPEX 2050/2030=0.9607509570263428</t>
        </is>
      </c>
      <c r="O53" t="n">
        <v>2030</v>
      </c>
      <c r="P53" t="n">
        <v>2050</v>
      </c>
      <c r="Q53">
        <f>Q52*IFERROR(IF(ISNUMBER(INDEX(Method_2030_2050!$D$9:$D$34,MATCH(L53,Method_2030_2050!$B$9:$B$34,0))),INDEX(Method_2030_2050!$D$9:$D$34,MATCH(L53,Method_2030_2050!$B$9:$B$34,0)),1),1)</f>
        <v/>
      </c>
    </row>
    <row r="54">
      <c r="A54" t="inlineStr">
        <is>
          <t>I-JEDI</t>
        </is>
      </c>
      <c r="B54" t="inlineStr">
        <is>
          <t>Coal power</t>
        </is>
      </c>
      <c r="C54" t="inlineStr">
        <is>
          <t>Construction&amp;Manufacturing</t>
        </is>
      </c>
      <c r="D54" t="inlineStr">
        <is>
          <t>Direct</t>
        </is>
      </c>
      <c r="E54" t="inlineStr">
        <is>
          <t>job-yr/MW</t>
        </is>
      </c>
      <c r="F54" t="n">
        <v>2024</v>
      </c>
      <c r="G54" t="inlineStr">
        <is>
          <t>9.61</t>
        </is>
      </c>
      <c r="H54" t="n">
        <v>9.609999999999999</v>
      </c>
      <c r="I54" t="inlineStr">
        <is>
          <t>Original</t>
        </is>
      </c>
      <c r="J54" t="inlineStr"/>
      <c r="K54" t="inlineStr"/>
      <c r="L54" t="inlineStr"/>
      <c r="M54" t="inlineStr"/>
      <c r="N54" t="inlineStr"/>
      <c r="O54" t="n">
        <v>2024</v>
      </c>
      <c r="P54" t="n">
        <v>2024</v>
      </c>
      <c r="Q54" t="n">
        <v>9.609999999999999</v>
      </c>
    </row>
    <row r="55">
      <c r="A55" t="inlineStr">
        <is>
          <t>I-JEDI</t>
        </is>
      </c>
      <c r="B55" t="inlineStr">
        <is>
          <t>Coal power</t>
        </is>
      </c>
      <c r="C55" t="inlineStr">
        <is>
          <t>Construction&amp;Manufacturing</t>
        </is>
      </c>
      <c r="D55" t="inlineStr">
        <is>
          <t>Direct</t>
        </is>
      </c>
      <c r="E55" t="inlineStr">
        <is>
          <t>job-yr/MW</t>
        </is>
      </c>
      <c r="F55" t="n">
        <v>2030</v>
      </c>
      <c r="G55">
        <f>G54*IFERROR(IF(ISNUMBER(INDEX(Method_2030_2050!$C$9:$C$34,MATCH(L55,Method_2030_2050!$B$9:$B$34,0))),INDEX(Method_2030_2050!$C$9:$C$34,MATCH(L55,Method_2030_2050!$B$9:$B$34,0)),1),1)</f>
        <v/>
      </c>
      <c r="H55">
        <f>H54*IFERROR(IF(ISNUMBER(INDEX(Method_2030_2050!$C$9:$C$34,MATCH(L55,Method_2030_2050!$B$9:$B$34,0))),INDEX(Method_2030_2050!$C$9:$C$34,MATCH(L55,Method_2030_2050!$B$9:$B$34,0)),1),1)</f>
        <v/>
      </c>
      <c r="I55" t="inlineStr">
        <is>
          <t>CAPEX/OPEX ratio projection</t>
        </is>
      </c>
      <c r="J55" t="inlineStr"/>
      <c r="K55" t="inlineStr"/>
      <c r="L55" t="inlineStr">
        <is>
          <t>Coal Supercritical</t>
        </is>
      </c>
      <c r="M55" t="inlineStr"/>
      <c r="N55" t="inlineStr">
        <is>
          <t>CAPEX 2030/2024=0.988059840239808</t>
        </is>
      </c>
      <c r="O55" t="n">
        <v>2024</v>
      </c>
      <c r="P55" t="n">
        <v>2030</v>
      </c>
      <c r="Q55">
        <f>Q54*IFERROR(IF(ISNUMBER(INDEX(Method_2030_2050!$C$9:$C$34,MATCH(L55,Method_2030_2050!$B$9:$B$34,0))),INDEX(Method_2030_2050!$C$9:$C$34,MATCH(L55,Method_2030_2050!$B$9:$B$34,0)),1),1)</f>
        <v/>
      </c>
    </row>
    <row r="56">
      <c r="A56" t="inlineStr">
        <is>
          <t>I-JEDI</t>
        </is>
      </c>
      <c r="B56" t="inlineStr">
        <is>
          <t>Coal power</t>
        </is>
      </c>
      <c r="C56" t="inlineStr">
        <is>
          <t>Construction&amp;Manufacturing</t>
        </is>
      </c>
      <c r="D56" t="inlineStr">
        <is>
          <t>Direct</t>
        </is>
      </c>
      <c r="E56" t="inlineStr">
        <is>
          <t>job-yr/MW</t>
        </is>
      </c>
      <c r="F56" t="n">
        <v>2050</v>
      </c>
      <c r="G56">
        <f>G55*IFERROR(IF(ISNUMBER(INDEX(Method_2030_2050!$D$9:$D$34,MATCH(L56,Method_2030_2050!$B$9:$B$34,0))),INDEX(Method_2030_2050!$D$9:$D$34,MATCH(L56,Method_2030_2050!$B$9:$B$34,0)),1),1)</f>
        <v/>
      </c>
      <c r="H56">
        <f>H55*IFERROR(IF(ISNUMBER(INDEX(Method_2030_2050!$D$9:$D$34,MATCH(L56,Method_2030_2050!$B$9:$B$34,0))),INDEX(Method_2030_2050!$D$9:$D$34,MATCH(L56,Method_2030_2050!$B$9:$B$34,0)),1),1)</f>
        <v/>
      </c>
      <c r="I56" t="inlineStr">
        <is>
          <t>CAPEX/OPEX ratio projection</t>
        </is>
      </c>
      <c r="J56" t="inlineStr"/>
      <c r="K56" t="inlineStr"/>
      <c r="L56" t="inlineStr">
        <is>
          <t>Coal Supercritical</t>
        </is>
      </c>
      <c r="M56" t="inlineStr"/>
      <c r="N56" t="inlineStr">
        <is>
          <t>CAPEX 2050/2030=0.9607509570263428</t>
        </is>
      </c>
      <c r="O56" t="n">
        <v>2030</v>
      </c>
      <c r="P56" t="n">
        <v>2050</v>
      </c>
      <c r="Q56">
        <f>Q55*IFERROR(IF(ISNUMBER(INDEX(Method_2030_2050!$D$9:$D$34,MATCH(L56,Method_2030_2050!$B$9:$B$34,0))),INDEX(Method_2030_2050!$D$9:$D$34,MATCH(L56,Method_2030_2050!$B$9:$B$34,0)),1),1)</f>
        <v/>
      </c>
    </row>
    <row r="57">
      <c r="A57" t="inlineStr">
        <is>
          <t>I-JEDI</t>
        </is>
      </c>
      <c r="B57" t="inlineStr">
        <is>
          <t>Coal power</t>
        </is>
      </c>
      <c r="C57" t="inlineStr">
        <is>
          <t>Construction&amp;Manufacturing</t>
        </is>
      </c>
      <c r="D57" t="inlineStr">
        <is>
          <t>Indirect</t>
        </is>
      </c>
      <c r="E57" t="inlineStr">
        <is>
          <t>job-yr/MW</t>
        </is>
      </c>
      <c r="F57" t="n">
        <v>2024</v>
      </c>
      <c r="G57" t="inlineStr">
        <is>
          <t>12.232</t>
        </is>
      </c>
      <c r="H57" t="n">
        <v>12.232</v>
      </c>
      <c r="I57" t="inlineStr">
        <is>
          <t>Original</t>
        </is>
      </c>
      <c r="J57" t="inlineStr"/>
      <c r="K57" t="inlineStr"/>
      <c r="L57" t="inlineStr"/>
      <c r="M57" t="inlineStr"/>
      <c r="N57" t="inlineStr"/>
      <c r="O57" t="n">
        <v>2024</v>
      </c>
      <c r="P57" t="n">
        <v>2024</v>
      </c>
      <c r="Q57" t="n">
        <v>12.232</v>
      </c>
    </row>
    <row r="58">
      <c r="A58" t="inlineStr">
        <is>
          <t>I-JEDI</t>
        </is>
      </c>
      <c r="B58" t="inlineStr">
        <is>
          <t>Coal power</t>
        </is>
      </c>
      <c r="C58" t="inlineStr">
        <is>
          <t>Construction&amp;Manufacturing</t>
        </is>
      </c>
      <c r="D58" t="inlineStr">
        <is>
          <t>Indirect</t>
        </is>
      </c>
      <c r="E58" t="inlineStr">
        <is>
          <t>job-yr/MW</t>
        </is>
      </c>
      <c r="F58" t="n">
        <v>2030</v>
      </c>
      <c r="G58">
        <f>G57*IFERROR(IF(ISNUMBER(INDEX(Method_2030_2050!$C$9:$C$34,MATCH(L58,Method_2030_2050!$B$9:$B$34,0))),INDEX(Method_2030_2050!$C$9:$C$34,MATCH(L58,Method_2030_2050!$B$9:$B$34,0)),1),1)</f>
        <v/>
      </c>
      <c r="H58">
        <f>H57*IFERROR(IF(ISNUMBER(INDEX(Method_2030_2050!$C$9:$C$34,MATCH(L58,Method_2030_2050!$B$9:$B$34,0))),INDEX(Method_2030_2050!$C$9:$C$34,MATCH(L58,Method_2030_2050!$B$9:$B$34,0)),1),1)</f>
        <v/>
      </c>
      <c r="I58" t="inlineStr">
        <is>
          <t>CAPEX/OPEX ratio projection</t>
        </is>
      </c>
      <c r="J58" t="inlineStr"/>
      <c r="K58" t="inlineStr"/>
      <c r="L58" t="inlineStr">
        <is>
          <t>Coal Supercritical</t>
        </is>
      </c>
      <c r="M58" t="inlineStr"/>
      <c r="N58" t="inlineStr">
        <is>
          <t>CAPEX 2030/2024=0.988059840239808</t>
        </is>
      </c>
      <c r="O58" t="n">
        <v>2024</v>
      </c>
      <c r="P58" t="n">
        <v>2030</v>
      </c>
      <c r="Q58">
        <f>Q57*IFERROR(IF(ISNUMBER(INDEX(Method_2030_2050!$C$9:$C$34,MATCH(L58,Method_2030_2050!$B$9:$B$34,0))),INDEX(Method_2030_2050!$C$9:$C$34,MATCH(L58,Method_2030_2050!$B$9:$B$34,0)),1),1)</f>
        <v/>
      </c>
    </row>
    <row r="59">
      <c r="A59" t="inlineStr">
        <is>
          <t>I-JEDI</t>
        </is>
      </c>
      <c r="B59" t="inlineStr">
        <is>
          <t>Coal power</t>
        </is>
      </c>
      <c r="C59" t="inlineStr">
        <is>
          <t>Construction&amp;Manufacturing</t>
        </is>
      </c>
      <c r="D59" t="inlineStr">
        <is>
          <t>Indirect</t>
        </is>
      </c>
      <c r="E59" t="inlineStr">
        <is>
          <t>job-yr/MW</t>
        </is>
      </c>
      <c r="F59" t="n">
        <v>2050</v>
      </c>
      <c r="G59">
        <f>G58*IFERROR(IF(ISNUMBER(INDEX(Method_2030_2050!$D$9:$D$34,MATCH(L59,Method_2030_2050!$B$9:$B$34,0))),INDEX(Method_2030_2050!$D$9:$D$34,MATCH(L59,Method_2030_2050!$B$9:$B$34,0)),1),1)</f>
        <v/>
      </c>
      <c r="H59">
        <f>H58*IFERROR(IF(ISNUMBER(INDEX(Method_2030_2050!$D$9:$D$34,MATCH(L59,Method_2030_2050!$B$9:$B$34,0))),INDEX(Method_2030_2050!$D$9:$D$34,MATCH(L59,Method_2030_2050!$B$9:$B$34,0)),1),1)</f>
        <v/>
      </c>
      <c r="I59" t="inlineStr">
        <is>
          <t>CAPEX/OPEX ratio projection</t>
        </is>
      </c>
      <c r="J59" t="inlineStr"/>
      <c r="K59" t="inlineStr"/>
      <c r="L59" t="inlineStr">
        <is>
          <t>Coal Supercritical</t>
        </is>
      </c>
      <c r="M59" t="inlineStr"/>
      <c r="N59" t="inlineStr">
        <is>
          <t>CAPEX 2050/2030=0.9607509570263428</t>
        </is>
      </c>
      <c r="O59" t="n">
        <v>2030</v>
      </c>
      <c r="P59" t="n">
        <v>2050</v>
      </c>
      <c r="Q59">
        <f>Q58*IFERROR(IF(ISNUMBER(INDEX(Method_2030_2050!$D$9:$D$34,MATCH(L59,Method_2030_2050!$B$9:$B$34,0))),INDEX(Method_2030_2050!$D$9:$D$34,MATCH(L59,Method_2030_2050!$B$9:$B$34,0)),1),1)</f>
        <v/>
      </c>
    </row>
    <row r="60">
      <c r="A60" t="inlineStr">
        <is>
          <t>I-JEDI</t>
        </is>
      </c>
      <c r="B60" t="inlineStr">
        <is>
          <t>Coal power</t>
        </is>
      </c>
      <c r="C60" t="inlineStr">
        <is>
          <t>Construction&amp;Manufacturing</t>
        </is>
      </c>
      <c r="D60" t="inlineStr">
        <is>
          <t>Induced</t>
        </is>
      </c>
      <c r="E60" t="inlineStr">
        <is>
          <t>job-yr/MW</t>
        </is>
      </c>
      <c r="F60" t="n">
        <v>2024</v>
      </c>
      <c r="G60" t="inlineStr">
        <is>
          <t>11.301</t>
        </is>
      </c>
      <c r="H60" t="n">
        <v>11.301</v>
      </c>
      <c r="I60" t="inlineStr">
        <is>
          <t>Original</t>
        </is>
      </c>
      <c r="J60" t="inlineStr"/>
      <c r="K60" t="inlineStr"/>
      <c r="L60" t="inlineStr"/>
      <c r="M60" t="inlineStr"/>
      <c r="N60" t="inlineStr"/>
      <c r="O60" t="n">
        <v>2024</v>
      </c>
      <c r="P60" t="n">
        <v>2024</v>
      </c>
      <c r="Q60" t="n">
        <v>11.301</v>
      </c>
    </row>
    <row r="61">
      <c r="A61" t="inlineStr">
        <is>
          <t>I-JEDI</t>
        </is>
      </c>
      <c r="B61" t="inlineStr">
        <is>
          <t>Coal power</t>
        </is>
      </c>
      <c r="C61" t="inlineStr">
        <is>
          <t>Construction&amp;Manufacturing</t>
        </is>
      </c>
      <c r="D61" t="inlineStr">
        <is>
          <t>Induced</t>
        </is>
      </c>
      <c r="E61" t="inlineStr">
        <is>
          <t>job-yr/MW</t>
        </is>
      </c>
      <c r="F61" t="n">
        <v>2030</v>
      </c>
      <c r="G61">
        <f>G60*IFERROR(IF(ISNUMBER(INDEX(Method_2030_2050!$C$9:$C$34,MATCH(L61,Method_2030_2050!$B$9:$B$34,0))),INDEX(Method_2030_2050!$C$9:$C$34,MATCH(L61,Method_2030_2050!$B$9:$B$34,0)),1),1)</f>
        <v/>
      </c>
      <c r="H61">
        <f>H60*IFERROR(IF(ISNUMBER(INDEX(Method_2030_2050!$C$9:$C$34,MATCH(L61,Method_2030_2050!$B$9:$B$34,0))),INDEX(Method_2030_2050!$C$9:$C$34,MATCH(L61,Method_2030_2050!$B$9:$B$34,0)),1),1)</f>
        <v/>
      </c>
      <c r="I61" t="inlineStr">
        <is>
          <t>CAPEX/OPEX ratio projection</t>
        </is>
      </c>
      <c r="J61" t="inlineStr"/>
      <c r="K61" t="inlineStr"/>
      <c r="L61" t="inlineStr">
        <is>
          <t>Coal Supercritical</t>
        </is>
      </c>
      <c r="M61" t="inlineStr"/>
      <c r="N61" t="inlineStr">
        <is>
          <t>CAPEX 2030/2024=0.988059840239808</t>
        </is>
      </c>
      <c r="O61" t="n">
        <v>2024</v>
      </c>
      <c r="P61" t="n">
        <v>2030</v>
      </c>
      <c r="Q61">
        <f>Q60*IFERROR(IF(ISNUMBER(INDEX(Method_2030_2050!$C$9:$C$34,MATCH(L61,Method_2030_2050!$B$9:$B$34,0))),INDEX(Method_2030_2050!$C$9:$C$34,MATCH(L61,Method_2030_2050!$B$9:$B$34,0)),1),1)</f>
        <v/>
      </c>
    </row>
    <row r="62">
      <c r="A62" t="inlineStr">
        <is>
          <t>I-JEDI</t>
        </is>
      </c>
      <c r="B62" t="inlineStr">
        <is>
          <t>Coal power</t>
        </is>
      </c>
      <c r="C62" t="inlineStr">
        <is>
          <t>Construction&amp;Manufacturing</t>
        </is>
      </c>
      <c r="D62" t="inlineStr">
        <is>
          <t>Induced</t>
        </is>
      </c>
      <c r="E62" t="inlineStr">
        <is>
          <t>job-yr/MW</t>
        </is>
      </c>
      <c r="F62" t="n">
        <v>2050</v>
      </c>
      <c r="G62">
        <f>G61*IFERROR(IF(ISNUMBER(INDEX(Method_2030_2050!$D$9:$D$34,MATCH(L62,Method_2030_2050!$B$9:$B$34,0))),INDEX(Method_2030_2050!$D$9:$D$34,MATCH(L62,Method_2030_2050!$B$9:$B$34,0)),1),1)</f>
        <v/>
      </c>
      <c r="H62">
        <f>H61*IFERROR(IF(ISNUMBER(INDEX(Method_2030_2050!$D$9:$D$34,MATCH(L62,Method_2030_2050!$B$9:$B$34,0))),INDEX(Method_2030_2050!$D$9:$D$34,MATCH(L62,Method_2030_2050!$B$9:$B$34,0)),1),1)</f>
        <v/>
      </c>
      <c r="I62" t="inlineStr">
        <is>
          <t>CAPEX/OPEX ratio projection</t>
        </is>
      </c>
      <c r="J62" t="inlineStr"/>
      <c r="K62" t="inlineStr"/>
      <c r="L62" t="inlineStr">
        <is>
          <t>Coal Supercritical</t>
        </is>
      </c>
      <c r="M62" t="inlineStr"/>
      <c r="N62" t="inlineStr">
        <is>
          <t>CAPEX 2050/2030=0.9607509570263428</t>
        </is>
      </c>
      <c r="O62" t="n">
        <v>2030</v>
      </c>
      <c r="P62" t="n">
        <v>2050</v>
      </c>
      <c r="Q62">
        <f>Q61*IFERROR(IF(ISNUMBER(INDEX(Method_2030_2050!$D$9:$D$34,MATCH(L62,Method_2030_2050!$B$9:$B$34,0))),INDEX(Method_2030_2050!$D$9:$D$34,MATCH(L62,Method_2030_2050!$B$9:$B$34,0)),1),1)</f>
        <v/>
      </c>
    </row>
    <row r="63">
      <c r="A63" t="inlineStr">
        <is>
          <t>Rutovitz 2015</t>
        </is>
      </c>
      <c r="B63" t="inlineStr">
        <is>
          <t>Coal power</t>
        </is>
      </c>
      <c r="C63" t="inlineStr">
        <is>
          <t>Fuel</t>
        </is>
      </c>
      <c r="D63" t="inlineStr">
        <is>
          <t>Fuel</t>
        </is>
      </c>
      <c r="E63" t="inlineStr">
        <is>
          <t>job/PJ</t>
        </is>
      </c>
      <c r="F63" t="n">
        <v>2015</v>
      </c>
      <c r="G63" t="inlineStr">
        <is>
          <t>15.4 jobs/PJ</t>
        </is>
      </c>
      <c r="H63" t="n">
        <v>15.4</v>
      </c>
      <c r="I63" t="inlineStr">
        <is>
          <t>Original</t>
        </is>
      </c>
      <c r="J63" t="inlineStr"/>
      <c r="K63" t="inlineStr"/>
      <c r="L63" t="inlineStr"/>
      <c r="M63" t="inlineStr"/>
      <c r="N63" t="inlineStr"/>
      <c r="O63" t="n">
        <v>2015</v>
      </c>
      <c r="P63" t="n">
        <v>2015</v>
      </c>
      <c r="Q63" t="n">
        <v>15.4</v>
      </c>
    </row>
    <row r="64">
      <c r="A64" t="inlineStr">
        <is>
          <t>Rutovitz 2015</t>
        </is>
      </c>
      <c r="B64" t="inlineStr">
        <is>
          <t>Coal power</t>
        </is>
      </c>
      <c r="C64" t="inlineStr">
        <is>
          <t>Manufacturing</t>
        </is>
      </c>
      <c r="D64" t="inlineStr">
        <is>
          <t>Direct</t>
        </is>
      </c>
      <c r="E64" t="inlineStr">
        <is>
          <t>job-yr/MW</t>
        </is>
      </c>
      <c r="F64" t="n">
        <v>2015</v>
      </c>
      <c r="G64" t="inlineStr">
        <is>
          <t>5.4</t>
        </is>
      </c>
      <c r="H64" t="n">
        <v>5.4</v>
      </c>
      <c r="I64" t="inlineStr">
        <is>
          <t>Original</t>
        </is>
      </c>
      <c r="J64" t="inlineStr"/>
      <c r="K64" t="inlineStr"/>
      <c r="L64" t="inlineStr"/>
      <c r="M64" t="inlineStr"/>
      <c r="N64" t="inlineStr"/>
      <c r="O64" t="n">
        <v>2015</v>
      </c>
      <c r="P64" t="n">
        <v>2015</v>
      </c>
      <c r="Q64" t="n">
        <v>5.4</v>
      </c>
    </row>
    <row r="65">
      <c r="A65" t="inlineStr">
        <is>
          <t>Rutovitz 2015</t>
        </is>
      </c>
      <c r="B65" t="inlineStr">
        <is>
          <t>Coal power</t>
        </is>
      </c>
      <c r="C65" t="inlineStr">
        <is>
          <t>Manufacturing</t>
        </is>
      </c>
      <c r="D65" t="inlineStr">
        <is>
          <t>Direct</t>
        </is>
      </c>
      <c r="E65" t="inlineStr">
        <is>
          <t>job-yr/MW</t>
        </is>
      </c>
      <c r="F65" t="n">
        <v>2030</v>
      </c>
      <c r="G65">
        <f>G64*K65</f>
        <v/>
      </c>
      <c r="H65">
        <f>H64*K65</f>
        <v/>
      </c>
      <c r="I65" t="inlineStr">
        <is>
          <t>Rutovitz Table 9 decline to 2030</t>
        </is>
      </c>
      <c r="J65" t="inlineStr">
        <is>
          <t>Coal</t>
        </is>
      </c>
      <c r="K65">
        <f>INDEX(Mappings_Rutovitz!$D$2:$D$14,MATCH(J65,Mappings_Rutovitz!$B$2:$B$14,0))</f>
        <v/>
      </c>
      <c r="L65" t="inlineStr"/>
      <c r="M65" t="inlineStr"/>
      <c r="N65" t="inlineStr">
        <is>
          <t>Rutovitz Table 9 Latin America 2030</t>
        </is>
      </c>
      <c r="O65" t="n">
        <v>2015</v>
      </c>
      <c r="P65" t="n">
        <v>2030</v>
      </c>
      <c r="Q65">
        <f>Q64*K65</f>
        <v/>
      </c>
    </row>
    <row r="66">
      <c r="A66" t="inlineStr">
        <is>
          <t>Rutovitz 2015</t>
        </is>
      </c>
      <c r="B66" t="inlineStr">
        <is>
          <t>Coal power</t>
        </is>
      </c>
      <c r="C66" t="inlineStr">
        <is>
          <t>Manufacturing</t>
        </is>
      </c>
      <c r="D66" t="inlineStr">
        <is>
          <t>Direct</t>
        </is>
      </c>
      <c r="E66" t="inlineStr">
        <is>
          <t>job-yr/MW</t>
        </is>
      </c>
      <c r="F66" t="n">
        <v>2050</v>
      </c>
      <c r="G66">
        <f>G65*IFERROR(IF(ISNUMBER(INDEX(Method_2030_2050!$D$9:$D$34,MATCH(L66,Method_2030_2050!$B$9:$B$34,0))),INDEX(Method_2030_2050!$D$9:$D$34,MATCH(L66,Method_2030_2050!$B$9:$B$34,0)),1),1)</f>
        <v/>
      </c>
      <c r="H66">
        <f>H65*IFERROR(IF(ISNUMBER(INDEX(Method_2030_2050!$D$9:$D$34,MATCH(L66,Method_2030_2050!$B$9:$B$34,0))),INDEX(Method_2030_2050!$D$9:$D$34,MATCH(L66,Method_2030_2050!$B$9:$B$34,0)),1),1)</f>
        <v/>
      </c>
      <c r="I66" t="inlineStr">
        <is>
          <t>CAPEX/OPEX ratio projection</t>
        </is>
      </c>
      <c r="J66" t="inlineStr">
        <is>
          <t>Coal</t>
        </is>
      </c>
      <c r="K66" t="inlineStr"/>
      <c r="L66" t="inlineStr">
        <is>
          <t>Coal Supercritical</t>
        </is>
      </c>
      <c r="M66" t="inlineStr"/>
      <c r="N66" t="inlineStr">
        <is>
          <t>CAPEX 2050/2030=0.9607509570263428</t>
        </is>
      </c>
      <c r="O66" t="n">
        <v>2030</v>
      </c>
      <c r="P66" t="n">
        <v>2050</v>
      </c>
      <c r="Q66">
        <f>Q65*IFERROR(IF(ISNUMBER(INDEX(Method_2030_2050!$D$9:$D$34,MATCH(L66,Method_2030_2050!$B$9:$B$34,0))),INDEX(Method_2030_2050!$D$9:$D$34,MATCH(L66,Method_2030_2050!$B$9:$B$34,0)),1),1)</f>
        <v/>
      </c>
    </row>
    <row r="67">
      <c r="A67" t="inlineStr">
        <is>
          <t>Rutovitz 2025</t>
        </is>
      </c>
      <c r="B67" t="inlineStr">
        <is>
          <t>Coal power</t>
        </is>
      </c>
      <c r="C67" t="inlineStr">
        <is>
          <t>Manufacturing</t>
        </is>
      </c>
      <c r="D67" t="inlineStr">
        <is>
          <t>Direct</t>
        </is>
      </c>
      <c r="E67" t="inlineStr">
        <is>
          <t>job-yr/MW</t>
        </is>
      </c>
      <c r="F67" t="n">
        <v>2024</v>
      </c>
      <c r="G67" t="inlineStr">
        <is>
          <t>5.41</t>
        </is>
      </c>
      <c r="H67" t="n">
        <v>5.41</v>
      </c>
      <c r="I67" t="inlineStr">
        <is>
          <t>Original</t>
        </is>
      </c>
      <c r="J67" t="inlineStr"/>
      <c r="K67" t="inlineStr"/>
      <c r="L67" t="inlineStr"/>
      <c r="M67" t="inlineStr"/>
      <c r="N67" t="inlineStr"/>
      <c r="O67" t="n">
        <v>2024</v>
      </c>
      <c r="P67" t="n">
        <v>2024</v>
      </c>
      <c r="Q67" t="n">
        <v>5.41</v>
      </c>
    </row>
    <row r="68">
      <c r="A68" t="inlineStr">
        <is>
          <t>Rutovitz 2025</t>
        </is>
      </c>
      <c r="B68" t="inlineStr">
        <is>
          <t>Coal power</t>
        </is>
      </c>
      <c r="C68" t="inlineStr">
        <is>
          <t>Manufacturing</t>
        </is>
      </c>
      <c r="D68" t="inlineStr">
        <is>
          <t>Direct</t>
        </is>
      </c>
      <c r="E68" t="inlineStr">
        <is>
          <t>job-yr/MW</t>
        </is>
      </c>
      <c r="F68" t="n">
        <v>2030</v>
      </c>
      <c r="G68">
        <f>G67*IFERROR(IF(ISNUMBER(INDEX(Method_2030_2050!$C$9:$C$34,MATCH(L68,Method_2030_2050!$B$9:$B$34,0))),INDEX(Method_2030_2050!$C$9:$C$34,MATCH(L68,Method_2030_2050!$B$9:$B$34,0)),1),1)</f>
        <v/>
      </c>
      <c r="H68">
        <f>H67*IFERROR(IF(ISNUMBER(INDEX(Method_2030_2050!$C$9:$C$34,MATCH(L68,Method_2030_2050!$B$9:$B$34,0))),INDEX(Method_2030_2050!$C$9:$C$34,MATCH(L68,Method_2030_2050!$B$9:$B$34,0)),1),1)</f>
        <v/>
      </c>
      <c r="I68" t="inlineStr">
        <is>
          <t>CAPEX/OPEX ratio projection</t>
        </is>
      </c>
      <c r="J68" t="inlineStr"/>
      <c r="K68" t="inlineStr"/>
      <c r="L68" t="inlineStr">
        <is>
          <t>Coal Supercritical</t>
        </is>
      </c>
      <c r="M68" t="inlineStr"/>
      <c r="N68" t="inlineStr">
        <is>
          <t>CAPEX 2030/2024=0.988059840239808</t>
        </is>
      </c>
      <c r="O68" t="n">
        <v>2024</v>
      </c>
      <c r="P68" t="n">
        <v>2030</v>
      </c>
      <c r="Q68">
        <f>Q67*IFERROR(IF(ISNUMBER(INDEX(Method_2030_2050!$C$9:$C$34,MATCH(L68,Method_2030_2050!$B$9:$B$34,0))),INDEX(Method_2030_2050!$C$9:$C$34,MATCH(L68,Method_2030_2050!$B$9:$B$34,0)),1),1)</f>
        <v/>
      </c>
    </row>
    <row r="69">
      <c r="A69" t="inlineStr">
        <is>
          <t>Rutovitz 2025</t>
        </is>
      </c>
      <c r="B69" t="inlineStr">
        <is>
          <t>Coal power</t>
        </is>
      </c>
      <c r="C69" t="inlineStr">
        <is>
          <t>Manufacturing</t>
        </is>
      </c>
      <c r="D69" t="inlineStr">
        <is>
          <t>Direct</t>
        </is>
      </c>
      <c r="E69" t="inlineStr">
        <is>
          <t>job-yr/MW</t>
        </is>
      </c>
      <c r="F69" t="n">
        <v>2050</v>
      </c>
      <c r="G69">
        <f>G68*IFERROR(IF(ISNUMBER(INDEX(Method_2030_2050!$D$9:$D$34,MATCH(L69,Method_2030_2050!$B$9:$B$34,0))),INDEX(Method_2030_2050!$D$9:$D$34,MATCH(L69,Method_2030_2050!$B$9:$B$34,0)),1),1)</f>
        <v/>
      </c>
      <c r="H69">
        <f>H68*IFERROR(IF(ISNUMBER(INDEX(Method_2030_2050!$D$9:$D$34,MATCH(L69,Method_2030_2050!$B$9:$B$34,0))),INDEX(Method_2030_2050!$D$9:$D$34,MATCH(L69,Method_2030_2050!$B$9:$B$34,0)),1),1)</f>
        <v/>
      </c>
      <c r="I69" t="inlineStr">
        <is>
          <t>CAPEX/OPEX ratio projection</t>
        </is>
      </c>
      <c r="J69" t="inlineStr"/>
      <c r="K69" t="inlineStr"/>
      <c r="L69" t="inlineStr">
        <is>
          <t>Coal Supercritical</t>
        </is>
      </c>
      <c r="M69" t="inlineStr"/>
      <c r="N69" t="inlineStr">
        <is>
          <t>CAPEX 2050/2030=0.9607509570263428</t>
        </is>
      </c>
      <c r="O69" t="n">
        <v>2030</v>
      </c>
      <c r="P69" t="n">
        <v>2050</v>
      </c>
      <c r="Q69">
        <f>Q68*IFERROR(IF(ISNUMBER(INDEX(Method_2030_2050!$D$9:$D$34,MATCH(L69,Method_2030_2050!$B$9:$B$34,0))),INDEX(Method_2030_2050!$D$9:$D$34,MATCH(L69,Method_2030_2050!$B$9:$B$34,0)),1),1)</f>
        <v/>
      </c>
    </row>
    <row r="70">
      <c r="A70" t="inlineStr">
        <is>
          <t>I-JEDI</t>
        </is>
      </c>
      <c r="B70" t="inlineStr">
        <is>
          <t>Coal power</t>
        </is>
      </c>
      <c r="C70" t="inlineStr">
        <is>
          <t>O&amp;M</t>
        </is>
      </c>
      <c r="D70" t="inlineStr">
        <is>
          <t>Direct</t>
        </is>
      </c>
      <c r="E70" t="inlineStr">
        <is>
          <t>job/MW</t>
        </is>
      </c>
      <c r="F70" t="n">
        <v>2024</v>
      </c>
      <c r="G70" t="inlineStr">
        <is>
          <t>0.143</t>
        </is>
      </c>
      <c r="H70" t="n">
        <v>0.143</v>
      </c>
      <c r="I70" t="inlineStr">
        <is>
          <t>Original</t>
        </is>
      </c>
      <c r="J70" t="inlineStr"/>
      <c r="K70" t="inlineStr"/>
      <c r="L70" t="inlineStr"/>
      <c r="M70" t="inlineStr"/>
      <c r="N70" t="inlineStr"/>
      <c r="O70" t="n">
        <v>2024</v>
      </c>
      <c r="P70" t="n">
        <v>2024</v>
      </c>
      <c r="Q70" t="n">
        <v>0.143</v>
      </c>
    </row>
    <row r="71">
      <c r="A71" t="inlineStr">
        <is>
          <t>I-JEDI</t>
        </is>
      </c>
      <c r="B71" t="inlineStr">
        <is>
          <t>Coal power</t>
        </is>
      </c>
      <c r="C71" t="inlineStr">
        <is>
          <t>O&amp;M</t>
        </is>
      </c>
      <c r="D71" t="inlineStr">
        <is>
          <t>Direct</t>
        </is>
      </c>
      <c r="E71" t="inlineStr">
        <is>
          <t>job/MW</t>
        </is>
      </c>
      <c r="F71" t="n">
        <v>2030</v>
      </c>
      <c r="G71">
        <f>G70*IFERROR(IF(ISNUMBER(INDEX(Method_2030_2050!$E$9:$E$34,MATCH(L71,Method_2030_2050!$B$9:$B$34,0))),INDEX(Method_2030_2050!$E$9:$E$34,MATCH(L71,Method_2030_2050!$B$9:$B$34,0)),1),1)</f>
        <v/>
      </c>
      <c r="H71">
        <f>H70*IFERROR(IF(ISNUMBER(INDEX(Method_2030_2050!$E$9:$E$34,MATCH(L71,Method_2030_2050!$B$9:$B$34,0))),INDEX(Method_2030_2050!$E$9:$E$34,MATCH(L71,Method_2030_2050!$B$9:$B$34,0)),1),1)</f>
        <v/>
      </c>
      <c r="I71" t="inlineStr">
        <is>
          <t>CAPEX/OPEX ratio projection</t>
        </is>
      </c>
      <c r="J71" t="inlineStr"/>
      <c r="K71" t="inlineStr"/>
      <c r="L71" t="inlineStr">
        <is>
          <t>Coal Supercritical</t>
        </is>
      </c>
      <c r="M71" t="inlineStr"/>
      <c r="N71" t="inlineStr">
        <is>
          <t>OPEX 2030/2024=0.988118811881188</t>
        </is>
      </c>
      <c r="O71" t="n">
        <v>2024</v>
      </c>
      <c r="P71" t="n">
        <v>2030</v>
      </c>
      <c r="Q71">
        <f>Q70*IFERROR(IF(ISNUMBER(INDEX(Method_2030_2050!$E$9:$E$34,MATCH(L71,Method_2030_2050!$B$9:$B$34,0))),INDEX(Method_2030_2050!$E$9:$E$34,MATCH(L71,Method_2030_2050!$B$9:$B$34,0)),1),1)</f>
        <v/>
      </c>
    </row>
    <row r="72">
      <c r="A72" t="inlineStr">
        <is>
          <t>I-JEDI</t>
        </is>
      </c>
      <c r="B72" t="inlineStr">
        <is>
          <t>Coal power</t>
        </is>
      </c>
      <c r="C72" t="inlineStr">
        <is>
          <t>O&amp;M</t>
        </is>
      </c>
      <c r="D72" t="inlineStr">
        <is>
          <t>Direct</t>
        </is>
      </c>
      <c r="E72" t="inlineStr">
        <is>
          <t>job/MW</t>
        </is>
      </c>
      <c r="F72" t="n">
        <v>2050</v>
      </c>
      <c r="G72">
        <f>G71*IFERROR(IF(ISNUMBER(INDEX(Method_2030_2050!$F$9:$F$34,MATCH(L72,Method_2030_2050!$B$9:$B$34,0))),INDEX(Method_2030_2050!$F$9:$F$34,MATCH(L72,Method_2030_2050!$B$9:$B$34,0)),1),1)</f>
        <v/>
      </c>
      <c r="H72">
        <f>H71*IFERROR(IF(ISNUMBER(INDEX(Method_2030_2050!$F$9:$F$34,MATCH(L72,Method_2030_2050!$B$9:$B$34,0))),INDEX(Method_2030_2050!$F$9:$F$34,MATCH(L72,Method_2030_2050!$B$9:$B$34,0)),1),1)</f>
        <v/>
      </c>
      <c r="I72" t="inlineStr">
        <is>
          <t>CAPEX/OPEX ratio projection</t>
        </is>
      </c>
      <c r="J72" t="inlineStr"/>
      <c r="K72" t="inlineStr"/>
      <c r="L72" t="inlineStr">
        <is>
          <t>Coal Supercritical</t>
        </is>
      </c>
      <c r="M72" t="inlineStr"/>
      <c r="N72" t="inlineStr">
        <is>
          <t>OPEX 2050/2030=0.9599198396793588</t>
        </is>
      </c>
      <c r="O72" t="n">
        <v>2030</v>
      </c>
      <c r="P72" t="n">
        <v>2050</v>
      </c>
      <c r="Q72">
        <f>Q71*IFERROR(IF(ISNUMBER(INDEX(Method_2030_2050!$F$9:$F$34,MATCH(L72,Method_2030_2050!$B$9:$B$34,0))),INDEX(Method_2030_2050!$F$9:$F$34,MATCH(L72,Method_2030_2050!$B$9:$B$34,0)),1),1)</f>
        <v/>
      </c>
    </row>
    <row r="73">
      <c r="A73" t="inlineStr">
        <is>
          <t>Rutovitz 2015</t>
        </is>
      </c>
      <c r="B73" t="inlineStr">
        <is>
          <t>Coal power</t>
        </is>
      </c>
      <c r="C73" t="inlineStr">
        <is>
          <t>O&amp;M</t>
        </is>
      </c>
      <c r="D73" t="inlineStr">
        <is>
          <t>Direct</t>
        </is>
      </c>
      <c r="E73" t="inlineStr">
        <is>
          <t>job/MW</t>
        </is>
      </c>
      <c r="F73" t="n">
        <v>2015</v>
      </c>
      <c r="G73" t="inlineStr">
        <is>
          <t>0.14</t>
        </is>
      </c>
      <c r="H73" t="n">
        <v>0.14</v>
      </c>
      <c r="I73" t="inlineStr">
        <is>
          <t>Original</t>
        </is>
      </c>
      <c r="J73" t="inlineStr"/>
      <c r="K73" t="inlineStr"/>
      <c r="L73" t="inlineStr"/>
      <c r="M73" t="inlineStr"/>
      <c r="N73" t="inlineStr"/>
      <c r="O73" t="n">
        <v>2015</v>
      </c>
      <c r="P73" t="n">
        <v>2015</v>
      </c>
      <c r="Q73" t="n">
        <v>0.14</v>
      </c>
    </row>
    <row r="74">
      <c r="A74" t="inlineStr">
        <is>
          <t>Rutovitz 2015</t>
        </is>
      </c>
      <c r="B74" t="inlineStr">
        <is>
          <t>Coal power</t>
        </is>
      </c>
      <c r="C74" t="inlineStr">
        <is>
          <t>O&amp;M</t>
        </is>
      </c>
      <c r="D74" t="inlineStr">
        <is>
          <t>Direct</t>
        </is>
      </c>
      <c r="E74" t="inlineStr">
        <is>
          <t>job/MW</t>
        </is>
      </c>
      <c r="F74" t="n">
        <v>2030</v>
      </c>
      <c r="G74">
        <f>G73*K74</f>
        <v/>
      </c>
      <c r="H74">
        <f>H73*K74</f>
        <v/>
      </c>
      <c r="I74" t="inlineStr">
        <is>
          <t>Rutovitz Table 9 decline to 2030</t>
        </is>
      </c>
      <c r="J74" t="inlineStr">
        <is>
          <t>Coal</t>
        </is>
      </c>
      <c r="K74">
        <f>INDEX(Mappings_Rutovitz!$D$2:$D$14,MATCH(J74,Mappings_Rutovitz!$B$2:$B$14,0))</f>
        <v/>
      </c>
      <c r="L74" t="inlineStr"/>
      <c r="M74" t="inlineStr"/>
      <c r="N74" t="inlineStr">
        <is>
          <t>Rutovitz Table 9 Latin America 2030</t>
        </is>
      </c>
      <c r="O74" t="n">
        <v>2015</v>
      </c>
      <c r="P74" t="n">
        <v>2030</v>
      </c>
      <c r="Q74">
        <f>Q73*K74</f>
        <v/>
      </c>
    </row>
    <row r="75">
      <c r="A75" t="inlineStr">
        <is>
          <t>Rutovitz 2015</t>
        </is>
      </c>
      <c r="B75" t="inlineStr">
        <is>
          <t>Coal power</t>
        </is>
      </c>
      <c r="C75" t="inlineStr">
        <is>
          <t>O&amp;M</t>
        </is>
      </c>
      <c r="D75" t="inlineStr">
        <is>
          <t>Direct</t>
        </is>
      </c>
      <c r="E75" t="inlineStr">
        <is>
          <t>job/MW</t>
        </is>
      </c>
      <c r="F75" t="n">
        <v>2050</v>
      </c>
      <c r="G75">
        <f>G74*IFERROR(IF(ISNUMBER(INDEX(Method_2030_2050!$F$9:$F$34,MATCH(L75,Method_2030_2050!$B$9:$B$34,0))),INDEX(Method_2030_2050!$F$9:$F$34,MATCH(L75,Method_2030_2050!$B$9:$B$34,0)),1),1)</f>
        <v/>
      </c>
      <c r="H75">
        <f>H74*IFERROR(IF(ISNUMBER(INDEX(Method_2030_2050!$F$9:$F$34,MATCH(L75,Method_2030_2050!$B$9:$B$34,0))),INDEX(Method_2030_2050!$F$9:$F$34,MATCH(L75,Method_2030_2050!$B$9:$B$34,0)),1),1)</f>
        <v/>
      </c>
      <c r="I75" t="inlineStr">
        <is>
          <t>CAPEX/OPEX ratio projection</t>
        </is>
      </c>
      <c r="J75" t="inlineStr">
        <is>
          <t>Coal</t>
        </is>
      </c>
      <c r="K75" t="inlineStr"/>
      <c r="L75" t="inlineStr">
        <is>
          <t>Coal Supercritical</t>
        </is>
      </c>
      <c r="M75" t="inlineStr"/>
      <c r="N75" t="inlineStr">
        <is>
          <t>OPEX 2050/2030=0.9599198396793588</t>
        </is>
      </c>
      <c r="O75" t="n">
        <v>2030</v>
      </c>
      <c r="P75" t="n">
        <v>2050</v>
      </c>
      <c r="Q75">
        <f>Q74*IFERROR(IF(ISNUMBER(INDEX(Method_2030_2050!$F$9:$F$34,MATCH(L75,Method_2030_2050!$B$9:$B$34,0))),INDEX(Method_2030_2050!$F$9:$F$34,MATCH(L75,Method_2030_2050!$B$9:$B$34,0)),1),1)</f>
        <v/>
      </c>
    </row>
    <row r="76">
      <c r="A76" t="inlineStr">
        <is>
          <t>Rutovitz 2025</t>
        </is>
      </c>
      <c r="B76" t="inlineStr">
        <is>
          <t>Coal power</t>
        </is>
      </c>
      <c r="C76" t="inlineStr">
        <is>
          <t>O&amp;M</t>
        </is>
      </c>
      <c r="D76" t="inlineStr">
        <is>
          <t>Direct</t>
        </is>
      </c>
      <c r="E76" t="inlineStr">
        <is>
          <t>job/MW</t>
        </is>
      </c>
      <c r="F76" t="n">
        <v>2024</v>
      </c>
      <c r="G76" t="inlineStr">
        <is>
          <t>0.22</t>
        </is>
      </c>
      <c r="H76" t="n">
        <v>0.22</v>
      </c>
      <c r="I76" t="inlineStr">
        <is>
          <t>Original</t>
        </is>
      </c>
      <c r="J76" t="inlineStr"/>
      <c r="K76" t="inlineStr"/>
      <c r="L76" t="inlineStr"/>
      <c r="M76" t="inlineStr"/>
      <c r="N76" t="inlineStr"/>
      <c r="O76" t="n">
        <v>2024</v>
      </c>
      <c r="P76" t="n">
        <v>2024</v>
      </c>
      <c r="Q76" t="n">
        <v>0.22</v>
      </c>
    </row>
    <row r="77">
      <c r="A77" t="inlineStr">
        <is>
          <t>Rutovitz 2025</t>
        </is>
      </c>
      <c r="B77" t="inlineStr">
        <is>
          <t>Coal power</t>
        </is>
      </c>
      <c r="C77" t="inlineStr">
        <is>
          <t>O&amp;M</t>
        </is>
      </c>
      <c r="D77" t="inlineStr">
        <is>
          <t>Direct</t>
        </is>
      </c>
      <c r="E77" t="inlineStr">
        <is>
          <t>job/MW</t>
        </is>
      </c>
      <c r="F77" t="n">
        <v>2030</v>
      </c>
      <c r="G77">
        <f>G76*IFERROR(IF(ISNUMBER(INDEX(Method_2030_2050!$E$9:$E$34,MATCH(L77,Method_2030_2050!$B$9:$B$34,0))),INDEX(Method_2030_2050!$E$9:$E$34,MATCH(L77,Method_2030_2050!$B$9:$B$34,0)),1),1)</f>
        <v/>
      </c>
      <c r="H77">
        <f>H76*IFERROR(IF(ISNUMBER(INDEX(Method_2030_2050!$E$9:$E$34,MATCH(L77,Method_2030_2050!$B$9:$B$34,0))),INDEX(Method_2030_2050!$E$9:$E$34,MATCH(L77,Method_2030_2050!$B$9:$B$34,0)),1),1)</f>
        <v/>
      </c>
      <c r="I77" t="inlineStr">
        <is>
          <t>CAPEX/OPEX ratio projection</t>
        </is>
      </c>
      <c r="J77" t="inlineStr"/>
      <c r="K77" t="inlineStr"/>
      <c r="L77" t="inlineStr">
        <is>
          <t>Coal Supercritical</t>
        </is>
      </c>
      <c r="M77" t="inlineStr"/>
      <c r="N77" t="inlineStr">
        <is>
          <t>OPEX 2030/2024=0.988118811881188</t>
        </is>
      </c>
      <c r="O77" t="n">
        <v>2024</v>
      </c>
      <c r="P77" t="n">
        <v>2030</v>
      </c>
      <c r="Q77">
        <f>Q76*IFERROR(IF(ISNUMBER(INDEX(Method_2030_2050!$E$9:$E$34,MATCH(L77,Method_2030_2050!$B$9:$B$34,0))),INDEX(Method_2030_2050!$E$9:$E$34,MATCH(L77,Method_2030_2050!$B$9:$B$34,0)),1),1)</f>
        <v/>
      </c>
    </row>
    <row r="78">
      <c r="A78" t="inlineStr">
        <is>
          <t>Rutovitz 2025</t>
        </is>
      </c>
      <c r="B78" t="inlineStr">
        <is>
          <t>Coal power</t>
        </is>
      </c>
      <c r="C78" t="inlineStr">
        <is>
          <t>O&amp;M</t>
        </is>
      </c>
      <c r="D78" t="inlineStr">
        <is>
          <t>Direct</t>
        </is>
      </c>
      <c r="E78" t="inlineStr">
        <is>
          <t>job/MW</t>
        </is>
      </c>
      <c r="F78" t="n">
        <v>2050</v>
      </c>
      <c r="G78">
        <f>G77*IFERROR(IF(ISNUMBER(INDEX(Method_2030_2050!$F$9:$F$34,MATCH(L78,Method_2030_2050!$B$9:$B$34,0))),INDEX(Method_2030_2050!$F$9:$F$34,MATCH(L78,Method_2030_2050!$B$9:$B$34,0)),1),1)</f>
        <v/>
      </c>
      <c r="H78">
        <f>H77*IFERROR(IF(ISNUMBER(INDEX(Method_2030_2050!$F$9:$F$34,MATCH(L78,Method_2030_2050!$B$9:$B$34,0))),INDEX(Method_2030_2050!$F$9:$F$34,MATCH(L78,Method_2030_2050!$B$9:$B$34,0)),1),1)</f>
        <v/>
      </c>
      <c r="I78" t="inlineStr">
        <is>
          <t>CAPEX/OPEX ratio projection</t>
        </is>
      </c>
      <c r="J78" t="inlineStr"/>
      <c r="K78" t="inlineStr"/>
      <c r="L78" t="inlineStr">
        <is>
          <t>Coal Supercritical</t>
        </is>
      </c>
      <c r="M78" t="inlineStr"/>
      <c r="N78" t="inlineStr">
        <is>
          <t>OPEX 2050/2030=0.9599198396793588</t>
        </is>
      </c>
      <c r="O78" t="n">
        <v>2030</v>
      </c>
      <c r="P78" t="n">
        <v>2050</v>
      </c>
      <c r="Q78">
        <f>Q77*IFERROR(IF(ISNUMBER(INDEX(Method_2030_2050!$F$9:$F$34,MATCH(L78,Method_2030_2050!$B$9:$B$34,0))),INDEX(Method_2030_2050!$F$9:$F$34,MATCH(L78,Method_2030_2050!$B$9:$B$34,0)),1),1)</f>
        <v/>
      </c>
    </row>
    <row r="79">
      <c r="A79" t="inlineStr">
        <is>
          <t>I-JEDI</t>
        </is>
      </c>
      <c r="B79" t="inlineStr">
        <is>
          <t>Coal power</t>
        </is>
      </c>
      <c r="C79" t="inlineStr">
        <is>
          <t>O&amp;M</t>
        </is>
      </c>
      <c r="D79" t="inlineStr">
        <is>
          <t>Indirect</t>
        </is>
      </c>
      <c r="E79" t="inlineStr">
        <is>
          <t>job/MW</t>
        </is>
      </c>
      <c r="F79" t="n">
        <v>2024</v>
      </c>
      <c r="G79" t="inlineStr">
        <is>
          <t>0.789</t>
        </is>
      </c>
      <c r="H79" t="n">
        <v>0.789</v>
      </c>
      <c r="I79" t="inlineStr">
        <is>
          <t>Original</t>
        </is>
      </c>
      <c r="J79" t="inlineStr"/>
      <c r="K79" t="inlineStr"/>
      <c r="L79" t="inlineStr"/>
      <c r="M79" t="inlineStr"/>
      <c r="N79" t="inlineStr"/>
      <c r="O79" t="n">
        <v>2024</v>
      </c>
      <c r="P79" t="n">
        <v>2024</v>
      </c>
      <c r="Q79" t="n">
        <v>0.789</v>
      </c>
    </row>
    <row r="80">
      <c r="A80" t="inlineStr">
        <is>
          <t>I-JEDI</t>
        </is>
      </c>
      <c r="B80" t="inlineStr">
        <is>
          <t>Coal power</t>
        </is>
      </c>
      <c r="C80" t="inlineStr">
        <is>
          <t>O&amp;M</t>
        </is>
      </c>
      <c r="D80" t="inlineStr">
        <is>
          <t>Indirect</t>
        </is>
      </c>
      <c r="E80" t="inlineStr">
        <is>
          <t>job/MW</t>
        </is>
      </c>
      <c r="F80" t="n">
        <v>2030</v>
      </c>
      <c r="G80">
        <f>G79*IFERROR(IF(ISNUMBER(INDEX(Method_2030_2050!$E$9:$E$34,MATCH(L80,Method_2030_2050!$B$9:$B$34,0))),INDEX(Method_2030_2050!$E$9:$E$34,MATCH(L80,Method_2030_2050!$B$9:$B$34,0)),1),1)</f>
        <v/>
      </c>
      <c r="H80">
        <f>H79*IFERROR(IF(ISNUMBER(INDEX(Method_2030_2050!$E$9:$E$34,MATCH(L80,Method_2030_2050!$B$9:$B$34,0))),INDEX(Method_2030_2050!$E$9:$E$34,MATCH(L80,Method_2030_2050!$B$9:$B$34,0)),1),1)</f>
        <v/>
      </c>
      <c r="I80" t="inlineStr">
        <is>
          <t>CAPEX/OPEX ratio projection</t>
        </is>
      </c>
      <c r="J80" t="inlineStr"/>
      <c r="K80" t="inlineStr"/>
      <c r="L80" t="inlineStr">
        <is>
          <t>Coal Supercritical</t>
        </is>
      </c>
      <c r="M80" t="inlineStr"/>
      <c r="N80" t="inlineStr">
        <is>
          <t>OPEX 2030/2024=0.988118811881188</t>
        </is>
      </c>
      <c r="O80" t="n">
        <v>2024</v>
      </c>
      <c r="P80" t="n">
        <v>2030</v>
      </c>
      <c r="Q80">
        <f>Q79*IFERROR(IF(ISNUMBER(INDEX(Method_2030_2050!$E$9:$E$34,MATCH(L80,Method_2030_2050!$B$9:$B$34,0))),INDEX(Method_2030_2050!$E$9:$E$34,MATCH(L80,Method_2030_2050!$B$9:$B$34,0)),1),1)</f>
        <v/>
      </c>
    </row>
    <row r="81">
      <c r="A81" t="inlineStr">
        <is>
          <t>I-JEDI</t>
        </is>
      </c>
      <c r="B81" t="inlineStr">
        <is>
          <t>Coal power</t>
        </is>
      </c>
      <c r="C81" t="inlineStr">
        <is>
          <t>O&amp;M</t>
        </is>
      </c>
      <c r="D81" t="inlineStr">
        <is>
          <t>Indirect</t>
        </is>
      </c>
      <c r="E81" t="inlineStr">
        <is>
          <t>job/MW</t>
        </is>
      </c>
      <c r="F81" t="n">
        <v>2050</v>
      </c>
      <c r="G81">
        <f>G80*IFERROR(IF(ISNUMBER(INDEX(Method_2030_2050!$F$9:$F$34,MATCH(L81,Method_2030_2050!$B$9:$B$34,0))),INDEX(Method_2030_2050!$F$9:$F$34,MATCH(L81,Method_2030_2050!$B$9:$B$34,0)),1),1)</f>
        <v/>
      </c>
      <c r="H81">
        <f>H80*IFERROR(IF(ISNUMBER(INDEX(Method_2030_2050!$F$9:$F$34,MATCH(L81,Method_2030_2050!$B$9:$B$34,0))),INDEX(Method_2030_2050!$F$9:$F$34,MATCH(L81,Method_2030_2050!$B$9:$B$34,0)),1),1)</f>
        <v/>
      </c>
      <c r="I81" t="inlineStr">
        <is>
          <t>CAPEX/OPEX ratio projection</t>
        </is>
      </c>
      <c r="J81" t="inlineStr"/>
      <c r="K81" t="inlineStr"/>
      <c r="L81" t="inlineStr">
        <is>
          <t>Coal Supercritical</t>
        </is>
      </c>
      <c r="M81" t="inlineStr"/>
      <c r="N81" t="inlineStr">
        <is>
          <t>OPEX 2050/2030=0.9599198396793588</t>
        </is>
      </c>
      <c r="O81" t="n">
        <v>2030</v>
      </c>
      <c r="P81" t="n">
        <v>2050</v>
      </c>
      <c r="Q81">
        <f>Q80*IFERROR(IF(ISNUMBER(INDEX(Method_2030_2050!$F$9:$F$34,MATCH(L81,Method_2030_2050!$B$9:$B$34,0))),INDEX(Method_2030_2050!$F$9:$F$34,MATCH(L81,Method_2030_2050!$B$9:$B$34,0)),1),1)</f>
        <v/>
      </c>
    </row>
    <row r="82">
      <c r="A82" t="inlineStr">
        <is>
          <t>I-JEDI</t>
        </is>
      </c>
      <c r="B82" t="inlineStr">
        <is>
          <t>Coal power</t>
        </is>
      </c>
      <c r="C82" t="inlineStr">
        <is>
          <t>O&amp;M</t>
        </is>
      </c>
      <c r="D82" t="inlineStr">
        <is>
          <t>Induced</t>
        </is>
      </c>
      <c r="E82" t="inlineStr">
        <is>
          <t>job/MW</t>
        </is>
      </c>
      <c r="F82" t="n">
        <v>2024</v>
      </c>
      <c r="G82" t="inlineStr">
        <is>
          <t>0.561</t>
        </is>
      </c>
      <c r="H82" t="n">
        <v>0.5610000000000001</v>
      </c>
      <c r="I82" t="inlineStr">
        <is>
          <t>Original</t>
        </is>
      </c>
      <c r="J82" t="inlineStr"/>
      <c r="K82" t="inlineStr"/>
      <c r="L82" t="inlineStr"/>
      <c r="M82" t="inlineStr"/>
      <c r="N82" t="inlineStr"/>
      <c r="O82" t="n">
        <v>2024</v>
      </c>
      <c r="P82" t="n">
        <v>2024</v>
      </c>
      <c r="Q82" t="n">
        <v>0.5610000000000001</v>
      </c>
    </row>
    <row r="83">
      <c r="A83" t="inlineStr">
        <is>
          <t>I-JEDI</t>
        </is>
      </c>
      <c r="B83" t="inlineStr">
        <is>
          <t>Coal power</t>
        </is>
      </c>
      <c r="C83" t="inlineStr">
        <is>
          <t>O&amp;M</t>
        </is>
      </c>
      <c r="D83" t="inlineStr">
        <is>
          <t>Induced</t>
        </is>
      </c>
      <c r="E83" t="inlineStr">
        <is>
          <t>job/MW</t>
        </is>
      </c>
      <c r="F83" t="n">
        <v>2030</v>
      </c>
      <c r="G83">
        <f>G82*IFERROR(IF(ISNUMBER(INDEX(Method_2030_2050!$E$9:$E$34,MATCH(L83,Method_2030_2050!$B$9:$B$34,0))),INDEX(Method_2030_2050!$E$9:$E$34,MATCH(L83,Method_2030_2050!$B$9:$B$34,0)),1),1)</f>
        <v/>
      </c>
      <c r="H83">
        <f>H82*IFERROR(IF(ISNUMBER(INDEX(Method_2030_2050!$E$9:$E$34,MATCH(L83,Method_2030_2050!$B$9:$B$34,0))),INDEX(Method_2030_2050!$E$9:$E$34,MATCH(L83,Method_2030_2050!$B$9:$B$34,0)),1),1)</f>
        <v/>
      </c>
      <c r="I83" t="inlineStr">
        <is>
          <t>CAPEX/OPEX ratio projection</t>
        </is>
      </c>
      <c r="J83" t="inlineStr"/>
      <c r="K83" t="inlineStr"/>
      <c r="L83" t="inlineStr">
        <is>
          <t>Coal Supercritical</t>
        </is>
      </c>
      <c r="M83" t="inlineStr"/>
      <c r="N83" t="inlineStr">
        <is>
          <t>OPEX 2030/2024=0.988118811881188</t>
        </is>
      </c>
      <c r="O83" t="n">
        <v>2024</v>
      </c>
      <c r="P83" t="n">
        <v>2030</v>
      </c>
      <c r="Q83">
        <f>Q82*IFERROR(IF(ISNUMBER(INDEX(Method_2030_2050!$E$9:$E$34,MATCH(L83,Method_2030_2050!$B$9:$B$34,0))),INDEX(Method_2030_2050!$E$9:$E$34,MATCH(L83,Method_2030_2050!$B$9:$B$34,0)),1),1)</f>
        <v/>
      </c>
    </row>
    <row r="84">
      <c r="A84" t="inlineStr">
        <is>
          <t>I-JEDI</t>
        </is>
      </c>
      <c r="B84" t="inlineStr">
        <is>
          <t>Coal power</t>
        </is>
      </c>
      <c r="C84" t="inlineStr">
        <is>
          <t>O&amp;M</t>
        </is>
      </c>
      <c r="D84" t="inlineStr">
        <is>
          <t>Induced</t>
        </is>
      </c>
      <c r="E84" t="inlineStr">
        <is>
          <t>job/MW</t>
        </is>
      </c>
      <c r="F84" t="n">
        <v>2050</v>
      </c>
      <c r="G84">
        <f>G83*IFERROR(IF(ISNUMBER(INDEX(Method_2030_2050!$F$9:$F$34,MATCH(L84,Method_2030_2050!$B$9:$B$34,0))),INDEX(Method_2030_2050!$F$9:$F$34,MATCH(L84,Method_2030_2050!$B$9:$B$34,0)),1),1)</f>
        <v/>
      </c>
      <c r="H84">
        <f>H83*IFERROR(IF(ISNUMBER(INDEX(Method_2030_2050!$F$9:$F$34,MATCH(L84,Method_2030_2050!$B$9:$B$34,0))),INDEX(Method_2030_2050!$F$9:$F$34,MATCH(L84,Method_2030_2050!$B$9:$B$34,0)),1),1)</f>
        <v/>
      </c>
      <c r="I84" t="inlineStr">
        <is>
          <t>CAPEX/OPEX ratio projection</t>
        </is>
      </c>
      <c r="J84" t="inlineStr"/>
      <c r="K84" t="inlineStr"/>
      <c r="L84" t="inlineStr">
        <is>
          <t>Coal Supercritical</t>
        </is>
      </c>
      <c r="M84" t="inlineStr"/>
      <c r="N84" t="inlineStr">
        <is>
          <t>OPEX 2050/2030=0.9599198396793588</t>
        </is>
      </c>
      <c r="O84" t="n">
        <v>2030</v>
      </c>
      <c r="P84" t="n">
        <v>2050</v>
      </c>
      <c r="Q84">
        <f>Q83*IFERROR(IF(ISNUMBER(INDEX(Method_2030_2050!$F$9:$F$34,MATCH(L84,Method_2030_2050!$B$9:$B$34,0))),INDEX(Method_2030_2050!$F$9:$F$34,MATCH(L84,Method_2030_2050!$B$9:$B$34,0)),1),1)</f>
        <v/>
      </c>
    </row>
    <row r="85">
      <c r="A85" t="inlineStr">
        <is>
          <t>Rutovitz 2015</t>
        </is>
      </c>
      <c r="B85" t="inlineStr">
        <is>
          <t>Gas CCGT/OCGT</t>
        </is>
      </c>
      <c r="C85" t="inlineStr">
        <is>
          <t>Construction</t>
        </is>
      </c>
      <c r="D85" t="inlineStr">
        <is>
          <t>Direct</t>
        </is>
      </c>
      <c r="E85" t="inlineStr">
        <is>
          <t>job-yr/MW</t>
        </is>
      </c>
      <c r="F85" t="n">
        <v>2015</v>
      </c>
      <c r="G85" t="inlineStr">
        <is>
          <t>1.3</t>
        </is>
      </c>
      <c r="H85" t="n">
        <v>1.3</v>
      </c>
      <c r="I85" t="inlineStr">
        <is>
          <t>Original</t>
        </is>
      </c>
      <c r="J85" t="inlineStr"/>
      <c r="K85" t="inlineStr"/>
      <c r="L85" t="inlineStr"/>
      <c r="M85" t="inlineStr"/>
      <c r="N85" t="inlineStr"/>
      <c r="O85" t="n">
        <v>2015</v>
      </c>
      <c r="P85" t="n">
        <v>2015</v>
      </c>
      <c r="Q85" t="n">
        <v>1.3</v>
      </c>
    </row>
    <row r="86">
      <c r="A86" t="inlineStr">
        <is>
          <t>Rutovitz 2015</t>
        </is>
      </c>
      <c r="B86" t="inlineStr">
        <is>
          <t>Gas CCGT/OCGT</t>
        </is>
      </c>
      <c r="C86" t="inlineStr">
        <is>
          <t>Construction</t>
        </is>
      </c>
      <c r="D86" t="inlineStr">
        <is>
          <t>Direct</t>
        </is>
      </c>
      <c r="E86" t="inlineStr">
        <is>
          <t>job-yr/MW</t>
        </is>
      </c>
      <c r="F86" t="n">
        <v>2030</v>
      </c>
      <c r="G86">
        <f>G85*K86</f>
        <v/>
      </c>
      <c r="H86">
        <f>H85*K86</f>
        <v/>
      </c>
      <c r="I86" t="inlineStr">
        <is>
          <t>Rutovitz Table 9 decline to 2030</t>
        </is>
      </c>
      <c r="J86" t="inlineStr">
        <is>
          <t>Gas</t>
        </is>
      </c>
      <c r="K86">
        <f>INDEX(Mappings_Rutovitz!$D$2:$D$14,MATCH(J86,Mappings_Rutovitz!$B$2:$B$14,0))</f>
        <v/>
      </c>
      <c r="L86" t="inlineStr"/>
      <c r="M86" t="inlineStr"/>
      <c r="N86" t="inlineStr">
        <is>
          <t>Rutovitz Table 9 Latin America 2030</t>
        </is>
      </c>
      <c r="O86" t="n">
        <v>2015</v>
      </c>
      <c r="P86" t="n">
        <v>2030</v>
      </c>
      <c r="Q86">
        <f>Q85*K86</f>
        <v/>
      </c>
    </row>
    <row r="87">
      <c r="A87" t="inlineStr">
        <is>
          <t>Rutovitz 2015</t>
        </is>
      </c>
      <c r="B87" t="inlineStr">
        <is>
          <t>Gas CCGT/OCGT</t>
        </is>
      </c>
      <c r="C87" t="inlineStr">
        <is>
          <t>Construction</t>
        </is>
      </c>
      <c r="D87" t="inlineStr">
        <is>
          <t>Direct</t>
        </is>
      </c>
      <c r="E87" t="inlineStr">
        <is>
          <t>job-yr/MW</t>
        </is>
      </c>
      <c r="F87" t="n">
        <v>2050</v>
      </c>
      <c r="G87">
        <f>G86*IFERROR(IF(ISNUMBER(INDEX(Method_2030_2050!$D$9:$D$34,MATCH(L87,Method_2030_2050!$B$9:$B$34,0))),INDEX(Method_2030_2050!$D$9:$D$34,MATCH(L87,Method_2030_2050!$B$9:$B$34,0)),1),1)</f>
        <v/>
      </c>
      <c r="H87">
        <f>H86*IFERROR(IF(ISNUMBER(INDEX(Method_2030_2050!$D$9:$D$34,MATCH(L87,Method_2030_2050!$B$9:$B$34,0))),INDEX(Method_2030_2050!$D$9:$D$34,MATCH(L87,Method_2030_2050!$B$9:$B$34,0)),1),1)</f>
        <v/>
      </c>
      <c r="I87" t="inlineStr">
        <is>
          <t>CAPEX/OPEX ratio projection</t>
        </is>
      </c>
      <c r="J87" t="inlineStr">
        <is>
          <t>Gas</t>
        </is>
      </c>
      <c r="K87" t="inlineStr"/>
      <c r="L87" t="inlineStr">
        <is>
          <t>CCGT (GAS)</t>
        </is>
      </c>
      <c r="M87" t="inlineStr"/>
      <c r="N87" t="inlineStr">
        <is>
          <t>CAPEX 2050/2030=0.9607509570263428</t>
        </is>
      </c>
      <c r="O87" t="n">
        <v>2030</v>
      </c>
      <c r="P87" t="n">
        <v>2050</v>
      </c>
      <c r="Q87">
        <f>Q86*IFERROR(IF(ISNUMBER(INDEX(Method_2030_2050!$D$9:$D$34,MATCH(L87,Method_2030_2050!$B$9:$B$34,0))),INDEX(Method_2030_2050!$D$9:$D$34,MATCH(L87,Method_2030_2050!$B$9:$B$34,0)),1),1)</f>
        <v/>
      </c>
    </row>
    <row r="88">
      <c r="A88" t="inlineStr">
        <is>
          <t>Rutovitz 2025</t>
        </is>
      </c>
      <c r="B88" t="inlineStr">
        <is>
          <t>Gas CCGT/OCGT</t>
        </is>
      </c>
      <c r="C88" t="inlineStr">
        <is>
          <t>Construction</t>
        </is>
      </c>
      <c r="D88" t="inlineStr">
        <is>
          <t>Direct</t>
        </is>
      </c>
      <c r="E88" t="inlineStr">
        <is>
          <t>job-yr/MW</t>
        </is>
      </c>
      <c r="F88" t="n">
        <v>2024</v>
      </c>
      <c r="G88" t="inlineStr">
        <is>
          <t>7.36</t>
        </is>
      </c>
      <c r="H88" t="n">
        <v>7.36</v>
      </c>
      <c r="I88" t="inlineStr">
        <is>
          <t>Original</t>
        </is>
      </c>
      <c r="J88" t="inlineStr"/>
      <c r="K88" t="inlineStr"/>
      <c r="L88" t="inlineStr"/>
      <c r="M88" t="inlineStr"/>
      <c r="N88" t="inlineStr"/>
      <c r="O88" t="n">
        <v>2024</v>
      </c>
      <c r="P88" t="n">
        <v>2024</v>
      </c>
      <c r="Q88" t="n">
        <v>7.36</v>
      </c>
    </row>
    <row r="89">
      <c r="A89" t="inlineStr">
        <is>
          <t>Rutovitz 2025</t>
        </is>
      </c>
      <c r="B89" t="inlineStr">
        <is>
          <t>Gas CCGT/OCGT</t>
        </is>
      </c>
      <c r="C89" t="inlineStr">
        <is>
          <t>Construction</t>
        </is>
      </c>
      <c r="D89" t="inlineStr">
        <is>
          <t>Direct</t>
        </is>
      </c>
      <c r="E89" t="inlineStr">
        <is>
          <t>job-yr/MW</t>
        </is>
      </c>
      <c r="F89" t="n">
        <v>2030</v>
      </c>
      <c r="G89">
        <f>G88*IFERROR(IF(ISNUMBER(INDEX(Method_2030_2050!$C$9:$C$34,MATCH(L89,Method_2030_2050!$B$9:$B$34,0))),INDEX(Method_2030_2050!$C$9:$C$34,MATCH(L89,Method_2030_2050!$B$9:$B$34,0)),1),1)</f>
        <v/>
      </c>
      <c r="H89">
        <f>H88*IFERROR(IF(ISNUMBER(INDEX(Method_2030_2050!$C$9:$C$34,MATCH(L89,Method_2030_2050!$B$9:$B$34,0))),INDEX(Method_2030_2050!$C$9:$C$34,MATCH(L89,Method_2030_2050!$B$9:$B$34,0)),1),1)</f>
        <v/>
      </c>
      <c r="I89" t="inlineStr">
        <is>
          <t>CAPEX/OPEX ratio projection</t>
        </is>
      </c>
      <c r="J89" t="inlineStr"/>
      <c r="K89" t="inlineStr"/>
      <c r="L89" t="inlineStr">
        <is>
          <t>CCGT (GAS)</t>
        </is>
      </c>
      <c r="M89" t="inlineStr"/>
      <c r="N89" t="inlineStr">
        <is>
          <t>CAPEX 2030/2024=0.988059840239808</t>
        </is>
      </c>
      <c r="O89" t="n">
        <v>2024</v>
      </c>
      <c r="P89" t="n">
        <v>2030</v>
      </c>
      <c r="Q89">
        <f>Q88*IFERROR(IF(ISNUMBER(INDEX(Method_2030_2050!$C$9:$C$34,MATCH(L89,Method_2030_2050!$B$9:$B$34,0))),INDEX(Method_2030_2050!$C$9:$C$34,MATCH(L89,Method_2030_2050!$B$9:$B$34,0)),1),1)</f>
        <v/>
      </c>
    </row>
    <row r="90">
      <c r="A90" t="inlineStr">
        <is>
          <t>Rutovitz 2025</t>
        </is>
      </c>
      <c r="B90" t="inlineStr">
        <is>
          <t>Gas CCGT/OCGT</t>
        </is>
      </c>
      <c r="C90" t="inlineStr">
        <is>
          <t>Construction</t>
        </is>
      </c>
      <c r="D90" t="inlineStr">
        <is>
          <t>Direct</t>
        </is>
      </c>
      <c r="E90" t="inlineStr">
        <is>
          <t>job-yr/MW</t>
        </is>
      </c>
      <c r="F90" t="n">
        <v>2050</v>
      </c>
      <c r="G90">
        <f>G89*IFERROR(IF(ISNUMBER(INDEX(Method_2030_2050!$D$9:$D$34,MATCH(L90,Method_2030_2050!$B$9:$B$34,0))),INDEX(Method_2030_2050!$D$9:$D$34,MATCH(L90,Method_2030_2050!$B$9:$B$34,0)),1),1)</f>
        <v/>
      </c>
      <c r="H90">
        <f>H89*IFERROR(IF(ISNUMBER(INDEX(Method_2030_2050!$D$9:$D$34,MATCH(L90,Method_2030_2050!$B$9:$B$34,0))),INDEX(Method_2030_2050!$D$9:$D$34,MATCH(L90,Method_2030_2050!$B$9:$B$34,0)),1),1)</f>
        <v/>
      </c>
      <c r="I90" t="inlineStr">
        <is>
          <t>CAPEX/OPEX ratio projection</t>
        </is>
      </c>
      <c r="J90" t="inlineStr"/>
      <c r="K90" t="inlineStr"/>
      <c r="L90" t="inlineStr">
        <is>
          <t>CCGT (GAS)</t>
        </is>
      </c>
      <c r="M90" t="inlineStr"/>
      <c r="N90" t="inlineStr">
        <is>
          <t>CAPEX 2050/2030=0.9607509570263428</t>
        </is>
      </c>
      <c r="O90" t="n">
        <v>2030</v>
      </c>
      <c r="P90" t="n">
        <v>2050</v>
      </c>
      <c r="Q90">
        <f>Q89*IFERROR(IF(ISNUMBER(INDEX(Method_2030_2050!$D$9:$D$34,MATCH(L90,Method_2030_2050!$B$9:$B$34,0))),INDEX(Method_2030_2050!$D$9:$D$34,MATCH(L90,Method_2030_2050!$B$9:$B$34,0)),1),1)</f>
        <v/>
      </c>
    </row>
    <row r="91">
      <c r="A91" t="inlineStr">
        <is>
          <t>JEDI-US</t>
        </is>
      </c>
      <c r="B91" t="inlineStr">
        <is>
          <t>Gas CCGT/OCGT</t>
        </is>
      </c>
      <c r="C91" t="inlineStr">
        <is>
          <t>Construction&amp;Manufacturing</t>
        </is>
      </c>
      <c r="D91" t="inlineStr">
        <is>
          <t>Direct</t>
        </is>
      </c>
      <c r="E91" t="inlineStr">
        <is>
          <t>job-yr/MW</t>
        </is>
      </c>
      <c r="F91" t="n">
        <v>2024</v>
      </c>
      <c r="G91" t="inlineStr">
        <is>
          <t>2.528</t>
        </is>
      </c>
      <c r="H91" t="n">
        <v>2.528</v>
      </c>
      <c r="I91" t="inlineStr">
        <is>
          <t>Original</t>
        </is>
      </c>
      <c r="J91" t="inlineStr"/>
      <c r="K91" t="inlineStr"/>
      <c r="L91" t="inlineStr"/>
      <c r="M91" t="inlineStr"/>
      <c r="N91" t="inlineStr"/>
      <c r="O91" t="n">
        <v>2024</v>
      </c>
      <c r="P91" t="n">
        <v>2024</v>
      </c>
      <c r="Q91" t="n">
        <v>2.528</v>
      </c>
    </row>
    <row r="92">
      <c r="A92" t="inlineStr">
        <is>
          <t>JEDI-US</t>
        </is>
      </c>
      <c r="B92" t="inlineStr">
        <is>
          <t>Gas CCGT/OCGT</t>
        </is>
      </c>
      <c r="C92" t="inlineStr">
        <is>
          <t>Construction&amp;Manufacturing</t>
        </is>
      </c>
      <c r="D92" t="inlineStr">
        <is>
          <t>Direct</t>
        </is>
      </c>
      <c r="E92" t="inlineStr">
        <is>
          <t>job-yr/MW</t>
        </is>
      </c>
      <c r="F92" t="n">
        <v>2030</v>
      </c>
      <c r="G92">
        <f>G91*IFERROR(IF(ISNUMBER(INDEX(Method_2030_2050!$C$9:$C$34,MATCH(L92,Method_2030_2050!$B$9:$B$34,0))),INDEX(Method_2030_2050!$C$9:$C$34,MATCH(L92,Method_2030_2050!$B$9:$B$34,0)),1),1)</f>
        <v/>
      </c>
      <c r="H92">
        <f>H91*IFERROR(IF(ISNUMBER(INDEX(Method_2030_2050!$C$9:$C$34,MATCH(L92,Method_2030_2050!$B$9:$B$34,0))),INDEX(Method_2030_2050!$C$9:$C$34,MATCH(L92,Method_2030_2050!$B$9:$B$34,0)),1),1)</f>
        <v/>
      </c>
      <c r="I92" t="inlineStr">
        <is>
          <t>CAPEX/OPEX ratio projection</t>
        </is>
      </c>
      <c r="J92" t="inlineStr"/>
      <c r="K92" t="inlineStr"/>
      <c r="L92" t="inlineStr">
        <is>
          <t>CCGT (GAS)</t>
        </is>
      </c>
      <c r="M92" t="inlineStr"/>
      <c r="N92" t="inlineStr">
        <is>
          <t>CAPEX 2030/2024=0.988059840239808</t>
        </is>
      </c>
      <c r="O92" t="n">
        <v>2024</v>
      </c>
      <c r="P92" t="n">
        <v>2030</v>
      </c>
      <c r="Q92">
        <f>Q91*IFERROR(IF(ISNUMBER(INDEX(Method_2030_2050!$C$9:$C$34,MATCH(L92,Method_2030_2050!$B$9:$B$34,0))),INDEX(Method_2030_2050!$C$9:$C$34,MATCH(L92,Method_2030_2050!$B$9:$B$34,0)),1),1)</f>
        <v/>
      </c>
    </row>
    <row r="93">
      <c r="A93" t="inlineStr">
        <is>
          <t>JEDI-US</t>
        </is>
      </c>
      <c r="B93" t="inlineStr">
        <is>
          <t>Gas CCGT/OCGT</t>
        </is>
      </c>
      <c r="C93" t="inlineStr">
        <is>
          <t>Construction&amp;Manufacturing</t>
        </is>
      </c>
      <c r="D93" t="inlineStr">
        <is>
          <t>Direct</t>
        </is>
      </c>
      <c r="E93" t="inlineStr">
        <is>
          <t>job-yr/MW</t>
        </is>
      </c>
      <c r="F93" t="n">
        <v>2050</v>
      </c>
      <c r="G93">
        <f>G92*IFERROR(IF(ISNUMBER(INDEX(Method_2030_2050!$D$9:$D$34,MATCH(L93,Method_2030_2050!$B$9:$B$34,0))),INDEX(Method_2030_2050!$D$9:$D$34,MATCH(L93,Method_2030_2050!$B$9:$B$34,0)),1),1)</f>
        <v/>
      </c>
      <c r="H93">
        <f>H92*IFERROR(IF(ISNUMBER(INDEX(Method_2030_2050!$D$9:$D$34,MATCH(L93,Method_2030_2050!$B$9:$B$34,0))),INDEX(Method_2030_2050!$D$9:$D$34,MATCH(L93,Method_2030_2050!$B$9:$B$34,0)),1),1)</f>
        <v/>
      </c>
      <c r="I93" t="inlineStr">
        <is>
          <t>CAPEX/OPEX ratio projection</t>
        </is>
      </c>
      <c r="J93" t="inlineStr"/>
      <c r="K93" t="inlineStr"/>
      <c r="L93" t="inlineStr">
        <is>
          <t>CCGT (GAS)</t>
        </is>
      </c>
      <c r="M93" t="inlineStr"/>
      <c r="N93" t="inlineStr">
        <is>
          <t>CAPEX 2050/2030=0.9607509570263428</t>
        </is>
      </c>
      <c r="O93" t="n">
        <v>2030</v>
      </c>
      <c r="P93" t="n">
        <v>2050</v>
      </c>
      <c r="Q93">
        <f>Q92*IFERROR(IF(ISNUMBER(INDEX(Method_2030_2050!$D$9:$D$34,MATCH(L93,Method_2030_2050!$B$9:$B$34,0))),INDEX(Method_2030_2050!$D$9:$D$34,MATCH(L93,Method_2030_2050!$B$9:$B$34,0)),1),1)</f>
        <v/>
      </c>
    </row>
    <row r="94">
      <c r="A94" t="inlineStr">
        <is>
          <t>Rutovitz 2015</t>
        </is>
      </c>
      <c r="B94" t="inlineStr">
        <is>
          <t>Gas CCGT/OCGT</t>
        </is>
      </c>
      <c r="C94" t="inlineStr">
        <is>
          <t>Fuel</t>
        </is>
      </c>
      <c r="D94" t="inlineStr">
        <is>
          <t>Fuel</t>
        </is>
      </c>
      <c r="E94" t="inlineStr">
        <is>
          <t>job/PJ</t>
        </is>
      </c>
      <c r="F94" t="n">
        <v>2015</v>
      </c>
      <c r="G94" t="inlineStr">
        <is>
          <t>World avg 15.1 jobs/PJ</t>
        </is>
      </c>
      <c r="H94" t="n">
        <v>15.1</v>
      </c>
      <c r="I94" t="inlineStr">
        <is>
          <t>Original</t>
        </is>
      </c>
      <c r="J94" t="inlineStr"/>
      <c r="K94" t="inlineStr"/>
      <c r="L94" t="inlineStr"/>
      <c r="M94" t="inlineStr"/>
      <c r="N94" t="inlineStr"/>
      <c r="O94" t="n">
        <v>2015</v>
      </c>
      <c r="P94" t="n">
        <v>2015</v>
      </c>
      <c r="Q94" t="n">
        <v>15.1</v>
      </c>
    </row>
    <row r="95">
      <c r="A95" t="inlineStr">
        <is>
          <t>Rutovitz 2015</t>
        </is>
      </c>
      <c r="B95" t="inlineStr">
        <is>
          <t>Gas CCGT/OCGT</t>
        </is>
      </c>
      <c r="C95" t="inlineStr">
        <is>
          <t>Manufacturing</t>
        </is>
      </c>
      <c r="D95" t="inlineStr">
        <is>
          <t>Direct</t>
        </is>
      </c>
      <c r="E95" t="inlineStr">
        <is>
          <t>job-yr/MW</t>
        </is>
      </c>
      <c r="F95" t="n">
        <v>2015</v>
      </c>
      <c r="G95" t="inlineStr">
        <is>
          <t>0.93</t>
        </is>
      </c>
      <c r="H95" t="n">
        <v>0.93</v>
      </c>
      <c r="I95" t="inlineStr">
        <is>
          <t>Original</t>
        </is>
      </c>
      <c r="J95" t="inlineStr"/>
      <c r="K95" t="inlineStr"/>
      <c r="L95" t="inlineStr"/>
      <c r="M95" t="inlineStr"/>
      <c r="N95" t="inlineStr"/>
      <c r="O95" t="n">
        <v>2015</v>
      </c>
      <c r="P95" t="n">
        <v>2015</v>
      </c>
      <c r="Q95" t="n">
        <v>0.93</v>
      </c>
    </row>
    <row r="96">
      <c r="A96" t="inlineStr">
        <is>
          <t>Rutovitz 2015</t>
        </is>
      </c>
      <c r="B96" t="inlineStr">
        <is>
          <t>Gas CCGT/OCGT</t>
        </is>
      </c>
      <c r="C96" t="inlineStr">
        <is>
          <t>Manufacturing</t>
        </is>
      </c>
      <c r="D96" t="inlineStr">
        <is>
          <t>Direct</t>
        </is>
      </c>
      <c r="E96" t="inlineStr">
        <is>
          <t>job-yr/MW</t>
        </is>
      </c>
      <c r="F96" t="n">
        <v>2030</v>
      </c>
      <c r="G96">
        <f>G95*K96</f>
        <v/>
      </c>
      <c r="H96">
        <f>H95*K96</f>
        <v/>
      </c>
      <c r="I96" t="inlineStr">
        <is>
          <t>Rutovitz Table 9 decline to 2030</t>
        </is>
      </c>
      <c r="J96" t="inlineStr">
        <is>
          <t>Gas</t>
        </is>
      </c>
      <c r="K96">
        <f>INDEX(Mappings_Rutovitz!$D$2:$D$14,MATCH(J96,Mappings_Rutovitz!$B$2:$B$14,0))</f>
        <v/>
      </c>
      <c r="L96" t="inlineStr"/>
      <c r="M96" t="inlineStr"/>
      <c r="N96" t="inlineStr">
        <is>
          <t>Rutovitz Table 9 Latin America 2030</t>
        </is>
      </c>
      <c r="O96" t="n">
        <v>2015</v>
      </c>
      <c r="P96" t="n">
        <v>2030</v>
      </c>
      <c r="Q96">
        <f>Q95*K96</f>
        <v/>
      </c>
    </row>
    <row r="97">
      <c r="A97" t="inlineStr">
        <is>
          <t>Rutovitz 2015</t>
        </is>
      </c>
      <c r="B97" t="inlineStr">
        <is>
          <t>Gas CCGT/OCGT</t>
        </is>
      </c>
      <c r="C97" t="inlineStr">
        <is>
          <t>Manufacturing</t>
        </is>
      </c>
      <c r="D97" t="inlineStr">
        <is>
          <t>Direct</t>
        </is>
      </c>
      <c r="E97" t="inlineStr">
        <is>
          <t>job-yr/MW</t>
        </is>
      </c>
      <c r="F97" t="n">
        <v>2050</v>
      </c>
      <c r="G97">
        <f>G96*IFERROR(IF(ISNUMBER(INDEX(Method_2030_2050!$D$9:$D$34,MATCH(L97,Method_2030_2050!$B$9:$B$34,0))),INDEX(Method_2030_2050!$D$9:$D$34,MATCH(L97,Method_2030_2050!$B$9:$B$34,0)),1),1)</f>
        <v/>
      </c>
      <c r="H97">
        <f>H96*IFERROR(IF(ISNUMBER(INDEX(Method_2030_2050!$D$9:$D$34,MATCH(L97,Method_2030_2050!$B$9:$B$34,0))),INDEX(Method_2030_2050!$D$9:$D$34,MATCH(L97,Method_2030_2050!$B$9:$B$34,0)),1),1)</f>
        <v/>
      </c>
      <c r="I97" t="inlineStr">
        <is>
          <t>CAPEX/OPEX ratio projection</t>
        </is>
      </c>
      <c r="J97" t="inlineStr">
        <is>
          <t>Gas</t>
        </is>
      </c>
      <c r="K97" t="inlineStr"/>
      <c r="L97" t="inlineStr">
        <is>
          <t>CCGT (GAS)</t>
        </is>
      </c>
      <c r="M97" t="inlineStr"/>
      <c r="N97" t="inlineStr">
        <is>
          <t>CAPEX 2050/2030=0.9607509570263428</t>
        </is>
      </c>
      <c r="O97" t="n">
        <v>2030</v>
      </c>
      <c r="P97" t="n">
        <v>2050</v>
      </c>
      <c r="Q97">
        <f>Q96*IFERROR(IF(ISNUMBER(INDEX(Method_2030_2050!$D$9:$D$34,MATCH(L97,Method_2030_2050!$B$9:$B$34,0))),INDEX(Method_2030_2050!$D$9:$D$34,MATCH(L97,Method_2030_2050!$B$9:$B$34,0)),1),1)</f>
        <v/>
      </c>
    </row>
    <row r="98">
      <c r="A98" t="inlineStr">
        <is>
          <t>Rutovitz 2025</t>
        </is>
      </c>
      <c r="B98" t="inlineStr">
        <is>
          <t>Gas CCGT/OCGT</t>
        </is>
      </c>
      <c r="C98" t="inlineStr">
        <is>
          <t>Manufacturing</t>
        </is>
      </c>
      <c r="D98" t="inlineStr">
        <is>
          <t>Direct</t>
        </is>
      </c>
      <c r="E98" t="inlineStr">
        <is>
          <t>job-yr/MW</t>
        </is>
      </c>
      <c r="F98" t="n">
        <v>2024</v>
      </c>
      <c r="G98" t="inlineStr">
        <is>
          <t>2.3</t>
        </is>
      </c>
      <c r="H98" t="n">
        <v>2.3</v>
      </c>
      <c r="I98" t="inlineStr">
        <is>
          <t>Original</t>
        </is>
      </c>
      <c r="J98" t="inlineStr"/>
      <c r="K98" t="inlineStr"/>
      <c r="L98" t="inlineStr"/>
      <c r="M98" t="inlineStr"/>
      <c r="N98" t="inlineStr"/>
      <c r="O98" t="n">
        <v>2024</v>
      </c>
      <c r="P98" t="n">
        <v>2024</v>
      </c>
      <c r="Q98" t="n">
        <v>2.3</v>
      </c>
    </row>
    <row r="99">
      <c r="A99" t="inlineStr">
        <is>
          <t>Rutovitz 2025</t>
        </is>
      </c>
      <c r="B99" t="inlineStr">
        <is>
          <t>Gas CCGT/OCGT</t>
        </is>
      </c>
      <c r="C99" t="inlineStr">
        <is>
          <t>Manufacturing</t>
        </is>
      </c>
      <c r="D99" t="inlineStr">
        <is>
          <t>Direct</t>
        </is>
      </c>
      <c r="E99" t="inlineStr">
        <is>
          <t>job-yr/MW</t>
        </is>
      </c>
      <c r="F99" t="n">
        <v>2030</v>
      </c>
      <c r="G99">
        <f>G98*IFERROR(IF(ISNUMBER(INDEX(Method_2030_2050!$C$9:$C$34,MATCH(L99,Method_2030_2050!$B$9:$B$34,0))),INDEX(Method_2030_2050!$C$9:$C$34,MATCH(L99,Method_2030_2050!$B$9:$B$34,0)),1),1)</f>
        <v/>
      </c>
      <c r="H99">
        <f>H98*IFERROR(IF(ISNUMBER(INDEX(Method_2030_2050!$C$9:$C$34,MATCH(L99,Method_2030_2050!$B$9:$B$34,0))),INDEX(Method_2030_2050!$C$9:$C$34,MATCH(L99,Method_2030_2050!$B$9:$B$34,0)),1),1)</f>
        <v/>
      </c>
      <c r="I99" t="inlineStr">
        <is>
          <t>CAPEX/OPEX ratio projection</t>
        </is>
      </c>
      <c r="J99" t="inlineStr"/>
      <c r="K99" t="inlineStr"/>
      <c r="L99" t="inlineStr">
        <is>
          <t>CCGT (GAS)</t>
        </is>
      </c>
      <c r="M99" t="inlineStr"/>
      <c r="N99" t="inlineStr">
        <is>
          <t>CAPEX 2030/2024=0.988059840239808</t>
        </is>
      </c>
      <c r="O99" t="n">
        <v>2024</v>
      </c>
      <c r="P99" t="n">
        <v>2030</v>
      </c>
      <c r="Q99">
        <f>Q98*IFERROR(IF(ISNUMBER(INDEX(Method_2030_2050!$C$9:$C$34,MATCH(L99,Method_2030_2050!$B$9:$B$34,0))),INDEX(Method_2030_2050!$C$9:$C$34,MATCH(L99,Method_2030_2050!$B$9:$B$34,0)),1),1)</f>
        <v/>
      </c>
    </row>
    <row r="100">
      <c r="A100" t="inlineStr">
        <is>
          <t>Rutovitz 2025</t>
        </is>
      </c>
      <c r="B100" t="inlineStr">
        <is>
          <t>Gas CCGT/OCGT</t>
        </is>
      </c>
      <c r="C100" t="inlineStr">
        <is>
          <t>Manufacturing</t>
        </is>
      </c>
      <c r="D100" t="inlineStr">
        <is>
          <t>Direct</t>
        </is>
      </c>
      <c r="E100" t="inlineStr">
        <is>
          <t>job-yr/MW</t>
        </is>
      </c>
      <c r="F100" t="n">
        <v>2050</v>
      </c>
      <c r="G100">
        <f>G99*IFERROR(IF(ISNUMBER(INDEX(Method_2030_2050!$D$9:$D$34,MATCH(L100,Method_2030_2050!$B$9:$B$34,0))),INDEX(Method_2030_2050!$D$9:$D$34,MATCH(L100,Method_2030_2050!$B$9:$B$34,0)),1),1)</f>
        <v/>
      </c>
      <c r="H100">
        <f>H99*IFERROR(IF(ISNUMBER(INDEX(Method_2030_2050!$D$9:$D$34,MATCH(L100,Method_2030_2050!$B$9:$B$34,0))),INDEX(Method_2030_2050!$D$9:$D$34,MATCH(L100,Method_2030_2050!$B$9:$B$34,0)),1),1)</f>
        <v/>
      </c>
      <c r="I100" t="inlineStr">
        <is>
          <t>CAPEX/OPEX ratio projection</t>
        </is>
      </c>
      <c r="J100" t="inlineStr"/>
      <c r="K100" t="inlineStr"/>
      <c r="L100" t="inlineStr">
        <is>
          <t>CCGT (GAS)</t>
        </is>
      </c>
      <c r="M100" t="inlineStr"/>
      <c r="N100" t="inlineStr">
        <is>
          <t>CAPEX 2050/2030=0.9607509570263428</t>
        </is>
      </c>
      <c r="O100" t="n">
        <v>2030</v>
      </c>
      <c r="P100" t="n">
        <v>2050</v>
      </c>
      <c r="Q100">
        <f>Q99*IFERROR(IF(ISNUMBER(INDEX(Method_2030_2050!$D$9:$D$34,MATCH(L100,Method_2030_2050!$B$9:$B$34,0))),INDEX(Method_2030_2050!$D$9:$D$34,MATCH(L100,Method_2030_2050!$B$9:$B$34,0)),1),1)</f>
        <v/>
      </c>
    </row>
    <row r="101">
      <c r="A101" t="inlineStr">
        <is>
          <t>JEDI-US</t>
        </is>
      </c>
      <c r="B101" t="inlineStr">
        <is>
          <t>Gas CCGT/OCGT</t>
        </is>
      </c>
      <c r="C101" t="inlineStr">
        <is>
          <t>O&amp;M</t>
        </is>
      </c>
      <c r="D101" t="inlineStr">
        <is>
          <t>Direct</t>
        </is>
      </c>
      <c r="E101" t="inlineStr">
        <is>
          <t>job/MW</t>
        </is>
      </c>
      <c r="F101" t="n">
        <v>2024</v>
      </c>
      <c r="G101" t="inlineStr">
        <is>
          <t>0.051</t>
        </is>
      </c>
      <c r="H101" t="n">
        <v>0.051</v>
      </c>
      <c r="I101" t="inlineStr">
        <is>
          <t>Original</t>
        </is>
      </c>
      <c r="J101" t="inlineStr"/>
      <c r="K101" t="inlineStr"/>
      <c r="L101" t="inlineStr"/>
      <c r="M101" t="inlineStr"/>
      <c r="N101" t="inlineStr"/>
      <c r="O101" t="n">
        <v>2024</v>
      </c>
      <c r="P101" t="n">
        <v>2024</v>
      </c>
      <c r="Q101" t="n">
        <v>0.051</v>
      </c>
    </row>
    <row r="102">
      <c r="A102" t="inlineStr">
        <is>
          <t>JEDI-US</t>
        </is>
      </c>
      <c r="B102" t="inlineStr">
        <is>
          <t>Gas CCGT/OCGT</t>
        </is>
      </c>
      <c r="C102" t="inlineStr">
        <is>
          <t>O&amp;M</t>
        </is>
      </c>
      <c r="D102" t="inlineStr">
        <is>
          <t>Direct</t>
        </is>
      </c>
      <c r="E102" t="inlineStr">
        <is>
          <t>job/MW</t>
        </is>
      </c>
      <c r="F102" t="n">
        <v>2030</v>
      </c>
      <c r="G102">
        <f>G101*IFERROR(IF(ISNUMBER(INDEX(Method_2030_2050!$E$9:$E$34,MATCH(L102,Method_2030_2050!$B$9:$B$34,0))),INDEX(Method_2030_2050!$E$9:$E$34,MATCH(L102,Method_2030_2050!$B$9:$B$34,0)),1),1)</f>
        <v/>
      </c>
      <c r="H102">
        <f>H101*IFERROR(IF(ISNUMBER(INDEX(Method_2030_2050!$E$9:$E$34,MATCH(L102,Method_2030_2050!$B$9:$B$34,0))),INDEX(Method_2030_2050!$E$9:$E$34,MATCH(L102,Method_2030_2050!$B$9:$B$34,0)),1),1)</f>
        <v/>
      </c>
      <c r="I102" t="inlineStr">
        <is>
          <t>CAPEX/OPEX ratio projection</t>
        </is>
      </c>
      <c r="J102" t="inlineStr"/>
      <c r="K102" t="inlineStr"/>
      <c r="L102" t="inlineStr">
        <is>
          <t>CCGT (GAS)</t>
        </is>
      </c>
      <c r="M102" t="inlineStr"/>
      <c r="N102" t="inlineStr">
        <is>
          <t>OPEX 2030/2024=0.9878419452887538</t>
        </is>
      </c>
      <c r="O102" t="n">
        <v>2024</v>
      </c>
      <c r="P102" t="n">
        <v>2030</v>
      </c>
      <c r="Q102">
        <f>Q101*IFERROR(IF(ISNUMBER(INDEX(Method_2030_2050!$E$9:$E$34,MATCH(L102,Method_2030_2050!$B$9:$B$34,0))),INDEX(Method_2030_2050!$E$9:$E$34,MATCH(L102,Method_2030_2050!$B$9:$B$34,0)),1),1)</f>
        <v/>
      </c>
    </row>
    <row r="103">
      <c r="A103" t="inlineStr">
        <is>
          <t>JEDI-US</t>
        </is>
      </c>
      <c r="B103" t="inlineStr">
        <is>
          <t>Gas CCGT/OCGT</t>
        </is>
      </c>
      <c r="C103" t="inlineStr">
        <is>
          <t>O&amp;M</t>
        </is>
      </c>
      <c r="D103" t="inlineStr">
        <is>
          <t>Direct</t>
        </is>
      </c>
      <c r="E103" t="inlineStr">
        <is>
          <t>job/MW</t>
        </is>
      </c>
      <c r="F103" t="n">
        <v>2050</v>
      </c>
      <c r="G103">
        <f>G102*IFERROR(IF(ISNUMBER(INDEX(Method_2030_2050!$F$9:$F$34,MATCH(L103,Method_2030_2050!$B$9:$B$34,0))),INDEX(Method_2030_2050!$F$9:$F$34,MATCH(L103,Method_2030_2050!$B$9:$B$34,0)),1),1)</f>
        <v/>
      </c>
      <c r="H103">
        <f>H102*IFERROR(IF(ISNUMBER(INDEX(Method_2030_2050!$F$9:$F$34,MATCH(L103,Method_2030_2050!$B$9:$B$34,0))),INDEX(Method_2030_2050!$F$9:$F$34,MATCH(L103,Method_2030_2050!$B$9:$B$34,0)),1),1)</f>
        <v/>
      </c>
      <c r="I103" t="inlineStr">
        <is>
          <t>CAPEX/OPEX ratio projection</t>
        </is>
      </c>
      <c r="J103" t="inlineStr"/>
      <c r="K103" t="inlineStr"/>
      <c r="L103" t="inlineStr">
        <is>
          <t>CCGT (GAS)</t>
        </is>
      </c>
      <c r="M103" t="inlineStr"/>
      <c r="N103" t="inlineStr">
        <is>
          <t>OPEX 2050/2030=0.96</t>
        </is>
      </c>
      <c r="O103" t="n">
        <v>2030</v>
      </c>
      <c r="P103" t="n">
        <v>2050</v>
      </c>
      <c r="Q103">
        <f>Q102*IFERROR(IF(ISNUMBER(INDEX(Method_2030_2050!$F$9:$F$34,MATCH(L103,Method_2030_2050!$B$9:$B$34,0))),INDEX(Method_2030_2050!$F$9:$F$34,MATCH(L103,Method_2030_2050!$B$9:$B$34,0)),1),1)</f>
        <v/>
      </c>
    </row>
    <row r="104">
      <c r="A104" t="inlineStr">
        <is>
          <t>Rutovitz 2015</t>
        </is>
      </c>
      <c r="B104" t="inlineStr">
        <is>
          <t>Gas CCGT/OCGT</t>
        </is>
      </c>
      <c r="C104" t="inlineStr">
        <is>
          <t>O&amp;M</t>
        </is>
      </c>
      <c r="D104" t="inlineStr">
        <is>
          <t>Direct</t>
        </is>
      </c>
      <c r="E104" t="inlineStr">
        <is>
          <t>job/MW</t>
        </is>
      </c>
      <c r="F104" t="n">
        <v>2015</v>
      </c>
      <c r="G104" t="inlineStr">
        <is>
          <t>0.14</t>
        </is>
      </c>
      <c r="H104" t="n">
        <v>0.14</v>
      </c>
      <c r="I104" t="inlineStr">
        <is>
          <t>Original</t>
        </is>
      </c>
      <c r="J104" t="inlineStr"/>
      <c r="K104" t="inlineStr"/>
      <c r="L104" t="inlineStr"/>
      <c r="M104" t="inlineStr"/>
      <c r="N104" t="inlineStr"/>
      <c r="O104" t="n">
        <v>2015</v>
      </c>
      <c r="P104" t="n">
        <v>2015</v>
      </c>
      <c r="Q104" t="n">
        <v>0.14</v>
      </c>
    </row>
    <row r="105">
      <c r="A105" t="inlineStr">
        <is>
          <t>Rutovitz 2015</t>
        </is>
      </c>
      <c r="B105" t="inlineStr">
        <is>
          <t>Gas CCGT/OCGT</t>
        </is>
      </c>
      <c r="C105" t="inlineStr">
        <is>
          <t>O&amp;M</t>
        </is>
      </c>
      <c r="D105" t="inlineStr">
        <is>
          <t>Direct</t>
        </is>
      </c>
      <c r="E105" t="inlineStr">
        <is>
          <t>job/MW</t>
        </is>
      </c>
      <c r="F105" t="n">
        <v>2030</v>
      </c>
      <c r="G105">
        <f>G104*K105</f>
        <v/>
      </c>
      <c r="H105">
        <f>H104*K105</f>
        <v/>
      </c>
      <c r="I105" t="inlineStr">
        <is>
          <t>Rutovitz Table 9 decline to 2030</t>
        </is>
      </c>
      <c r="J105" t="inlineStr">
        <is>
          <t>Gas</t>
        </is>
      </c>
      <c r="K105">
        <f>INDEX(Mappings_Rutovitz!$D$2:$D$14,MATCH(J105,Mappings_Rutovitz!$B$2:$B$14,0))</f>
        <v/>
      </c>
      <c r="L105" t="inlineStr"/>
      <c r="M105" t="inlineStr"/>
      <c r="N105" t="inlineStr">
        <is>
          <t>Rutovitz Table 9 Latin America 2030</t>
        </is>
      </c>
      <c r="O105" t="n">
        <v>2015</v>
      </c>
      <c r="P105" t="n">
        <v>2030</v>
      </c>
      <c r="Q105">
        <f>Q104*K105</f>
        <v/>
      </c>
    </row>
    <row r="106">
      <c r="A106" t="inlineStr">
        <is>
          <t>Rutovitz 2015</t>
        </is>
      </c>
      <c r="B106" t="inlineStr">
        <is>
          <t>Gas CCGT/OCGT</t>
        </is>
      </c>
      <c r="C106" t="inlineStr">
        <is>
          <t>O&amp;M</t>
        </is>
      </c>
      <c r="D106" t="inlineStr">
        <is>
          <t>Direct</t>
        </is>
      </c>
      <c r="E106" t="inlineStr">
        <is>
          <t>job/MW</t>
        </is>
      </c>
      <c r="F106" t="n">
        <v>2050</v>
      </c>
      <c r="G106">
        <f>G105*IFERROR(IF(ISNUMBER(INDEX(Method_2030_2050!$F$9:$F$34,MATCH(L106,Method_2030_2050!$B$9:$B$34,0))),INDEX(Method_2030_2050!$F$9:$F$34,MATCH(L106,Method_2030_2050!$B$9:$B$34,0)),1),1)</f>
        <v/>
      </c>
      <c r="H106">
        <f>H105*IFERROR(IF(ISNUMBER(INDEX(Method_2030_2050!$F$9:$F$34,MATCH(L106,Method_2030_2050!$B$9:$B$34,0))),INDEX(Method_2030_2050!$F$9:$F$34,MATCH(L106,Method_2030_2050!$B$9:$B$34,0)),1),1)</f>
        <v/>
      </c>
      <c r="I106" t="inlineStr">
        <is>
          <t>CAPEX/OPEX ratio projection</t>
        </is>
      </c>
      <c r="J106" t="inlineStr">
        <is>
          <t>Gas</t>
        </is>
      </c>
      <c r="K106" t="inlineStr"/>
      <c r="L106" t="inlineStr">
        <is>
          <t>CCGT (GAS)</t>
        </is>
      </c>
      <c r="M106" t="inlineStr"/>
      <c r="N106" t="inlineStr">
        <is>
          <t>OPEX 2050/2030=0.96</t>
        </is>
      </c>
      <c r="O106" t="n">
        <v>2030</v>
      </c>
      <c r="P106" t="n">
        <v>2050</v>
      </c>
      <c r="Q106">
        <f>Q105*IFERROR(IF(ISNUMBER(INDEX(Method_2030_2050!$F$9:$F$34,MATCH(L106,Method_2030_2050!$B$9:$B$34,0))),INDEX(Method_2030_2050!$F$9:$F$34,MATCH(L106,Method_2030_2050!$B$9:$B$34,0)),1),1)</f>
        <v/>
      </c>
    </row>
    <row r="107">
      <c r="A107" t="inlineStr">
        <is>
          <t>Rutovitz 2025</t>
        </is>
      </c>
      <c r="B107" t="inlineStr">
        <is>
          <t>Gas CCGT/OCGT</t>
        </is>
      </c>
      <c r="C107" t="inlineStr">
        <is>
          <t>O&amp;M</t>
        </is>
      </c>
      <c r="D107" t="inlineStr">
        <is>
          <t>Direct</t>
        </is>
      </c>
      <c r="E107" t="inlineStr">
        <is>
          <t>job/MW</t>
        </is>
      </c>
      <c r="F107" t="n">
        <v>2024</v>
      </c>
      <c r="G107" t="inlineStr">
        <is>
          <t>0.14</t>
        </is>
      </c>
      <c r="H107" t="n">
        <v>0.14</v>
      </c>
      <c r="I107" t="inlineStr">
        <is>
          <t>Original</t>
        </is>
      </c>
      <c r="J107" t="inlineStr"/>
      <c r="K107" t="inlineStr"/>
      <c r="L107" t="inlineStr"/>
      <c r="M107" t="inlineStr"/>
      <c r="N107" t="inlineStr"/>
      <c r="O107" t="n">
        <v>2024</v>
      </c>
      <c r="P107" t="n">
        <v>2024</v>
      </c>
      <c r="Q107" t="n">
        <v>0.14</v>
      </c>
    </row>
    <row r="108">
      <c r="A108" t="inlineStr">
        <is>
          <t>Rutovitz 2025</t>
        </is>
      </c>
      <c r="B108" t="inlineStr">
        <is>
          <t>Gas CCGT/OCGT</t>
        </is>
      </c>
      <c r="C108" t="inlineStr">
        <is>
          <t>O&amp;M</t>
        </is>
      </c>
      <c r="D108" t="inlineStr">
        <is>
          <t>Direct</t>
        </is>
      </c>
      <c r="E108" t="inlineStr">
        <is>
          <t>job/MW</t>
        </is>
      </c>
      <c r="F108" t="n">
        <v>2030</v>
      </c>
      <c r="G108">
        <f>G107*IFERROR(IF(ISNUMBER(INDEX(Method_2030_2050!$E$9:$E$34,MATCH(L108,Method_2030_2050!$B$9:$B$34,0))),INDEX(Method_2030_2050!$E$9:$E$34,MATCH(L108,Method_2030_2050!$B$9:$B$34,0)),1),1)</f>
        <v/>
      </c>
      <c r="H108">
        <f>H107*IFERROR(IF(ISNUMBER(INDEX(Method_2030_2050!$E$9:$E$34,MATCH(L108,Method_2030_2050!$B$9:$B$34,0))),INDEX(Method_2030_2050!$E$9:$E$34,MATCH(L108,Method_2030_2050!$B$9:$B$34,0)),1),1)</f>
        <v/>
      </c>
      <c r="I108" t="inlineStr">
        <is>
          <t>CAPEX/OPEX ratio projection</t>
        </is>
      </c>
      <c r="J108" t="inlineStr"/>
      <c r="K108" t="inlineStr"/>
      <c r="L108" t="inlineStr">
        <is>
          <t>CCGT (GAS)</t>
        </is>
      </c>
      <c r="M108" t="inlineStr"/>
      <c r="N108" t="inlineStr">
        <is>
          <t>OPEX 2030/2024=0.9878419452887538</t>
        </is>
      </c>
      <c r="O108" t="n">
        <v>2024</v>
      </c>
      <c r="P108" t="n">
        <v>2030</v>
      </c>
      <c r="Q108">
        <f>Q107*IFERROR(IF(ISNUMBER(INDEX(Method_2030_2050!$E$9:$E$34,MATCH(L108,Method_2030_2050!$B$9:$B$34,0))),INDEX(Method_2030_2050!$E$9:$E$34,MATCH(L108,Method_2030_2050!$B$9:$B$34,0)),1),1)</f>
        <v/>
      </c>
    </row>
    <row r="109">
      <c r="A109" t="inlineStr">
        <is>
          <t>Rutovitz 2025</t>
        </is>
      </c>
      <c r="B109" t="inlineStr">
        <is>
          <t>Gas CCGT/OCGT</t>
        </is>
      </c>
      <c r="C109" t="inlineStr">
        <is>
          <t>O&amp;M</t>
        </is>
      </c>
      <c r="D109" t="inlineStr">
        <is>
          <t>Direct</t>
        </is>
      </c>
      <c r="E109" t="inlineStr">
        <is>
          <t>job/MW</t>
        </is>
      </c>
      <c r="F109" t="n">
        <v>2050</v>
      </c>
      <c r="G109">
        <f>G108*IFERROR(IF(ISNUMBER(INDEX(Method_2030_2050!$F$9:$F$34,MATCH(L109,Method_2030_2050!$B$9:$B$34,0))),INDEX(Method_2030_2050!$F$9:$F$34,MATCH(L109,Method_2030_2050!$B$9:$B$34,0)),1),1)</f>
        <v/>
      </c>
      <c r="H109">
        <f>H108*IFERROR(IF(ISNUMBER(INDEX(Method_2030_2050!$F$9:$F$34,MATCH(L109,Method_2030_2050!$B$9:$B$34,0))),INDEX(Method_2030_2050!$F$9:$F$34,MATCH(L109,Method_2030_2050!$B$9:$B$34,0)),1),1)</f>
        <v/>
      </c>
      <c r="I109" t="inlineStr">
        <is>
          <t>CAPEX/OPEX ratio projection</t>
        </is>
      </c>
      <c r="J109" t="inlineStr"/>
      <c r="K109" t="inlineStr"/>
      <c r="L109" t="inlineStr">
        <is>
          <t>CCGT (GAS)</t>
        </is>
      </c>
      <c r="M109" t="inlineStr"/>
      <c r="N109" t="inlineStr">
        <is>
          <t>OPEX 2050/2030=0.96</t>
        </is>
      </c>
      <c r="O109" t="n">
        <v>2030</v>
      </c>
      <c r="P109" t="n">
        <v>2050</v>
      </c>
      <c r="Q109">
        <f>Q108*IFERROR(IF(ISNUMBER(INDEX(Method_2030_2050!$F$9:$F$34,MATCH(L109,Method_2030_2050!$B$9:$B$34,0))),INDEX(Method_2030_2050!$F$9:$F$34,MATCH(L109,Method_2030_2050!$B$9:$B$34,0)),1),1)</f>
        <v/>
      </c>
    </row>
    <row r="110">
      <c r="A110" t="inlineStr">
        <is>
          <t>Rutovitz 2015</t>
        </is>
      </c>
      <c r="B110" t="inlineStr">
        <is>
          <t>Geothermal</t>
        </is>
      </c>
      <c r="C110" t="inlineStr">
        <is>
          <t>Construction</t>
        </is>
      </c>
      <c r="D110" t="inlineStr">
        <is>
          <t>Direct</t>
        </is>
      </c>
      <c r="E110" t="inlineStr">
        <is>
          <t>job-yr/MW</t>
        </is>
      </c>
      <c r="F110" t="n">
        <v>2015</v>
      </c>
      <c r="G110" t="inlineStr">
        <is>
          <t>6.8</t>
        </is>
      </c>
      <c r="H110" t="n">
        <v>6.8</v>
      </c>
      <c r="I110" t="inlineStr">
        <is>
          <t>Original</t>
        </is>
      </c>
      <c r="J110" t="inlineStr"/>
      <c r="K110" t="inlineStr"/>
      <c r="L110" t="inlineStr"/>
      <c r="M110" t="inlineStr"/>
      <c r="N110" t="inlineStr"/>
      <c r="O110" t="n">
        <v>2015</v>
      </c>
      <c r="P110" t="n">
        <v>2015</v>
      </c>
      <c r="Q110" t="n">
        <v>6.8</v>
      </c>
    </row>
    <row r="111">
      <c r="A111" t="inlineStr">
        <is>
          <t>Rutovitz 2015</t>
        </is>
      </c>
      <c r="B111" t="inlineStr">
        <is>
          <t>Geothermal</t>
        </is>
      </c>
      <c r="C111" t="inlineStr">
        <is>
          <t>Construction</t>
        </is>
      </c>
      <c r="D111" t="inlineStr">
        <is>
          <t>Direct</t>
        </is>
      </c>
      <c r="E111" t="inlineStr">
        <is>
          <t>job-yr/MW</t>
        </is>
      </c>
      <c r="F111" t="n">
        <v>2030</v>
      </c>
      <c r="G111">
        <f>G110*K111</f>
        <v/>
      </c>
      <c r="H111">
        <f>H110*K111</f>
        <v/>
      </c>
      <c r="I111" t="inlineStr">
        <is>
          <t>Rutovitz Table 9 decline to 2030</t>
        </is>
      </c>
      <c r="J111" t="inlineStr">
        <is>
          <t>Geothermal power</t>
        </is>
      </c>
      <c r="K111">
        <f>INDEX(Mappings_Rutovitz!$D$2:$D$14,MATCH(J111,Mappings_Rutovitz!$B$2:$B$14,0))</f>
        <v/>
      </c>
      <c r="L111" t="inlineStr"/>
      <c r="M111" t="inlineStr"/>
      <c r="N111" t="inlineStr">
        <is>
          <t>Rutovitz Table 9 Latin America 2030</t>
        </is>
      </c>
      <c r="O111" t="n">
        <v>2015</v>
      </c>
      <c r="P111" t="n">
        <v>2030</v>
      </c>
      <c r="Q111">
        <f>Q110*K111</f>
        <v/>
      </c>
    </row>
    <row r="112">
      <c r="A112" t="inlineStr">
        <is>
          <t>Rutovitz 2015</t>
        </is>
      </c>
      <c r="B112" t="inlineStr">
        <is>
          <t>Geothermal</t>
        </is>
      </c>
      <c r="C112" t="inlineStr">
        <is>
          <t>Construction</t>
        </is>
      </c>
      <c r="D112" t="inlineStr">
        <is>
          <t>Direct</t>
        </is>
      </c>
      <c r="E112" t="inlineStr">
        <is>
          <t>job-yr/MW</t>
        </is>
      </c>
      <c r="F112" t="n">
        <v>2050</v>
      </c>
      <c r="G112">
        <f>G111*IFERROR(IF(ISNUMBER(INDEX(Method_2030_2050!$D$9:$D$34,MATCH(L112,Method_2030_2050!$B$9:$B$34,0))),INDEX(Method_2030_2050!$D$9:$D$34,MATCH(L112,Method_2030_2050!$B$9:$B$34,0)),1),1)</f>
        <v/>
      </c>
      <c r="H112">
        <f>H111*IFERROR(IF(ISNUMBER(INDEX(Method_2030_2050!$D$9:$D$34,MATCH(L112,Method_2030_2050!$B$9:$B$34,0))),INDEX(Method_2030_2050!$D$9:$D$34,MATCH(L112,Method_2030_2050!$B$9:$B$34,0)),1),1)</f>
        <v/>
      </c>
      <c r="I112" t="inlineStr">
        <is>
          <t>CAPEX/OPEX ratio projection</t>
        </is>
      </c>
      <c r="J112" t="inlineStr">
        <is>
          <t>Geothermal power</t>
        </is>
      </c>
      <c r="K112" t="inlineStr"/>
      <c r="L112" t="inlineStr">
        <is>
          <t>Geothermal large</t>
        </is>
      </c>
      <c r="M112" t="inlineStr"/>
      <c r="N112" t="inlineStr">
        <is>
          <t>CAPEX 2050/2030=0.9229247031680952</t>
        </is>
      </c>
      <c r="O112" t="n">
        <v>2030</v>
      </c>
      <c r="P112" t="n">
        <v>2050</v>
      </c>
      <c r="Q112">
        <f>Q111*IFERROR(IF(ISNUMBER(INDEX(Method_2030_2050!$D$9:$D$34,MATCH(L112,Method_2030_2050!$B$9:$B$34,0))),INDEX(Method_2030_2050!$D$9:$D$34,MATCH(L112,Method_2030_2050!$B$9:$B$34,0)),1),1)</f>
        <v/>
      </c>
    </row>
    <row r="113">
      <c r="A113" t="inlineStr">
        <is>
          <t>I-JEDI</t>
        </is>
      </c>
      <c r="B113" t="inlineStr">
        <is>
          <t>Geothermal</t>
        </is>
      </c>
      <c r="C113" t="inlineStr">
        <is>
          <t>Construction&amp;Manufacturing</t>
        </is>
      </c>
      <c r="D113" t="inlineStr">
        <is>
          <t>Direct</t>
        </is>
      </c>
      <c r="E113" t="inlineStr">
        <is>
          <t>job-yr/MW</t>
        </is>
      </c>
      <c r="F113" t="n">
        <v>2024</v>
      </c>
      <c r="G113" t="inlineStr">
        <is>
          <t>5.087</t>
        </is>
      </c>
      <c r="H113" t="n">
        <v>5.087</v>
      </c>
      <c r="I113" t="inlineStr">
        <is>
          <t>Original</t>
        </is>
      </c>
      <c r="J113" t="inlineStr"/>
      <c r="K113" t="inlineStr"/>
      <c r="L113" t="inlineStr"/>
      <c r="M113" t="inlineStr"/>
      <c r="N113" t="inlineStr"/>
      <c r="O113" t="n">
        <v>2024</v>
      </c>
      <c r="P113" t="n">
        <v>2024</v>
      </c>
      <c r="Q113" t="n">
        <v>5.087</v>
      </c>
    </row>
    <row r="114">
      <c r="A114" t="inlineStr">
        <is>
          <t>I-JEDI</t>
        </is>
      </c>
      <c r="B114" t="inlineStr">
        <is>
          <t>Geothermal</t>
        </is>
      </c>
      <c r="C114" t="inlineStr">
        <is>
          <t>Construction&amp;Manufacturing</t>
        </is>
      </c>
      <c r="D114" t="inlineStr">
        <is>
          <t>Direct</t>
        </is>
      </c>
      <c r="E114" t="inlineStr">
        <is>
          <t>job-yr/MW</t>
        </is>
      </c>
      <c r="F114" t="n">
        <v>2030</v>
      </c>
      <c r="G114">
        <f>G113*IFERROR(IF(ISNUMBER(INDEX(Method_2030_2050!$C$9:$C$34,MATCH(L114,Method_2030_2050!$B$9:$B$34,0))),INDEX(Method_2030_2050!$C$9:$C$34,MATCH(L114,Method_2030_2050!$B$9:$B$34,0)),1),1)</f>
        <v/>
      </c>
      <c r="H114">
        <f>H113*IFERROR(IF(ISNUMBER(INDEX(Method_2030_2050!$C$9:$C$34,MATCH(L114,Method_2030_2050!$B$9:$B$34,0))),INDEX(Method_2030_2050!$C$9:$C$34,MATCH(L114,Method_2030_2050!$B$9:$B$34,0)),1),1)</f>
        <v/>
      </c>
      <c r="I114" t="inlineStr">
        <is>
          <t>CAPEX/OPEX ratio projection</t>
        </is>
      </c>
      <c r="J114" t="inlineStr"/>
      <c r="K114" t="inlineStr"/>
      <c r="L114" t="inlineStr">
        <is>
          <t>Geothermal large</t>
        </is>
      </c>
      <c r="M114" t="inlineStr"/>
      <c r="N114" t="inlineStr">
        <is>
          <t>CAPEX 2030/2024=0.941982699695581</t>
        </is>
      </c>
      <c r="O114" t="n">
        <v>2024</v>
      </c>
      <c r="P114" t="n">
        <v>2030</v>
      </c>
      <c r="Q114">
        <f>Q113*IFERROR(IF(ISNUMBER(INDEX(Method_2030_2050!$C$9:$C$34,MATCH(L114,Method_2030_2050!$B$9:$B$34,0))),INDEX(Method_2030_2050!$C$9:$C$34,MATCH(L114,Method_2030_2050!$B$9:$B$34,0)),1),1)</f>
        <v/>
      </c>
    </row>
    <row r="115">
      <c r="A115" t="inlineStr">
        <is>
          <t>I-JEDI</t>
        </is>
      </c>
      <c r="B115" t="inlineStr">
        <is>
          <t>Geothermal</t>
        </is>
      </c>
      <c r="C115" t="inlineStr">
        <is>
          <t>Construction&amp;Manufacturing</t>
        </is>
      </c>
      <c r="D115" t="inlineStr">
        <is>
          <t>Direct</t>
        </is>
      </c>
      <c r="E115" t="inlineStr">
        <is>
          <t>job-yr/MW</t>
        </is>
      </c>
      <c r="F115" t="n">
        <v>2050</v>
      </c>
      <c r="G115">
        <f>G114*IFERROR(IF(ISNUMBER(INDEX(Method_2030_2050!$D$9:$D$34,MATCH(L115,Method_2030_2050!$B$9:$B$34,0))),INDEX(Method_2030_2050!$D$9:$D$34,MATCH(L115,Method_2030_2050!$B$9:$B$34,0)),1),1)</f>
        <v/>
      </c>
      <c r="H115">
        <f>H114*IFERROR(IF(ISNUMBER(INDEX(Method_2030_2050!$D$9:$D$34,MATCH(L115,Method_2030_2050!$B$9:$B$34,0))),INDEX(Method_2030_2050!$D$9:$D$34,MATCH(L115,Method_2030_2050!$B$9:$B$34,0)),1),1)</f>
        <v/>
      </c>
      <c r="I115" t="inlineStr">
        <is>
          <t>CAPEX/OPEX ratio projection</t>
        </is>
      </c>
      <c r="J115" t="inlineStr"/>
      <c r="K115" t="inlineStr"/>
      <c r="L115" t="inlineStr">
        <is>
          <t>Geothermal large</t>
        </is>
      </c>
      <c r="M115" t="inlineStr"/>
      <c r="N115" t="inlineStr">
        <is>
          <t>CAPEX 2050/2030=0.9229247031680952</t>
        </is>
      </c>
      <c r="O115" t="n">
        <v>2030</v>
      </c>
      <c r="P115" t="n">
        <v>2050</v>
      </c>
      <c r="Q115">
        <f>Q114*IFERROR(IF(ISNUMBER(INDEX(Method_2030_2050!$D$9:$D$34,MATCH(L115,Method_2030_2050!$B$9:$B$34,0))),INDEX(Method_2030_2050!$D$9:$D$34,MATCH(L115,Method_2030_2050!$B$9:$B$34,0)),1),1)</f>
        <v/>
      </c>
    </row>
    <row r="116">
      <c r="A116" t="inlineStr">
        <is>
          <t>I-JEDI</t>
        </is>
      </c>
      <c r="B116" t="inlineStr">
        <is>
          <t>Geothermal</t>
        </is>
      </c>
      <c r="C116" t="inlineStr">
        <is>
          <t>Construction&amp;Manufacturing</t>
        </is>
      </c>
      <c r="D116" t="inlineStr">
        <is>
          <t>Indirect</t>
        </is>
      </c>
      <c r="E116" t="inlineStr">
        <is>
          <t>job-yr/MW</t>
        </is>
      </c>
      <c r="F116" t="n">
        <v>2024</v>
      </c>
      <c r="G116" t="inlineStr">
        <is>
          <t>3.4</t>
        </is>
      </c>
      <c r="H116" t="n">
        <v>3.4</v>
      </c>
      <c r="I116" t="inlineStr">
        <is>
          <t>Original</t>
        </is>
      </c>
      <c r="J116" t="inlineStr"/>
      <c r="K116" t="inlineStr"/>
      <c r="L116" t="inlineStr"/>
      <c r="M116" t="inlineStr"/>
      <c r="N116" t="inlineStr"/>
      <c r="O116" t="n">
        <v>2024</v>
      </c>
      <c r="P116" t="n">
        <v>2024</v>
      </c>
      <c r="Q116" t="n">
        <v>3.4</v>
      </c>
    </row>
    <row r="117">
      <c r="A117" t="inlineStr">
        <is>
          <t>I-JEDI</t>
        </is>
      </c>
      <c r="B117" t="inlineStr">
        <is>
          <t>Geothermal</t>
        </is>
      </c>
      <c r="C117" t="inlineStr">
        <is>
          <t>Construction&amp;Manufacturing</t>
        </is>
      </c>
      <c r="D117" t="inlineStr">
        <is>
          <t>Indirect</t>
        </is>
      </c>
      <c r="E117" t="inlineStr">
        <is>
          <t>job-yr/MW</t>
        </is>
      </c>
      <c r="F117" t="n">
        <v>2030</v>
      </c>
      <c r="G117">
        <f>G116*IFERROR(IF(ISNUMBER(INDEX(Method_2030_2050!$C$9:$C$34,MATCH(L117,Method_2030_2050!$B$9:$B$34,0))),INDEX(Method_2030_2050!$C$9:$C$34,MATCH(L117,Method_2030_2050!$B$9:$B$34,0)),1),1)</f>
        <v/>
      </c>
      <c r="H117">
        <f>H116*IFERROR(IF(ISNUMBER(INDEX(Method_2030_2050!$C$9:$C$34,MATCH(L117,Method_2030_2050!$B$9:$B$34,0))),INDEX(Method_2030_2050!$C$9:$C$34,MATCH(L117,Method_2030_2050!$B$9:$B$34,0)),1),1)</f>
        <v/>
      </c>
      <c r="I117" t="inlineStr">
        <is>
          <t>CAPEX/OPEX ratio projection</t>
        </is>
      </c>
      <c r="J117" t="inlineStr"/>
      <c r="K117" t="inlineStr"/>
      <c r="L117" t="inlineStr">
        <is>
          <t>Geothermal large</t>
        </is>
      </c>
      <c r="M117" t="inlineStr"/>
      <c r="N117" t="inlineStr">
        <is>
          <t>CAPEX 2030/2024=0.941982699695581</t>
        </is>
      </c>
      <c r="O117" t="n">
        <v>2024</v>
      </c>
      <c r="P117" t="n">
        <v>2030</v>
      </c>
      <c r="Q117">
        <f>Q116*IFERROR(IF(ISNUMBER(INDEX(Method_2030_2050!$C$9:$C$34,MATCH(L117,Method_2030_2050!$B$9:$B$34,0))),INDEX(Method_2030_2050!$C$9:$C$34,MATCH(L117,Method_2030_2050!$B$9:$B$34,0)),1),1)</f>
        <v/>
      </c>
    </row>
    <row r="118">
      <c r="A118" t="inlineStr">
        <is>
          <t>I-JEDI</t>
        </is>
      </c>
      <c r="B118" t="inlineStr">
        <is>
          <t>Geothermal</t>
        </is>
      </c>
      <c r="C118" t="inlineStr">
        <is>
          <t>Construction&amp;Manufacturing</t>
        </is>
      </c>
      <c r="D118" t="inlineStr">
        <is>
          <t>Indirect</t>
        </is>
      </c>
      <c r="E118" t="inlineStr">
        <is>
          <t>job-yr/MW</t>
        </is>
      </c>
      <c r="F118" t="n">
        <v>2050</v>
      </c>
      <c r="G118">
        <f>G117*IFERROR(IF(ISNUMBER(INDEX(Method_2030_2050!$D$9:$D$34,MATCH(L118,Method_2030_2050!$B$9:$B$34,0))),INDEX(Method_2030_2050!$D$9:$D$34,MATCH(L118,Method_2030_2050!$B$9:$B$34,0)),1),1)</f>
        <v/>
      </c>
      <c r="H118">
        <f>H117*IFERROR(IF(ISNUMBER(INDEX(Method_2030_2050!$D$9:$D$34,MATCH(L118,Method_2030_2050!$B$9:$B$34,0))),INDEX(Method_2030_2050!$D$9:$D$34,MATCH(L118,Method_2030_2050!$B$9:$B$34,0)),1),1)</f>
        <v/>
      </c>
      <c r="I118" t="inlineStr">
        <is>
          <t>CAPEX/OPEX ratio projection</t>
        </is>
      </c>
      <c r="J118" t="inlineStr"/>
      <c r="K118" t="inlineStr"/>
      <c r="L118" t="inlineStr">
        <is>
          <t>Geothermal large</t>
        </is>
      </c>
      <c r="M118" t="inlineStr"/>
      <c r="N118" t="inlineStr">
        <is>
          <t>CAPEX 2050/2030=0.9229247031680952</t>
        </is>
      </c>
      <c r="O118" t="n">
        <v>2030</v>
      </c>
      <c r="P118" t="n">
        <v>2050</v>
      </c>
      <c r="Q118">
        <f>Q117*IFERROR(IF(ISNUMBER(INDEX(Method_2030_2050!$D$9:$D$34,MATCH(L118,Method_2030_2050!$B$9:$B$34,0))),INDEX(Method_2030_2050!$D$9:$D$34,MATCH(L118,Method_2030_2050!$B$9:$B$34,0)),1),1)</f>
        <v/>
      </c>
    </row>
    <row r="119">
      <c r="A119" t="inlineStr">
        <is>
          <t>I-JEDI</t>
        </is>
      </c>
      <c r="B119" t="inlineStr">
        <is>
          <t>Geothermal</t>
        </is>
      </c>
      <c r="C119" t="inlineStr">
        <is>
          <t>Construction&amp;Manufacturing</t>
        </is>
      </c>
      <c r="D119" t="inlineStr">
        <is>
          <t>Induced</t>
        </is>
      </c>
      <c r="E119" t="inlineStr">
        <is>
          <t>job-yr/MW</t>
        </is>
      </c>
      <c r="F119" t="n">
        <v>2024</v>
      </c>
      <c r="G119" t="inlineStr">
        <is>
          <t>5.5</t>
        </is>
      </c>
      <c r="H119" t="n">
        <v>5.5</v>
      </c>
      <c r="I119" t="inlineStr">
        <is>
          <t>Original</t>
        </is>
      </c>
      <c r="J119" t="inlineStr"/>
      <c r="K119" t="inlineStr"/>
      <c r="L119" t="inlineStr"/>
      <c r="M119" t="inlineStr"/>
      <c r="N119" t="inlineStr"/>
      <c r="O119" t="n">
        <v>2024</v>
      </c>
      <c r="P119" t="n">
        <v>2024</v>
      </c>
      <c r="Q119" t="n">
        <v>5.5</v>
      </c>
    </row>
    <row r="120">
      <c r="A120" t="inlineStr">
        <is>
          <t>I-JEDI</t>
        </is>
      </c>
      <c r="B120" t="inlineStr">
        <is>
          <t>Geothermal</t>
        </is>
      </c>
      <c r="C120" t="inlineStr">
        <is>
          <t>Construction&amp;Manufacturing</t>
        </is>
      </c>
      <c r="D120" t="inlineStr">
        <is>
          <t>Induced</t>
        </is>
      </c>
      <c r="E120" t="inlineStr">
        <is>
          <t>job-yr/MW</t>
        </is>
      </c>
      <c r="F120" t="n">
        <v>2030</v>
      </c>
      <c r="G120">
        <f>G119*IFERROR(IF(ISNUMBER(INDEX(Method_2030_2050!$C$9:$C$34,MATCH(L120,Method_2030_2050!$B$9:$B$34,0))),INDEX(Method_2030_2050!$C$9:$C$34,MATCH(L120,Method_2030_2050!$B$9:$B$34,0)),1),1)</f>
        <v/>
      </c>
      <c r="H120">
        <f>H119*IFERROR(IF(ISNUMBER(INDEX(Method_2030_2050!$C$9:$C$34,MATCH(L120,Method_2030_2050!$B$9:$B$34,0))),INDEX(Method_2030_2050!$C$9:$C$34,MATCH(L120,Method_2030_2050!$B$9:$B$34,0)),1),1)</f>
        <v/>
      </c>
      <c r="I120" t="inlineStr">
        <is>
          <t>CAPEX/OPEX ratio projection</t>
        </is>
      </c>
      <c r="J120" t="inlineStr"/>
      <c r="K120" t="inlineStr"/>
      <c r="L120" t="inlineStr">
        <is>
          <t>Geothermal large</t>
        </is>
      </c>
      <c r="M120" t="inlineStr"/>
      <c r="N120" t="inlineStr">
        <is>
          <t>CAPEX 2030/2024=0.941982699695581</t>
        </is>
      </c>
      <c r="O120" t="n">
        <v>2024</v>
      </c>
      <c r="P120" t="n">
        <v>2030</v>
      </c>
      <c r="Q120">
        <f>Q119*IFERROR(IF(ISNUMBER(INDEX(Method_2030_2050!$C$9:$C$34,MATCH(L120,Method_2030_2050!$B$9:$B$34,0))),INDEX(Method_2030_2050!$C$9:$C$34,MATCH(L120,Method_2030_2050!$B$9:$B$34,0)),1),1)</f>
        <v/>
      </c>
    </row>
    <row r="121">
      <c r="A121" t="inlineStr">
        <is>
          <t>I-JEDI</t>
        </is>
      </c>
      <c r="B121" t="inlineStr">
        <is>
          <t>Geothermal</t>
        </is>
      </c>
      <c r="C121" t="inlineStr">
        <is>
          <t>Construction&amp;Manufacturing</t>
        </is>
      </c>
      <c r="D121" t="inlineStr">
        <is>
          <t>Induced</t>
        </is>
      </c>
      <c r="E121" t="inlineStr">
        <is>
          <t>job-yr/MW</t>
        </is>
      </c>
      <c r="F121" t="n">
        <v>2050</v>
      </c>
      <c r="G121">
        <f>G120*IFERROR(IF(ISNUMBER(INDEX(Method_2030_2050!$D$9:$D$34,MATCH(L121,Method_2030_2050!$B$9:$B$34,0))),INDEX(Method_2030_2050!$D$9:$D$34,MATCH(L121,Method_2030_2050!$B$9:$B$34,0)),1),1)</f>
        <v/>
      </c>
      <c r="H121">
        <f>H120*IFERROR(IF(ISNUMBER(INDEX(Method_2030_2050!$D$9:$D$34,MATCH(L121,Method_2030_2050!$B$9:$B$34,0))),INDEX(Method_2030_2050!$D$9:$D$34,MATCH(L121,Method_2030_2050!$B$9:$B$34,0)),1),1)</f>
        <v/>
      </c>
      <c r="I121" t="inlineStr">
        <is>
          <t>CAPEX/OPEX ratio projection</t>
        </is>
      </c>
      <c r="J121" t="inlineStr"/>
      <c r="K121" t="inlineStr"/>
      <c r="L121" t="inlineStr">
        <is>
          <t>Geothermal large</t>
        </is>
      </c>
      <c r="M121" t="inlineStr"/>
      <c r="N121" t="inlineStr">
        <is>
          <t>CAPEX 2050/2030=0.9229247031680952</t>
        </is>
      </c>
      <c r="O121" t="n">
        <v>2030</v>
      </c>
      <c r="P121" t="n">
        <v>2050</v>
      </c>
      <c r="Q121">
        <f>Q120*IFERROR(IF(ISNUMBER(INDEX(Method_2030_2050!$D$9:$D$34,MATCH(L121,Method_2030_2050!$B$9:$B$34,0))),INDEX(Method_2030_2050!$D$9:$D$34,MATCH(L121,Method_2030_2050!$B$9:$B$34,0)),1),1)</f>
        <v/>
      </c>
    </row>
    <row r="122">
      <c r="A122" t="inlineStr">
        <is>
          <t>Rutovitz 2015</t>
        </is>
      </c>
      <c r="B122" t="inlineStr">
        <is>
          <t>Geothermal</t>
        </is>
      </c>
      <c r="C122" t="inlineStr">
        <is>
          <t>Manufacturing</t>
        </is>
      </c>
      <c r="D122" t="inlineStr">
        <is>
          <t>Direct</t>
        </is>
      </c>
      <c r="E122" t="inlineStr">
        <is>
          <t>job-yr/MW</t>
        </is>
      </c>
      <c r="F122" t="n">
        <v>2015</v>
      </c>
      <c r="G122" t="inlineStr">
        <is>
          <t>3.9</t>
        </is>
      </c>
      <c r="H122" t="n">
        <v>3.9</v>
      </c>
      <c r="I122" t="inlineStr">
        <is>
          <t>Original</t>
        </is>
      </c>
      <c r="J122" t="inlineStr"/>
      <c r="K122" t="inlineStr"/>
      <c r="L122" t="inlineStr"/>
      <c r="M122" t="inlineStr"/>
      <c r="N122" t="inlineStr"/>
      <c r="O122" t="n">
        <v>2015</v>
      </c>
      <c r="P122" t="n">
        <v>2015</v>
      </c>
      <c r="Q122" t="n">
        <v>3.9</v>
      </c>
    </row>
    <row r="123">
      <c r="A123" t="inlineStr">
        <is>
          <t>Rutovitz 2015</t>
        </is>
      </c>
      <c r="B123" t="inlineStr">
        <is>
          <t>Geothermal</t>
        </is>
      </c>
      <c r="C123" t="inlineStr">
        <is>
          <t>Manufacturing</t>
        </is>
      </c>
      <c r="D123" t="inlineStr">
        <is>
          <t>Direct</t>
        </is>
      </c>
      <c r="E123" t="inlineStr">
        <is>
          <t>job-yr/MW</t>
        </is>
      </c>
      <c r="F123" t="n">
        <v>2030</v>
      </c>
      <c r="G123">
        <f>G122*K123</f>
        <v/>
      </c>
      <c r="H123">
        <f>H122*K123</f>
        <v/>
      </c>
      <c r="I123" t="inlineStr">
        <is>
          <t>Rutovitz Table 9 decline to 2030</t>
        </is>
      </c>
      <c r="J123" t="inlineStr">
        <is>
          <t>Geothermal power</t>
        </is>
      </c>
      <c r="K123">
        <f>INDEX(Mappings_Rutovitz!$D$2:$D$14,MATCH(J123,Mappings_Rutovitz!$B$2:$B$14,0))</f>
        <v/>
      </c>
      <c r="L123" t="inlineStr"/>
      <c r="M123" t="inlineStr"/>
      <c r="N123" t="inlineStr">
        <is>
          <t>Rutovitz Table 9 Latin America 2030</t>
        </is>
      </c>
      <c r="O123" t="n">
        <v>2015</v>
      </c>
      <c r="P123" t="n">
        <v>2030</v>
      </c>
      <c r="Q123">
        <f>Q122*K123</f>
        <v/>
      </c>
    </row>
    <row r="124">
      <c r="A124" t="inlineStr">
        <is>
          <t>Rutovitz 2015</t>
        </is>
      </c>
      <c r="B124" t="inlineStr">
        <is>
          <t>Geothermal</t>
        </is>
      </c>
      <c r="C124" t="inlineStr">
        <is>
          <t>Manufacturing</t>
        </is>
      </c>
      <c r="D124" t="inlineStr">
        <is>
          <t>Direct</t>
        </is>
      </c>
      <c r="E124" t="inlineStr">
        <is>
          <t>job-yr/MW</t>
        </is>
      </c>
      <c r="F124" t="n">
        <v>2050</v>
      </c>
      <c r="G124">
        <f>G123*IFERROR(IF(ISNUMBER(INDEX(Method_2030_2050!$D$9:$D$34,MATCH(L124,Method_2030_2050!$B$9:$B$34,0))),INDEX(Method_2030_2050!$D$9:$D$34,MATCH(L124,Method_2030_2050!$B$9:$B$34,0)),1),1)</f>
        <v/>
      </c>
      <c r="H124">
        <f>H123*IFERROR(IF(ISNUMBER(INDEX(Method_2030_2050!$D$9:$D$34,MATCH(L124,Method_2030_2050!$B$9:$B$34,0))),INDEX(Method_2030_2050!$D$9:$D$34,MATCH(L124,Method_2030_2050!$B$9:$B$34,0)),1),1)</f>
        <v/>
      </c>
      <c r="I124" t="inlineStr">
        <is>
          <t>CAPEX/OPEX ratio projection</t>
        </is>
      </c>
      <c r="J124" t="inlineStr">
        <is>
          <t>Geothermal power</t>
        </is>
      </c>
      <c r="K124" t="inlineStr"/>
      <c r="L124" t="inlineStr">
        <is>
          <t>Geothermal large</t>
        </is>
      </c>
      <c r="M124" t="inlineStr"/>
      <c r="N124" t="inlineStr">
        <is>
          <t>CAPEX 2050/2030=0.9229247031680952</t>
        </is>
      </c>
      <c r="O124" t="n">
        <v>2030</v>
      </c>
      <c r="P124" t="n">
        <v>2050</v>
      </c>
      <c r="Q124">
        <f>Q123*IFERROR(IF(ISNUMBER(INDEX(Method_2030_2050!$D$9:$D$34,MATCH(L124,Method_2030_2050!$B$9:$B$34,0))),INDEX(Method_2030_2050!$D$9:$D$34,MATCH(L124,Method_2030_2050!$B$9:$B$34,0)),1),1)</f>
        <v/>
      </c>
    </row>
    <row r="125">
      <c r="A125" t="inlineStr">
        <is>
          <t>I-JEDI</t>
        </is>
      </c>
      <c r="B125" t="inlineStr">
        <is>
          <t>Geothermal</t>
        </is>
      </c>
      <c r="C125" t="inlineStr">
        <is>
          <t>O&amp;M</t>
        </is>
      </c>
      <c r="D125" t="inlineStr">
        <is>
          <t>Direct</t>
        </is>
      </c>
      <c r="E125" t="inlineStr">
        <is>
          <t>job/MW</t>
        </is>
      </c>
      <c r="F125" t="n">
        <v>2024</v>
      </c>
      <c r="G125" t="inlineStr">
        <is>
          <t>0.008</t>
        </is>
      </c>
      <c r="H125" t="n">
        <v>0.008</v>
      </c>
      <c r="I125" t="inlineStr">
        <is>
          <t>Original</t>
        </is>
      </c>
      <c r="J125" t="inlineStr"/>
      <c r="K125" t="inlineStr"/>
      <c r="L125" t="inlineStr"/>
      <c r="M125" t="inlineStr"/>
      <c r="N125" t="inlineStr"/>
      <c r="O125" t="n">
        <v>2024</v>
      </c>
      <c r="P125" t="n">
        <v>2024</v>
      </c>
      <c r="Q125" t="n">
        <v>0.008</v>
      </c>
    </row>
    <row r="126">
      <c r="A126" t="inlineStr">
        <is>
          <t>I-JEDI</t>
        </is>
      </c>
      <c r="B126" t="inlineStr">
        <is>
          <t>Geothermal</t>
        </is>
      </c>
      <c r="C126" t="inlineStr">
        <is>
          <t>O&amp;M</t>
        </is>
      </c>
      <c r="D126" t="inlineStr">
        <is>
          <t>Direct</t>
        </is>
      </c>
      <c r="E126" t="inlineStr">
        <is>
          <t>job/MW</t>
        </is>
      </c>
      <c r="F126" t="n">
        <v>2030</v>
      </c>
      <c r="G126">
        <f>G125*IFERROR(IF(ISNUMBER(INDEX(Method_2030_2050!$E$9:$E$34,MATCH(L126,Method_2030_2050!$B$9:$B$34,0))),INDEX(Method_2030_2050!$E$9:$E$34,MATCH(L126,Method_2030_2050!$B$9:$B$34,0)),1),1)</f>
        <v/>
      </c>
      <c r="H126">
        <f>H125*IFERROR(IF(ISNUMBER(INDEX(Method_2030_2050!$E$9:$E$34,MATCH(L126,Method_2030_2050!$B$9:$B$34,0))),INDEX(Method_2030_2050!$E$9:$E$34,MATCH(L126,Method_2030_2050!$B$9:$B$34,0)),1),1)</f>
        <v/>
      </c>
      <c r="I126" t="inlineStr">
        <is>
          <t>CAPEX/OPEX ratio projection</t>
        </is>
      </c>
      <c r="J126" t="inlineStr"/>
      <c r="K126" t="inlineStr"/>
      <c r="L126" t="inlineStr">
        <is>
          <t>Geothermal large</t>
        </is>
      </c>
      <c r="M126" t="inlineStr"/>
      <c r="N126" t="inlineStr">
        <is>
          <t>OPEX 2030/2024=0.9420935412026726</t>
        </is>
      </c>
      <c r="O126" t="n">
        <v>2024</v>
      </c>
      <c r="P126" t="n">
        <v>2030</v>
      </c>
      <c r="Q126">
        <f>Q125*IFERROR(IF(ISNUMBER(INDEX(Method_2030_2050!$E$9:$E$34,MATCH(L126,Method_2030_2050!$B$9:$B$34,0))),INDEX(Method_2030_2050!$E$9:$E$34,MATCH(L126,Method_2030_2050!$B$9:$B$34,0)),1),1)</f>
        <v/>
      </c>
    </row>
    <row r="127">
      <c r="A127" t="inlineStr">
        <is>
          <t>I-JEDI</t>
        </is>
      </c>
      <c r="B127" t="inlineStr">
        <is>
          <t>Geothermal</t>
        </is>
      </c>
      <c r="C127" t="inlineStr">
        <is>
          <t>O&amp;M</t>
        </is>
      </c>
      <c r="D127" t="inlineStr">
        <is>
          <t>Direct</t>
        </is>
      </c>
      <c r="E127" t="inlineStr">
        <is>
          <t>job/MW</t>
        </is>
      </c>
      <c r="F127" t="n">
        <v>2050</v>
      </c>
      <c r="G127">
        <f>G126*IFERROR(IF(ISNUMBER(INDEX(Method_2030_2050!$F$9:$F$34,MATCH(L127,Method_2030_2050!$B$9:$B$34,0))),INDEX(Method_2030_2050!$F$9:$F$34,MATCH(L127,Method_2030_2050!$B$9:$B$34,0)),1),1)</f>
        <v/>
      </c>
      <c r="H127">
        <f>H126*IFERROR(IF(ISNUMBER(INDEX(Method_2030_2050!$F$9:$F$34,MATCH(L127,Method_2030_2050!$B$9:$B$34,0))),INDEX(Method_2030_2050!$F$9:$F$34,MATCH(L127,Method_2030_2050!$B$9:$B$34,0)),1),1)</f>
        <v/>
      </c>
      <c r="I127" t="inlineStr">
        <is>
          <t>CAPEX/OPEX ratio projection</t>
        </is>
      </c>
      <c r="J127" t="inlineStr"/>
      <c r="K127" t="inlineStr"/>
      <c r="L127" t="inlineStr">
        <is>
          <t>Geothermal large</t>
        </is>
      </c>
      <c r="M127" t="inlineStr"/>
      <c r="N127" t="inlineStr">
        <is>
          <t>OPEX 2050/2030=0.9231678486997636</t>
        </is>
      </c>
      <c r="O127" t="n">
        <v>2030</v>
      </c>
      <c r="P127" t="n">
        <v>2050</v>
      </c>
      <c r="Q127">
        <f>Q126*IFERROR(IF(ISNUMBER(INDEX(Method_2030_2050!$F$9:$F$34,MATCH(L127,Method_2030_2050!$B$9:$B$34,0))),INDEX(Method_2030_2050!$F$9:$F$34,MATCH(L127,Method_2030_2050!$B$9:$B$34,0)),1),1)</f>
        <v/>
      </c>
    </row>
    <row r="128">
      <c r="A128" t="inlineStr">
        <is>
          <t>Rutovitz 2015</t>
        </is>
      </c>
      <c r="B128" t="inlineStr">
        <is>
          <t>Geothermal</t>
        </is>
      </c>
      <c r="C128" t="inlineStr">
        <is>
          <t>O&amp;M</t>
        </is>
      </c>
      <c r="D128" t="inlineStr">
        <is>
          <t>Direct</t>
        </is>
      </c>
      <c r="E128" t="inlineStr">
        <is>
          <t>job/MW</t>
        </is>
      </c>
      <c r="F128" t="n">
        <v>2015</v>
      </c>
      <c r="G128" t="inlineStr">
        <is>
          <t>0.4</t>
        </is>
      </c>
      <c r="H128" t="n">
        <v>0.4</v>
      </c>
      <c r="I128" t="inlineStr">
        <is>
          <t>Original</t>
        </is>
      </c>
      <c r="J128" t="inlineStr"/>
      <c r="K128" t="inlineStr"/>
      <c r="L128" t="inlineStr"/>
      <c r="M128" t="inlineStr"/>
      <c r="N128" t="inlineStr"/>
      <c r="O128" t="n">
        <v>2015</v>
      </c>
      <c r="P128" t="n">
        <v>2015</v>
      </c>
      <c r="Q128" t="n">
        <v>0.4</v>
      </c>
    </row>
    <row r="129">
      <c r="A129" t="inlineStr">
        <is>
          <t>Rutovitz 2015</t>
        </is>
      </c>
      <c r="B129" t="inlineStr">
        <is>
          <t>Geothermal</t>
        </is>
      </c>
      <c r="C129" t="inlineStr">
        <is>
          <t>O&amp;M</t>
        </is>
      </c>
      <c r="D129" t="inlineStr">
        <is>
          <t>Direct</t>
        </is>
      </c>
      <c r="E129" t="inlineStr">
        <is>
          <t>job/MW</t>
        </is>
      </c>
      <c r="F129" t="n">
        <v>2030</v>
      </c>
      <c r="G129">
        <f>G128*K129</f>
        <v/>
      </c>
      <c r="H129">
        <f>H128*K129</f>
        <v/>
      </c>
      <c r="I129" t="inlineStr">
        <is>
          <t>Rutovitz Table 9 decline to 2030</t>
        </is>
      </c>
      <c r="J129" t="inlineStr">
        <is>
          <t>Geothermal power</t>
        </is>
      </c>
      <c r="K129">
        <f>INDEX(Mappings_Rutovitz!$D$2:$D$14,MATCH(J129,Mappings_Rutovitz!$B$2:$B$14,0))</f>
        <v/>
      </c>
      <c r="L129" t="inlineStr"/>
      <c r="M129" t="inlineStr"/>
      <c r="N129" t="inlineStr">
        <is>
          <t>Rutovitz Table 9 Latin America 2030</t>
        </is>
      </c>
      <c r="O129" t="n">
        <v>2015</v>
      </c>
      <c r="P129" t="n">
        <v>2030</v>
      </c>
      <c r="Q129">
        <f>Q128*K129</f>
        <v/>
      </c>
    </row>
    <row r="130">
      <c r="A130" t="inlineStr">
        <is>
          <t>Rutovitz 2015</t>
        </is>
      </c>
      <c r="B130" t="inlineStr">
        <is>
          <t>Geothermal</t>
        </is>
      </c>
      <c r="C130" t="inlineStr">
        <is>
          <t>O&amp;M</t>
        </is>
      </c>
      <c r="D130" t="inlineStr">
        <is>
          <t>Direct</t>
        </is>
      </c>
      <c r="E130" t="inlineStr">
        <is>
          <t>job/MW</t>
        </is>
      </c>
      <c r="F130" t="n">
        <v>2050</v>
      </c>
      <c r="G130">
        <f>G129*IFERROR(IF(ISNUMBER(INDEX(Method_2030_2050!$F$9:$F$34,MATCH(L130,Method_2030_2050!$B$9:$B$34,0))),INDEX(Method_2030_2050!$F$9:$F$34,MATCH(L130,Method_2030_2050!$B$9:$B$34,0)),1),1)</f>
        <v/>
      </c>
      <c r="H130">
        <f>H129*IFERROR(IF(ISNUMBER(INDEX(Method_2030_2050!$F$9:$F$34,MATCH(L130,Method_2030_2050!$B$9:$B$34,0))),INDEX(Method_2030_2050!$F$9:$F$34,MATCH(L130,Method_2030_2050!$B$9:$B$34,0)),1),1)</f>
        <v/>
      </c>
      <c r="I130" t="inlineStr">
        <is>
          <t>CAPEX/OPEX ratio projection</t>
        </is>
      </c>
      <c r="J130" t="inlineStr">
        <is>
          <t>Geothermal power</t>
        </is>
      </c>
      <c r="K130" t="inlineStr"/>
      <c r="L130" t="inlineStr">
        <is>
          <t>Geothermal large</t>
        </is>
      </c>
      <c r="M130" t="inlineStr"/>
      <c r="N130" t="inlineStr">
        <is>
          <t>OPEX 2050/2030=0.9231678486997636</t>
        </is>
      </c>
      <c r="O130" t="n">
        <v>2030</v>
      </c>
      <c r="P130" t="n">
        <v>2050</v>
      </c>
      <c r="Q130">
        <f>Q129*IFERROR(IF(ISNUMBER(INDEX(Method_2030_2050!$F$9:$F$34,MATCH(L130,Method_2030_2050!$B$9:$B$34,0))),INDEX(Method_2030_2050!$F$9:$F$34,MATCH(L130,Method_2030_2050!$B$9:$B$34,0)),1),1)</f>
        <v/>
      </c>
    </row>
    <row r="131">
      <c r="A131" t="inlineStr">
        <is>
          <t>I-JEDI</t>
        </is>
      </c>
      <c r="B131" t="inlineStr">
        <is>
          <t>Geothermal</t>
        </is>
      </c>
      <c r="C131" t="inlineStr">
        <is>
          <t>O&amp;M</t>
        </is>
      </c>
      <c r="D131" t="inlineStr">
        <is>
          <t>Indirect</t>
        </is>
      </c>
      <c r="E131" t="inlineStr">
        <is>
          <t>job/MW</t>
        </is>
      </c>
      <c r="F131" t="n">
        <v>2024</v>
      </c>
      <c r="G131" t="inlineStr">
        <is>
          <t>0.01</t>
        </is>
      </c>
      <c r="H131" t="n">
        <v>0.01</v>
      </c>
      <c r="I131" t="inlineStr">
        <is>
          <t>Original</t>
        </is>
      </c>
      <c r="J131" t="inlineStr"/>
      <c r="K131" t="inlineStr"/>
      <c r="L131" t="inlineStr"/>
      <c r="M131" t="inlineStr"/>
      <c r="N131" t="inlineStr"/>
      <c r="O131" t="n">
        <v>2024</v>
      </c>
      <c r="P131" t="n">
        <v>2024</v>
      </c>
      <c r="Q131" t="n">
        <v>0.01</v>
      </c>
    </row>
    <row r="132">
      <c r="A132" t="inlineStr">
        <is>
          <t>I-JEDI</t>
        </is>
      </c>
      <c r="B132" t="inlineStr">
        <is>
          <t>Geothermal</t>
        </is>
      </c>
      <c r="C132" t="inlineStr">
        <is>
          <t>O&amp;M</t>
        </is>
      </c>
      <c r="D132" t="inlineStr">
        <is>
          <t>Indirect</t>
        </is>
      </c>
      <c r="E132" t="inlineStr">
        <is>
          <t>job/MW</t>
        </is>
      </c>
      <c r="F132" t="n">
        <v>2030</v>
      </c>
      <c r="G132">
        <f>G131*IFERROR(IF(ISNUMBER(INDEX(Method_2030_2050!$E$9:$E$34,MATCH(L132,Method_2030_2050!$B$9:$B$34,0))),INDEX(Method_2030_2050!$E$9:$E$34,MATCH(L132,Method_2030_2050!$B$9:$B$34,0)),1),1)</f>
        <v/>
      </c>
      <c r="H132">
        <f>H131*IFERROR(IF(ISNUMBER(INDEX(Method_2030_2050!$E$9:$E$34,MATCH(L132,Method_2030_2050!$B$9:$B$34,0))),INDEX(Method_2030_2050!$E$9:$E$34,MATCH(L132,Method_2030_2050!$B$9:$B$34,0)),1),1)</f>
        <v/>
      </c>
      <c r="I132" t="inlineStr">
        <is>
          <t>CAPEX/OPEX ratio projection</t>
        </is>
      </c>
      <c r="J132" t="inlineStr"/>
      <c r="K132" t="inlineStr"/>
      <c r="L132" t="inlineStr">
        <is>
          <t>Geothermal large</t>
        </is>
      </c>
      <c r="M132" t="inlineStr"/>
      <c r="N132" t="inlineStr">
        <is>
          <t>OPEX 2030/2024=0.9420935412026726</t>
        </is>
      </c>
      <c r="O132" t="n">
        <v>2024</v>
      </c>
      <c r="P132" t="n">
        <v>2030</v>
      </c>
      <c r="Q132">
        <f>Q131*IFERROR(IF(ISNUMBER(INDEX(Method_2030_2050!$E$9:$E$34,MATCH(L132,Method_2030_2050!$B$9:$B$34,0))),INDEX(Method_2030_2050!$E$9:$E$34,MATCH(L132,Method_2030_2050!$B$9:$B$34,0)),1),1)</f>
        <v/>
      </c>
    </row>
    <row r="133">
      <c r="A133" t="inlineStr">
        <is>
          <t>I-JEDI</t>
        </is>
      </c>
      <c r="B133" t="inlineStr">
        <is>
          <t>Geothermal</t>
        </is>
      </c>
      <c r="C133" t="inlineStr">
        <is>
          <t>O&amp;M</t>
        </is>
      </c>
      <c r="D133" t="inlineStr">
        <is>
          <t>Indirect</t>
        </is>
      </c>
      <c r="E133" t="inlineStr">
        <is>
          <t>job/MW</t>
        </is>
      </c>
      <c r="F133" t="n">
        <v>2050</v>
      </c>
      <c r="G133">
        <f>G132*IFERROR(IF(ISNUMBER(INDEX(Method_2030_2050!$F$9:$F$34,MATCH(L133,Method_2030_2050!$B$9:$B$34,0))),INDEX(Method_2030_2050!$F$9:$F$34,MATCH(L133,Method_2030_2050!$B$9:$B$34,0)),1),1)</f>
        <v/>
      </c>
      <c r="H133">
        <f>H132*IFERROR(IF(ISNUMBER(INDEX(Method_2030_2050!$F$9:$F$34,MATCH(L133,Method_2030_2050!$B$9:$B$34,0))),INDEX(Method_2030_2050!$F$9:$F$34,MATCH(L133,Method_2030_2050!$B$9:$B$34,0)),1),1)</f>
        <v/>
      </c>
      <c r="I133" t="inlineStr">
        <is>
          <t>CAPEX/OPEX ratio projection</t>
        </is>
      </c>
      <c r="J133" t="inlineStr"/>
      <c r="K133" t="inlineStr"/>
      <c r="L133" t="inlineStr">
        <is>
          <t>Geothermal large</t>
        </is>
      </c>
      <c r="M133" t="inlineStr"/>
      <c r="N133" t="inlineStr">
        <is>
          <t>OPEX 2050/2030=0.9231678486997636</t>
        </is>
      </c>
      <c r="O133" t="n">
        <v>2030</v>
      </c>
      <c r="P133" t="n">
        <v>2050</v>
      </c>
      <c r="Q133">
        <f>Q132*IFERROR(IF(ISNUMBER(INDEX(Method_2030_2050!$F$9:$F$34,MATCH(L133,Method_2030_2050!$B$9:$B$34,0))),INDEX(Method_2030_2050!$F$9:$F$34,MATCH(L133,Method_2030_2050!$B$9:$B$34,0)),1),1)</f>
        <v/>
      </c>
    </row>
    <row r="134">
      <c r="A134" t="inlineStr">
        <is>
          <t>I-JEDI</t>
        </is>
      </c>
      <c r="B134" t="inlineStr">
        <is>
          <t>Geothermal</t>
        </is>
      </c>
      <c r="C134" t="inlineStr">
        <is>
          <t>O&amp;M</t>
        </is>
      </c>
      <c r="D134" t="inlineStr">
        <is>
          <t>Induced</t>
        </is>
      </c>
      <c r="E134" t="inlineStr">
        <is>
          <t>job/MW</t>
        </is>
      </c>
      <c r="F134" t="n">
        <v>2024</v>
      </c>
      <c r="G134" t="inlineStr">
        <is>
          <t>0.029</t>
        </is>
      </c>
      <c r="H134" t="n">
        <v>0.029</v>
      </c>
      <c r="I134" t="inlineStr">
        <is>
          <t>Original</t>
        </is>
      </c>
      <c r="J134" t="inlineStr"/>
      <c r="K134" t="inlineStr"/>
      <c r="L134" t="inlineStr"/>
      <c r="M134" t="inlineStr"/>
      <c r="N134" t="inlineStr"/>
      <c r="O134" t="n">
        <v>2024</v>
      </c>
      <c r="P134" t="n">
        <v>2024</v>
      </c>
      <c r="Q134" t="n">
        <v>0.029</v>
      </c>
    </row>
    <row r="135">
      <c r="A135" t="inlineStr">
        <is>
          <t>I-JEDI</t>
        </is>
      </c>
      <c r="B135" t="inlineStr">
        <is>
          <t>Geothermal</t>
        </is>
      </c>
      <c r="C135" t="inlineStr">
        <is>
          <t>O&amp;M</t>
        </is>
      </c>
      <c r="D135" t="inlineStr">
        <is>
          <t>Induced</t>
        </is>
      </c>
      <c r="E135" t="inlineStr">
        <is>
          <t>job/MW</t>
        </is>
      </c>
      <c r="F135" t="n">
        <v>2030</v>
      </c>
      <c r="G135">
        <f>G134*IFERROR(IF(ISNUMBER(INDEX(Method_2030_2050!$E$9:$E$34,MATCH(L135,Method_2030_2050!$B$9:$B$34,0))),INDEX(Method_2030_2050!$E$9:$E$34,MATCH(L135,Method_2030_2050!$B$9:$B$34,0)),1),1)</f>
        <v/>
      </c>
      <c r="H135">
        <f>H134*IFERROR(IF(ISNUMBER(INDEX(Method_2030_2050!$E$9:$E$34,MATCH(L135,Method_2030_2050!$B$9:$B$34,0))),INDEX(Method_2030_2050!$E$9:$E$34,MATCH(L135,Method_2030_2050!$B$9:$B$34,0)),1),1)</f>
        <v/>
      </c>
      <c r="I135" t="inlineStr">
        <is>
          <t>CAPEX/OPEX ratio projection</t>
        </is>
      </c>
      <c r="J135" t="inlineStr"/>
      <c r="K135" t="inlineStr"/>
      <c r="L135" t="inlineStr">
        <is>
          <t>Geothermal large</t>
        </is>
      </c>
      <c r="M135" t="inlineStr"/>
      <c r="N135" t="inlineStr">
        <is>
          <t>OPEX 2030/2024=0.9420935412026726</t>
        </is>
      </c>
      <c r="O135" t="n">
        <v>2024</v>
      </c>
      <c r="P135" t="n">
        <v>2030</v>
      </c>
      <c r="Q135">
        <f>Q134*IFERROR(IF(ISNUMBER(INDEX(Method_2030_2050!$E$9:$E$34,MATCH(L135,Method_2030_2050!$B$9:$B$34,0))),INDEX(Method_2030_2050!$E$9:$E$34,MATCH(L135,Method_2030_2050!$B$9:$B$34,0)),1),1)</f>
        <v/>
      </c>
    </row>
    <row r="136">
      <c r="A136" t="inlineStr">
        <is>
          <t>I-JEDI</t>
        </is>
      </c>
      <c r="B136" t="inlineStr">
        <is>
          <t>Geothermal</t>
        </is>
      </c>
      <c r="C136" t="inlineStr">
        <is>
          <t>O&amp;M</t>
        </is>
      </c>
      <c r="D136" t="inlineStr">
        <is>
          <t>Induced</t>
        </is>
      </c>
      <c r="E136" t="inlineStr">
        <is>
          <t>job/MW</t>
        </is>
      </c>
      <c r="F136" t="n">
        <v>2050</v>
      </c>
      <c r="G136">
        <f>G135*IFERROR(IF(ISNUMBER(INDEX(Method_2030_2050!$F$9:$F$34,MATCH(L136,Method_2030_2050!$B$9:$B$34,0))),INDEX(Method_2030_2050!$F$9:$F$34,MATCH(L136,Method_2030_2050!$B$9:$B$34,0)),1),1)</f>
        <v/>
      </c>
      <c r="H136">
        <f>H135*IFERROR(IF(ISNUMBER(INDEX(Method_2030_2050!$F$9:$F$34,MATCH(L136,Method_2030_2050!$B$9:$B$34,0))),INDEX(Method_2030_2050!$F$9:$F$34,MATCH(L136,Method_2030_2050!$B$9:$B$34,0)),1),1)</f>
        <v/>
      </c>
      <c r="I136" t="inlineStr">
        <is>
          <t>CAPEX/OPEX ratio projection</t>
        </is>
      </c>
      <c r="J136" t="inlineStr"/>
      <c r="K136" t="inlineStr"/>
      <c r="L136" t="inlineStr">
        <is>
          <t>Geothermal large</t>
        </is>
      </c>
      <c r="M136" t="inlineStr"/>
      <c r="N136" t="inlineStr">
        <is>
          <t>OPEX 2050/2030=0.9231678486997636</t>
        </is>
      </c>
      <c r="O136" t="n">
        <v>2030</v>
      </c>
      <c r="P136" t="n">
        <v>2050</v>
      </c>
      <c r="Q136">
        <f>Q135*IFERROR(IF(ISNUMBER(INDEX(Method_2030_2050!$F$9:$F$34,MATCH(L136,Method_2030_2050!$B$9:$B$34,0))),INDEX(Method_2030_2050!$F$9:$F$34,MATCH(L136,Method_2030_2050!$B$9:$B$34,0)),1),1)</f>
        <v/>
      </c>
    </row>
    <row r="137">
      <c r="A137" t="inlineStr">
        <is>
          <t>Rutovitz 2015</t>
        </is>
      </c>
      <c r="B137" t="inlineStr">
        <is>
          <t>Hydro (large)</t>
        </is>
      </c>
      <c r="C137" t="inlineStr">
        <is>
          <t>Construction</t>
        </is>
      </c>
      <c r="D137" t="inlineStr">
        <is>
          <t>Direct</t>
        </is>
      </c>
      <c r="E137" t="inlineStr">
        <is>
          <t>job-yr/MW</t>
        </is>
      </c>
      <c r="F137" t="n">
        <v>2015</v>
      </c>
      <c r="G137" t="inlineStr">
        <is>
          <t>7.4</t>
        </is>
      </c>
      <c r="H137" t="n">
        <v>7.4</v>
      </c>
      <c r="I137" t="inlineStr">
        <is>
          <t>Original</t>
        </is>
      </c>
      <c r="J137" t="inlineStr"/>
      <c r="K137" t="inlineStr"/>
      <c r="L137" t="inlineStr"/>
      <c r="M137" t="inlineStr"/>
      <c r="N137" t="inlineStr"/>
      <c r="O137" t="n">
        <v>2015</v>
      </c>
      <c r="P137" t="n">
        <v>2015</v>
      </c>
      <c r="Q137" t="n">
        <v>7.4</v>
      </c>
    </row>
    <row r="138">
      <c r="A138" t="inlineStr">
        <is>
          <t>Rutovitz 2015</t>
        </is>
      </c>
      <c r="B138" t="inlineStr">
        <is>
          <t>Hydro (large)</t>
        </is>
      </c>
      <c r="C138" t="inlineStr">
        <is>
          <t>Construction</t>
        </is>
      </c>
      <c r="D138" t="inlineStr">
        <is>
          <t>Direct</t>
        </is>
      </c>
      <c r="E138" t="inlineStr">
        <is>
          <t>job-yr/MW</t>
        </is>
      </c>
      <c r="F138" t="n">
        <v>2030</v>
      </c>
      <c r="G138">
        <f>G137*K138</f>
        <v/>
      </c>
      <c r="H138">
        <f>H137*K138</f>
        <v/>
      </c>
      <c r="I138" t="inlineStr">
        <is>
          <t>Rutovitz Table 9 decline to 2030</t>
        </is>
      </c>
      <c r="J138" t="inlineStr">
        <is>
          <t>Hydro-large</t>
        </is>
      </c>
      <c r="K138">
        <f>INDEX(Mappings_Rutovitz!$D$2:$D$14,MATCH(J138,Mappings_Rutovitz!$B$2:$B$14,0))</f>
        <v/>
      </c>
      <c r="L138" t="inlineStr"/>
      <c r="M138" t="inlineStr"/>
      <c r="N138" t="inlineStr">
        <is>
          <t>Rutovitz Table 9 Latin America 2030</t>
        </is>
      </c>
      <c r="O138" t="n">
        <v>2015</v>
      </c>
      <c r="P138" t="n">
        <v>2030</v>
      </c>
      <c r="Q138">
        <f>Q137*K138</f>
        <v/>
      </c>
    </row>
    <row r="139">
      <c r="A139" t="inlineStr">
        <is>
          <t>Rutovitz 2015</t>
        </is>
      </c>
      <c r="B139" t="inlineStr">
        <is>
          <t>Hydro (large)</t>
        </is>
      </c>
      <c r="C139" t="inlineStr">
        <is>
          <t>Construction</t>
        </is>
      </c>
      <c r="D139" t="inlineStr">
        <is>
          <t>Direct</t>
        </is>
      </c>
      <c r="E139" t="inlineStr">
        <is>
          <t>job-yr/MW</t>
        </is>
      </c>
      <c r="F139" t="n">
        <v>2050</v>
      </c>
      <c r="G139">
        <f>G138*IFERROR(IF(ISNUMBER(INDEX(Method_2030_2050!$D$9:$D$34,MATCH(L139,Method_2030_2050!$B$9:$B$34,0))),INDEX(Method_2030_2050!$D$9:$D$34,MATCH(L139,Method_2030_2050!$B$9:$B$34,0)),1),1)</f>
        <v/>
      </c>
      <c r="H139">
        <f>H138*IFERROR(IF(ISNUMBER(INDEX(Method_2030_2050!$D$9:$D$34,MATCH(L139,Method_2030_2050!$B$9:$B$34,0))),INDEX(Method_2030_2050!$D$9:$D$34,MATCH(L139,Method_2030_2050!$B$9:$B$34,0)),1),1)</f>
        <v/>
      </c>
      <c r="I139" t="inlineStr">
        <is>
          <t>CAPEX/OPEX ratio projection</t>
        </is>
      </c>
      <c r="J139" t="inlineStr">
        <is>
          <t>Hydro-large</t>
        </is>
      </c>
      <c r="K139" t="inlineStr"/>
      <c r="L139" t="inlineStr">
        <is>
          <t>Large Hydro reservoir</t>
        </is>
      </c>
      <c r="M139" t="inlineStr"/>
      <c r="N139" t="inlineStr">
        <is>
          <t>CAPEX 2050/2030=0.994910686684318</t>
        </is>
      </c>
      <c r="O139" t="n">
        <v>2030</v>
      </c>
      <c r="P139" t="n">
        <v>2050</v>
      </c>
      <c r="Q139">
        <f>Q138*IFERROR(IF(ISNUMBER(INDEX(Method_2030_2050!$D$9:$D$34,MATCH(L139,Method_2030_2050!$B$9:$B$34,0))),INDEX(Method_2030_2050!$D$9:$D$34,MATCH(L139,Method_2030_2050!$B$9:$B$34,0)),1),1)</f>
        <v/>
      </c>
    </row>
    <row r="140">
      <c r="A140" t="inlineStr">
        <is>
          <t>Rutovitz 2015</t>
        </is>
      </c>
      <c r="B140" t="inlineStr">
        <is>
          <t>Hydro (large)</t>
        </is>
      </c>
      <c r="C140" t="inlineStr">
        <is>
          <t>Manufacturing</t>
        </is>
      </c>
      <c r="D140" t="inlineStr">
        <is>
          <t>Direct</t>
        </is>
      </c>
      <c r="E140" t="inlineStr">
        <is>
          <t>job-yr/MW</t>
        </is>
      </c>
      <c r="F140" t="n">
        <v>2015</v>
      </c>
      <c r="G140" t="inlineStr">
        <is>
          <t>3.5</t>
        </is>
      </c>
      <c r="H140" t="n">
        <v>3.5</v>
      </c>
      <c r="I140" t="inlineStr">
        <is>
          <t>Original</t>
        </is>
      </c>
      <c r="J140" t="inlineStr"/>
      <c r="K140" t="inlineStr"/>
      <c r="L140" t="inlineStr"/>
      <c r="M140" t="inlineStr"/>
      <c r="N140" t="inlineStr"/>
      <c r="O140" t="n">
        <v>2015</v>
      </c>
      <c r="P140" t="n">
        <v>2015</v>
      </c>
      <c r="Q140" t="n">
        <v>3.5</v>
      </c>
    </row>
    <row r="141">
      <c r="A141" t="inlineStr">
        <is>
          <t>Rutovitz 2015</t>
        </is>
      </c>
      <c r="B141" t="inlineStr">
        <is>
          <t>Hydro (large)</t>
        </is>
      </c>
      <c r="C141" t="inlineStr">
        <is>
          <t>Manufacturing</t>
        </is>
      </c>
      <c r="D141" t="inlineStr">
        <is>
          <t>Direct</t>
        </is>
      </c>
      <c r="E141" t="inlineStr">
        <is>
          <t>job-yr/MW</t>
        </is>
      </c>
      <c r="F141" t="n">
        <v>2030</v>
      </c>
      <c r="G141">
        <f>G140*K141</f>
        <v/>
      </c>
      <c r="H141">
        <f>H140*K141</f>
        <v/>
      </c>
      <c r="I141" t="inlineStr">
        <is>
          <t>Rutovitz Table 9 decline to 2030</t>
        </is>
      </c>
      <c r="J141" t="inlineStr">
        <is>
          <t>Hydro-large</t>
        </is>
      </c>
      <c r="K141">
        <f>INDEX(Mappings_Rutovitz!$D$2:$D$14,MATCH(J141,Mappings_Rutovitz!$B$2:$B$14,0))</f>
        <v/>
      </c>
      <c r="L141" t="inlineStr"/>
      <c r="M141" t="inlineStr"/>
      <c r="N141" t="inlineStr">
        <is>
          <t>Rutovitz Table 9 Latin America 2030</t>
        </is>
      </c>
      <c r="O141" t="n">
        <v>2015</v>
      </c>
      <c r="P141" t="n">
        <v>2030</v>
      </c>
      <c r="Q141">
        <f>Q140*K141</f>
        <v/>
      </c>
    </row>
    <row r="142">
      <c r="A142" t="inlineStr">
        <is>
          <t>Rutovitz 2015</t>
        </is>
      </c>
      <c r="B142" t="inlineStr">
        <is>
          <t>Hydro (large)</t>
        </is>
      </c>
      <c r="C142" t="inlineStr">
        <is>
          <t>Manufacturing</t>
        </is>
      </c>
      <c r="D142" t="inlineStr">
        <is>
          <t>Direct</t>
        </is>
      </c>
      <c r="E142" t="inlineStr">
        <is>
          <t>job-yr/MW</t>
        </is>
      </c>
      <c r="F142" t="n">
        <v>2050</v>
      </c>
      <c r="G142">
        <f>G141*IFERROR(IF(ISNUMBER(INDEX(Method_2030_2050!$D$9:$D$34,MATCH(L142,Method_2030_2050!$B$9:$B$34,0))),INDEX(Method_2030_2050!$D$9:$D$34,MATCH(L142,Method_2030_2050!$B$9:$B$34,0)),1),1)</f>
        <v/>
      </c>
      <c r="H142">
        <f>H141*IFERROR(IF(ISNUMBER(INDEX(Method_2030_2050!$D$9:$D$34,MATCH(L142,Method_2030_2050!$B$9:$B$34,0))),INDEX(Method_2030_2050!$D$9:$D$34,MATCH(L142,Method_2030_2050!$B$9:$B$34,0)),1),1)</f>
        <v/>
      </c>
      <c r="I142" t="inlineStr">
        <is>
          <t>CAPEX/OPEX ratio projection</t>
        </is>
      </c>
      <c r="J142" t="inlineStr">
        <is>
          <t>Hydro-large</t>
        </is>
      </c>
      <c r="K142" t="inlineStr"/>
      <c r="L142" t="inlineStr">
        <is>
          <t>Large Hydro reservoir</t>
        </is>
      </c>
      <c r="M142" t="inlineStr"/>
      <c r="N142" t="inlineStr">
        <is>
          <t>CAPEX 2050/2030=0.994910686684318</t>
        </is>
      </c>
      <c r="O142" t="n">
        <v>2030</v>
      </c>
      <c r="P142" t="n">
        <v>2050</v>
      </c>
      <c r="Q142">
        <f>Q141*IFERROR(IF(ISNUMBER(INDEX(Method_2030_2050!$D$9:$D$34,MATCH(L142,Method_2030_2050!$B$9:$B$34,0))),INDEX(Method_2030_2050!$D$9:$D$34,MATCH(L142,Method_2030_2050!$B$9:$B$34,0)),1),1)</f>
        <v/>
      </c>
    </row>
    <row r="143">
      <c r="A143" t="inlineStr">
        <is>
          <t>Rutovitz 2015</t>
        </is>
      </c>
      <c r="B143" t="inlineStr">
        <is>
          <t>Hydro (large)</t>
        </is>
      </c>
      <c r="C143" t="inlineStr">
        <is>
          <t>O&amp;M</t>
        </is>
      </c>
      <c r="D143" t="inlineStr">
        <is>
          <t>Direct</t>
        </is>
      </c>
      <c r="E143" t="inlineStr">
        <is>
          <t>job/MW</t>
        </is>
      </c>
      <c r="F143" t="n">
        <v>2015</v>
      </c>
      <c r="G143" t="inlineStr">
        <is>
          <t>0.6</t>
        </is>
      </c>
      <c r="H143" t="n">
        <v>0.6</v>
      </c>
      <c r="I143" t="inlineStr">
        <is>
          <t>Original</t>
        </is>
      </c>
      <c r="J143" t="inlineStr"/>
      <c r="K143" t="inlineStr"/>
      <c r="L143" t="inlineStr"/>
      <c r="M143" t="inlineStr"/>
      <c r="N143" t="inlineStr"/>
      <c r="O143" t="n">
        <v>2015</v>
      </c>
      <c r="P143" t="n">
        <v>2015</v>
      </c>
      <c r="Q143" t="n">
        <v>0.6</v>
      </c>
    </row>
    <row r="144">
      <c r="A144" t="inlineStr">
        <is>
          <t>Rutovitz 2015</t>
        </is>
      </c>
      <c r="B144" t="inlineStr">
        <is>
          <t>Hydro (large)</t>
        </is>
      </c>
      <c r="C144" t="inlineStr">
        <is>
          <t>O&amp;M</t>
        </is>
      </c>
      <c r="D144" t="inlineStr">
        <is>
          <t>Direct</t>
        </is>
      </c>
      <c r="E144" t="inlineStr">
        <is>
          <t>job/MW</t>
        </is>
      </c>
      <c r="F144" t="n">
        <v>2030</v>
      </c>
      <c r="G144">
        <f>G143*K144</f>
        <v/>
      </c>
      <c r="H144">
        <f>H143*K144</f>
        <v/>
      </c>
      <c r="I144" t="inlineStr">
        <is>
          <t>Rutovitz Table 9 decline to 2030</t>
        </is>
      </c>
      <c r="J144" t="inlineStr">
        <is>
          <t>Hydro-large</t>
        </is>
      </c>
      <c r="K144">
        <f>INDEX(Mappings_Rutovitz!$D$2:$D$14,MATCH(J144,Mappings_Rutovitz!$B$2:$B$14,0))</f>
        <v/>
      </c>
      <c r="L144" t="inlineStr"/>
      <c r="M144" t="inlineStr"/>
      <c r="N144" t="inlineStr">
        <is>
          <t>Rutovitz Table 9 Latin America 2030</t>
        </is>
      </c>
      <c r="O144" t="n">
        <v>2015</v>
      </c>
      <c r="P144" t="n">
        <v>2030</v>
      </c>
      <c r="Q144">
        <f>Q143*K144</f>
        <v/>
      </c>
    </row>
    <row r="145">
      <c r="A145" t="inlineStr">
        <is>
          <t>Rutovitz 2015</t>
        </is>
      </c>
      <c r="B145" t="inlineStr">
        <is>
          <t>Hydro (large)</t>
        </is>
      </c>
      <c r="C145" t="inlineStr">
        <is>
          <t>O&amp;M</t>
        </is>
      </c>
      <c r="D145" t="inlineStr">
        <is>
          <t>Direct</t>
        </is>
      </c>
      <c r="E145" t="inlineStr">
        <is>
          <t>job/MW</t>
        </is>
      </c>
      <c r="F145" t="n">
        <v>2050</v>
      </c>
      <c r="G145">
        <f>G144*IFERROR(IF(ISNUMBER(INDEX(Method_2030_2050!$F$9:$F$34,MATCH(L145,Method_2030_2050!$B$9:$B$34,0))),INDEX(Method_2030_2050!$F$9:$F$34,MATCH(L145,Method_2030_2050!$B$9:$B$34,0)),1),1)</f>
        <v/>
      </c>
      <c r="H145">
        <f>H144*IFERROR(IF(ISNUMBER(INDEX(Method_2030_2050!$F$9:$F$34,MATCH(L145,Method_2030_2050!$B$9:$B$34,0))),INDEX(Method_2030_2050!$F$9:$F$34,MATCH(L145,Method_2030_2050!$B$9:$B$34,0)),1),1)</f>
        <v/>
      </c>
      <c r="I145" t="inlineStr">
        <is>
          <t>CAPEX/OPEX ratio projection</t>
        </is>
      </c>
      <c r="J145" t="inlineStr">
        <is>
          <t>Hydro-large</t>
        </is>
      </c>
      <c r="K145" t="inlineStr"/>
      <c r="L145" t="inlineStr">
        <is>
          <t>Large Hydro reservoir</t>
        </is>
      </c>
      <c r="M145" t="inlineStr"/>
      <c r="N145" t="inlineStr">
        <is>
          <t>OPEX 2050/2030=0.994535519125683</t>
        </is>
      </c>
      <c r="O145" t="n">
        <v>2030</v>
      </c>
      <c r="P145" t="n">
        <v>2050</v>
      </c>
      <c r="Q145">
        <f>Q144*IFERROR(IF(ISNUMBER(INDEX(Method_2030_2050!$F$9:$F$34,MATCH(L145,Method_2030_2050!$B$9:$B$34,0))),INDEX(Method_2030_2050!$F$9:$F$34,MATCH(L145,Method_2030_2050!$B$9:$B$34,0)),1),1)</f>
        <v/>
      </c>
    </row>
    <row r="146">
      <c r="A146" t="inlineStr">
        <is>
          <t>Rutovitz 2015</t>
        </is>
      </c>
      <c r="B146" t="inlineStr">
        <is>
          <t>Hydro (small)</t>
        </is>
      </c>
      <c r="C146" t="inlineStr">
        <is>
          <t>Construction</t>
        </is>
      </c>
      <c r="D146" t="inlineStr">
        <is>
          <t>Direct</t>
        </is>
      </c>
      <c r="E146" t="inlineStr">
        <is>
          <t>job-yr/MW</t>
        </is>
      </c>
      <c r="F146" t="n">
        <v>2015</v>
      </c>
      <c r="G146" t="inlineStr">
        <is>
          <t>15.8</t>
        </is>
      </c>
      <c r="H146" t="n">
        <v>15.8</v>
      </c>
      <c r="I146" t="inlineStr">
        <is>
          <t>Original</t>
        </is>
      </c>
      <c r="J146" t="inlineStr"/>
      <c r="K146" t="inlineStr"/>
      <c r="L146" t="inlineStr"/>
      <c r="M146" t="inlineStr"/>
      <c r="N146" t="inlineStr"/>
      <c r="O146" t="n">
        <v>2015</v>
      </c>
      <c r="P146" t="n">
        <v>2015</v>
      </c>
      <c r="Q146" t="n">
        <v>15.8</v>
      </c>
    </row>
    <row r="147">
      <c r="A147" t="inlineStr">
        <is>
          <t>Rutovitz 2015</t>
        </is>
      </c>
      <c r="B147" t="inlineStr">
        <is>
          <t>Hydro (small)</t>
        </is>
      </c>
      <c r="C147" t="inlineStr">
        <is>
          <t>Construction</t>
        </is>
      </c>
      <c r="D147" t="inlineStr">
        <is>
          <t>Direct</t>
        </is>
      </c>
      <c r="E147" t="inlineStr">
        <is>
          <t>job-yr/MW</t>
        </is>
      </c>
      <c r="F147" t="n">
        <v>2030</v>
      </c>
      <c r="G147">
        <f>G146*K147</f>
        <v/>
      </c>
      <c r="H147">
        <f>H146*K147</f>
        <v/>
      </c>
      <c r="I147" t="inlineStr">
        <is>
          <t>Rutovitz Table 9 decline to 2030</t>
        </is>
      </c>
      <c r="J147" t="inlineStr">
        <is>
          <t>Hydro-small</t>
        </is>
      </c>
      <c r="K147">
        <f>INDEX(Mappings_Rutovitz!$D$2:$D$14,MATCH(J147,Mappings_Rutovitz!$B$2:$B$14,0))</f>
        <v/>
      </c>
      <c r="L147" t="inlineStr"/>
      <c r="M147" t="inlineStr"/>
      <c r="N147" t="inlineStr">
        <is>
          <t>Rutovitz Table 9 Latin America 2030</t>
        </is>
      </c>
      <c r="O147" t="n">
        <v>2015</v>
      </c>
      <c r="P147" t="n">
        <v>2030</v>
      </c>
      <c r="Q147">
        <f>Q146*K147</f>
        <v/>
      </c>
    </row>
    <row r="148">
      <c r="A148" t="inlineStr">
        <is>
          <t>Rutovitz 2015</t>
        </is>
      </c>
      <c r="B148" t="inlineStr">
        <is>
          <t>Hydro (small)</t>
        </is>
      </c>
      <c r="C148" t="inlineStr">
        <is>
          <t>Construction</t>
        </is>
      </c>
      <c r="D148" t="inlineStr">
        <is>
          <t>Direct</t>
        </is>
      </c>
      <c r="E148" t="inlineStr">
        <is>
          <t>job-yr/MW</t>
        </is>
      </c>
      <c r="F148" t="n">
        <v>2050</v>
      </c>
      <c r="G148">
        <f>G147*IFERROR(IF(ISNUMBER(INDEX(Method_2030_2050!$D$9:$D$34,MATCH(L148,Method_2030_2050!$B$9:$B$34,0))),INDEX(Method_2030_2050!$D$9:$D$34,MATCH(L148,Method_2030_2050!$B$9:$B$34,0)),1),1)</f>
        <v/>
      </c>
      <c r="H148">
        <f>H147*IFERROR(IF(ISNUMBER(INDEX(Method_2030_2050!$D$9:$D$34,MATCH(L148,Method_2030_2050!$B$9:$B$34,0))),INDEX(Method_2030_2050!$D$9:$D$34,MATCH(L148,Method_2030_2050!$B$9:$B$34,0)),1),1)</f>
        <v/>
      </c>
      <c r="I148" t="inlineStr">
        <is>
          <t>CAPEX/OPEX ratio projection</t>
        </is>
      </c>
      <c r="J148" t="inlineStr">
        <is>
          <t>Hydro-small</t>
        </is>
      </c>
      <c r="K148" t="inlineStr"/>
      <c r="L148" t="inlineStr">
        <is>
          <t>Small RoR hydro power</t>
        </is>
      </c>
      <c r="M148" t="inlineStr"/>
      <c r="N148" t="inlineStr">
        <is>
          <t>CAPEX 2050/2030=0.994910686684318</t>
        </is>
      </c>
      <c r="O148" t="n">
        <v>2030</v>
      </c>
      <c r="P148" t="n">
        <v>2050</v>
      </c>
      <c r="Q148">
        <f>Q147*IFERROR(IF(ISNUMBER(INDEX(Method_2030_2050!$D$9:$D$34,MATCH(L148,Method_2030_2050!$B$9:$B$34,0))),INDEX(Method_2030_2050!$D$9:$D$34,MATCH(L148,Method_2030_2050!$B$9:$B$34,0)),1),1)</f>
        <v/>
      </c>
    </row>
    <row r="149">
      <c r="A149" t="inlineStr">
        <is>
          <t>Rutovitz 2015</t>
        </is>
      </c>
      <c r="B149" t="inlineStr">
        <is>
          <t>Hydro (small)</t>
        </is>
      </c>
      <c r="C149" t="inlineStr">
        <is>
          <t>Manufacturing</t>
        </is>
      </c>
      <c r="D149" t="inlineStr">
        <is>
          <t>Direct</t>
        </is>
      </c>
      <c r="E149" t="inlineStr">
        <is>
          <t>job-yr/MW</t>
        </is>
      </c>
      <c r="F149" t="n">
        <v>2015</v>
      </c>
      <c r="G149" t="inlineStr">
        <is>
          <t>10.9</t>
        </is>
      </c>
      <c r="H149" t="n">
        <v>10.9</v>
      </c>
      <c r="I149" t="inlineStr">
        <is>
          <t>Original</t>
        </is>
      </c>
      <c r="J149" t="inlineStr"/>
      <c r="K149" t="inlineStr"/>
      <c r="L149" t="inlineStr"/>
      <c r="M149" t="inlineStr"/>
      <c r="N149" t="inlineStr"/>
      <c r="O149" t="n">
        <v>2015</v>
      </c>
      <c r="P149" t="n">
        <v>2015</v>
      </c>
      <c r="Q149" t="n">
        <v>10.9</v>
      </c>
    </row>
    <row r="150">
      <c r="A150" t="inlineStr">
        <is>
          <t>Rutovitz 2015</t>
        </is>
      </c>
      <c r="B150" t="inlineStr">
        <is>
          <t>Hydro (small)</t>
        </is>
      </c>
      <c r="C150" t="inlineStr">
        <is>
          <t>Manufacturing</t>
        </is>
      </c>
      <c r="D150" t="inlineStr">
        <is>
          <t>Direct</t>
        </is>
      </c>
      <c r="E150" t="inlineStr">
        <is>
          <t>job-yr/MW</t>
        </is>
      </c>
      <c r="F150" t="n">
        <v>2030</v>
      </c>
      <c r="G150">
        <f>G149*K150</f>
        <v/>
      </c>
      <c r="H150">
        <f>H149*K150</f>
        <v/>
      </c>
      <c r="I150" t="inlineStr">
        <is>
          <t>Rutovitz Table 9 decline to 2030</t>
        </is>
      </c>
      <c r="J150" t="inlineStr">
        <is>
          <t>Hydro-small</t>
        </is>
      </c>
      <c r="K150">
        <f>INDEX(Mappings_Rutovitz!$D$2:$D$14,MATCH(J150,Mappings_Rutovitz!$B$2:$B$14,0))</f>
        <v/>
      </c>
      <c r="L150" t="inlineStr"/>
      <c r="M150" t="inlineStr"/>
      <c r="N150" t="inlineStr">
        <is>
          <t>Rutovitz Table 9 Latin America 2030</t>
        </is>
      </c>
      <c r="O150" t="n">
        <v>2015</v>
      </c>
      <c r="P150" t="n">
        <v>2030</v>
      </c>
      <c r="Q150">
        <f>Q149*K150</f>
        <v/>
      </c>
    </row>
    <row r="151">
      <c r="A151" t="inlineStr">
        <is>
          <t>Rutovitz 2015</t>
        </is>
      </c>
      <c r="B151" t="inlineStr">
        <is>
          <t>Hydro (small)</t>
        </is>
      </c>
      <c r="C151" t="inlineStr">
        <is>
          <t>Manufacturing</t>
        </is>
      </c>
      <c r="D151" t="inlineStr">
        <is>
          <t>Direct</t>
        </is>
      </c>
      <c r="E151" t="inlineStr">
        <is>
          <t>job-yr/MW</t>
        </is>
      </c>
      <c r="F151" t="n">
        <v>2050</v>
      </c>
      <c r="G151">
        <f>G150*IFERROR(IF(ISNUMBER(INDEX(Method_2030_2050!$D$9:$D$34,MATCH(L151,Method_2030_2050!$B$9:$B$34,0))),INDEX(Method_2030_2050!$D$9:$D$34,MATCH(L151,Method_2030_2050!$B$9:$B$34,0)),1),1)</f>
        <v/>
      </c>
      <c r="H151">
        <f>H150*IFERROR(IF(ISNUMBER(INDEX(Method_2030_2050!$D$9:$D$34,MATCH(L151,Method_2030_2050!$B$9:$B$34,0))),INDEX(Method_2030_2050!$D$9:$D$34,MATCH(L151,Method_2030_2050!$B$9:$B$34,0)),1),1)</f>
        <v/>
      </c>
      <c r="I151" t="inlineStr">
        <is>
          <t>CAPEX/OPEX ratio projection</t>
        </is>
      </c>
      <c r="J151" t="inlineStr">
        <is>
          <t>Hydro-small</t>
        </is>
      </c>
      <c r="K151" t="inlineStr"/>
      <c r="L151" t="inlineStr">
        <is>
          <t>Small RoR hydro power</t>
        </is>
      </c>
      <c r="M151" t="inlineStr"/>
      <c r="N151" t="inlineStr">
        <is>
          <t>CAPEX 2050/2030=0.994910686684318</t>
        </is>
      </c>
      <c r="O151" t="n">
        <v>2030</v>
      </c>
      <c r="P151" t="n">
        <v>2050</v>
      </c>
      <c r="Q151">
        <f>Q150*IFERROR(IF(ISNUMBER(INDEX(Method_2030_2050!$D$9:$D$34,MATCH(L151,Method_2030_2050!$B$9:$B$34,0))),INDEX(Method_2030_2050!$D$9:$D$34,MATCH(L151,Method_2030_2050!$B$9:$B$34,0)),1),1)</f>
        <v/>
      </c>
    </row>
    <row r="152">
      <c r="A152" t="inlineStr">
        <is>
          <t>Rutovitz 2015</t>
        </is>
      </c>
      <c r="B152" t="inlineStr">
        <is>
          <t>Hydro (small)</t>
        </is>
      </c>
      <c r="C152" t="inlineStr">
        <is>
          <t>O&amp;M</t>
        </is>
      </c>
      <c r="D152" t="inlineStr">
        <is>
          <t>Direct</t>
        </is>
      </c>
      <c r="E152" t="inlineStr">
        <is>
          <t>job/MW</t>
        </is>
      </c>
      <c r="F152" t="n">
        <v>2015</v>
      </c>
      <c r="G152" t="inlineStr">
        <is>
          <t>4.9</t>
        </is>
      </c>
      <c r="H152" t="n">
        <v>4.9</v>
      </c>
      <c r="I152" t="inlineStr">
        <is>
          <t>Original</t>
        </is>
      </c>
      <c r="J152" t="inlineStr"/>
      <c r="K152" t="inlineStr"/>
      <c r="L152" t="inlineStr"/>
      <c r="M152" t="inlineStr"/>
      <c r="N152" t="inlineStr"/>
      <c r="O152" t="n">
        <v>2015</v>
      </c>
      <c r="P152" t="n">
        <v>2015</v>
      </c>
      <c r="Q152" t="n">
        <v>4.9</v>
      </c>
    </row>
    <row r="153">
      <c r="A153" t="inlineStr">
        <is>
          <t>Rutovitz 2015</t>
        </is>
      </c>
      <c r="B153" t="inlineStr">
        <is>
          <t>Hydro (small)</t>
        </is>
      </c>
      <c r="C153" t="inlineStr">
        <is>
          <t>O&amp;M</t>
        </is>
      </c>
      <c r="D153" t="inlineStr">
        <is>
          <t>Direct</t>
        </is>
      </c>
      <c r="E153" t="inlineStr">
        <is>
          <t>job/MW</t>
        </is>
      </c>
      <c r="F153" t="n">
        <v>2030</v>
      </c>
      <c r="G153">
        <f>G152*K153</f>
        <v/>
      </c>
      <c r="H153">
        <f>H152*K153</f>
        <v/>
      </c>
      <c r="I153" t="inlineStr">
        <is>
          <t>Rutovitz Table 9 decline to 2030</t>
        </is>
      </c>
      <c r="J153" t="inlineStr">
        <is>
          <t>Hydro-small</t>
        </is>
      </c>
      <c r="K153">
        <f>INDEX(Mappings_Rutovitz!$D$2:$D$14,MATCH(J153,Mappings_Rutovitz!$B$2:$B$14,0))</f>
        <v/>
      </c>
      <c r="L153" t="inlineStr"/>
      <c r="M153" t="inlineStr"/>
      <c r="N153" t="inlineStr">
        <is>
          <t>Rutovitz Table 9 Latin America 2030</t>
        </is>
      </c>
      <c r="O153" t="n">
        <v>2015</v>
      </c>
      <c r="P153" t="n">
        <v>2030</v>
      </c>
      <c r="Q153">
        <f>Q152*K153</f>
        <v/>
      </c>
    </row>
    <row r="154">
      <c r="A154" t="inlineStr">
        <is>
          <t>Rutovitz 2015</t>
        </is>
      </c>
      <c r="B154" t="inlineStr">
        <is>
          <t>Hydro (small)</t>
        </is>
      </c>
      <c r="C154" t="inlineStr">
        <is>
          <t>O&amp;M</t>
        </is>
      </c>
      <c r="D154" t="inlineStr">
        <is>
          <t>Direct</t>
        </is>
      </c>
      <c r="E154" t="inlineStr">
        <is>
          <t>job/MW</t>
        </is>
      </c>
      <c r="F154" t="n">
        <v>2050</v>
      </c>
      <c r="G154">
        <f>G153*IFERROR(IF(ISNUMBER(INDEX(Method_2030_2050!$F$9:$F$34,MATCH(L154,Method_2030_2050!$B$9:$B$34,0))),INDEX(Method_2030_2050!$F$9:$F$34,MATCH(L154,Method_2030_2050!$B$9:$B$34,0)),1),1)</f>
        <v/>
      </c>
      <c r="H154">
        <f>H153*IFERROR(IF(ISNUMBER(INDEX(Method_2030_2050!$F$9:$F$34,MATCH(L154,Method_2030_2050!$B$9:$B$34,0))),INDEX(Method_2030_2050!$F$9:$F$34,MATCH(L154,Method_2030_2050!$B$9:$B$34,0)),1),1)</f>
        <v/>
      </c>
      <c r="I154" t="inlineStr">
        <is>
          <t>CAPEX/OPEX ratio projection</t>
        </is>
      </c>
      <c r="J154" t="inlineStr">
        <is>
          <t>Hydro-small</t>
        </is>
      </c>
      <c r="K154" t="inlineStr"/>
      <c r="L154" t="inlineStr">
        <is>
          <t>Small RoR hydro power</t>
        </is>
      </c>
      <c r="M154" t="inlineStr"/>
      <c r="N154" t="inlineStr">
        <is>
          <t>OPEX 2050/2030=0.993975903614458</t>
        </is>
      </c>
      <c r="O154" t="n">
        <v>2030</v>
      </c>
      <c r="P154" t="n">
        <v>2050</v>
      </c>
      <c r="Q154">
        <f>Q153*IFERROR(IF(ISNUMBER(INDEX(Method_2030_2050!$F$9:$F$34,MATCH(L154,Method_2030_2050!$B$9:$B$34,0))),INDEX(Method_2030_2050!$F$9:$F$34,MATCH(L154,Method_2030_2050!$B$9:$B$34,0)),1),1)</f>
        <v/>
      </c>
    </row>
    <row r="155">
      <c r="A155" t="inlineStr">
        <is>
          <t>Rutovitz 2015</t>
        </is>
      </c>
      <c r="B155" t="inlineStr">
        <is>
          <t>Nuclear</t>
        </is>
      </c>
      <c r="C155" t="inlineStr">
        <is>
          <t>Construction</t>
        </is>
      </c>
      <c r="D155" t="inlineStr">
        <is>
          <t>Direct</t>
        </is>
      </c>
      <c r="E155" t="inlineStr">
        <is>
          <t>job-yr/MW</t>
        </is>
      </c>
      <c r="F155" t="n">
        <v>2015</v>
      </c>
      <c r="G155" t="inlineStr">
        <is>
          <t>19.6</t>
        </is>
      </c>
      <c r="H155" t="n">
        <v>19.6</v>
      </c>
      <c r="I155" t="inlineStr">
        <is>
          <t>Original</t>
        </is>
      </c>
      <c r="J155" t="inlineStr"/>
      <c r="K155" t="inlineStr"/>
      <c r="L155" t="inlineStr"/>
      <c r="M155" t="inlineStr"/>
      <c r="N155" t="inlineStr"/>
      <c r="O155" t="n">
        <v>2015</v>
      </c>
      <c r="P155" t="n">
        <v>2015</v>
      </c>
      <c r="Q155" t="n">
        <v>19.6</v>
      </c>
    </row>
    <row r="156">
      <c r="A156" t="inlineStr">
        <is>
          <t>Rutovitz 2015</t>
        </is>
      </c>
      <c r="B156" t="inlineStr">
        <is>
          <t>Nuclear</t>
        </is>
      </c>
      <c r="C156" t="inlineStr">
        <is>
          <t>Construction</t>
        </is>
      </c>
      <c r="D156" t="inlineStr">
        <is>
          <t>Direct</t>
        </is>
      </c>
      <c r="E156" t="inlineStr">
        <is>
          <t>job-yr/MW</t>
        </is>
      </c>
      <c r="F156" t="n">
        <v>2030</v>
      </c>
      <c r="G156">
        <f>G155*K156</f>
        <v/>
      </c>
      <c r="H156">
        <f>H155*K156</f>
        <v/>
      </c>
      <c r="I156" t="inlineStr">
        <is>
          <t>Rutovitz Table 9 decline to 2030</t>
        </is>
      </c>
      <c r="J156" t="inlineStr">
        <is>
          <t>Nuclear</t>
        </is>
      </c>
      <c r="K156">
        <f>INDEX(Mappings_Rutovitz!$D$2:$D$14,MATCH(J156,Mappings_Rutovitz!$B$2:$B$14,0))</f>
        <v/>
      </c>
      <c r="L156" t="inlineStr"/>
      <c r="M156" t="inlineStr"/>
      <c r="N156" t="inlineStr">
        <is>
          <t>Rutovitz Table 9 Latin America 2030</t>
        </is>
      </c>
      <c r="O156" t="n">
        <v>2015</v>
      </c>
      <c r="P156" t="n">
        <v>2030</v>
      </c>
      <c r="Q156">
        <f>Q155*K156</f>
        <v/>
      </c>
    </row>
    <row r="157">
      <c r="A157" t="inlineStr">
        <is>
          <t>Rutovitz 2015</t>
        </is>
      </c>
      <c r="B157" t="inlineStr">
        <is>
          <t>Nuclear</t>
        </is>
      </c>
      <c r="C157" t="inlineStr">
        <is>
          <t>Construction</t>
        </is>
      </c>
      <c r="D157" t="inlineStr">
        <is>
          <t>Direct</t>
        </is>
      </c>
      <c r="E157" t="inlineStr">
        <is>
          <t>job-yr/MW</t>
        </is>
      </c>
      <c r="F157" t="n">
        <v>2050</v>
      </c>
      <c r="G157">
        <f>G156*IFERROR(IF(ISNUMBER(INDEX(Method_2030_2050!$D$9:$D$34,MATCH(L157,Method_2030_2050!$B$9:$B$34,0))),INDEX(Method_2030_2050!$D$9:$D$34,MATCH(L157,Method_2030_2050!$B$9:$B$34,0)),1),1)</f>
        <v/>
      </c>
      <c r="H157">
        <f>H156*IFERROR(IF(ISNUMBER(INDEX(Method_2030_2050!$D$9:$D$34,MATCH(L157,Method_2030_2050!$B$9:$B$34,0))),INDEX(Method_2030_2050!$D$9:$D$34,MATCH(L157,Method_2030_2050!$B$9:$B$34,0)),1),1)</f>
        <v/>
      </c>
      <c r="I157" t="inlineStr">
        <is>
          <t>CAPEX/OPEX ratio projection</t>
        </is>
      </c>
      <c r="J157" t="inlineStr">
        <is>
          <t>Nuclear</t>
        </is>
      </c>
      <c r="K157" t="inlineStr"/>
      <c r="L157" t="inlineStr">
        <is>
          <t>Nuclear PWR</t>
        </is>
      </c>
      <c r="M157" t="inlineStr"/>
      <c r="N157" t="inlineStr">
        <is>
          <t>CAPEX 2050/2030=0.860759493670886</t>
        </is>
      </c>
      <c r="O157" t="n">
        <v>2030</v>
      </c>
      <c r="P157" t="n">
        <v>2050</v>
      </c>
      <c r="Q157">
        <f>Q156*IFERROR(IF(ISNUMBER(INDEX(Method_2030_2050!$D$9:$D$34,MATCH(L157,Method_2030_2050!$B$9:$B$34,0))),INDEX(Method_2030_2050!$D$9:$D$34,MATCH(L157,Method_2030_2050!$B$9:$B$34,0)),1),1)</f>
        <v/>
      </c>
    </row>
    <row r="158">
      <c r="A158" t="inlineStr">
        <is>
          <t>Rutovitz 2015</t>
        </is>
      </c>
      <c r="B158" t="inlineStr">
        <is>
          <t>Nuclear</t>
        </is>
      </c>
      <c r="C158" t="inlineStr">
        <is>
          <t>Manufacturing</t>
        </is>
      </c>
      <c r="D158" t="inlineStr">
        <is>
          <t>Direct</t>
        </is>
      </c>
      <c r="E158" t="inlineStr">
        <is>
          <t>job-yr/MW</t>
        </is>
      </c>
      <c r="F158" t="n">
        <v>2015</v>
      </c>
      <c r="G158" t="inlineStr">
        <is>
          <t>1.3</t>
        </is>
      </c>
      <c r="H158" t="n">
        <v>1.3</v>
      </c>
      <c r="I158" t="inlineStr">
        <is>
          <t>Original</t>
        </is>
      </c>
      <c r="J158" t="inlineStr"/>
      <c r="K158" t="inlineStr"/>
      <c r="L158" t="inlineStr"/>
      <c r="M158" t="inlineStr"/>
      <c r="N158" t="inlineStr"/>
      <c r="O158" t="n">
        <v>2015</v>
      </c>
      <c r="P158" t="n">
        <v>2015</v>
      </c>
      <c r="Q158" t="n">
        <v>1.3</v>
      </c>
    </row>
    <row r="159">
      <c r="A159" t="inlineStr">
        <is>
          <t>Rutovitz 2015</t>
        </is>
      </c>
      <c r="B159" t="inlineStr">
        <is>
          <t>Nuclear</t>
        </is>
      </c>
      <c r="C159" t="inlineStr">
        <is>
          <t>Manufacturing</t>
        </is>
      </c>
      <c r="D159" t="inlineStr">
        <is>
          <t>Direct</t>
        </is>
      </c>
      <c r="E159" t="inlineStr">
        <is>
          <t>job-yr/MW</t>
        </is>
      </c>
      <c r="F159" t="n">
        <v>2030</v>
      </c>
      <c r="G159">
        <f>G158*K159</f>
        <v/>
      </c>
      <c r="H159">
        <f>H158*K159</f>
        <v/>
      </c>
      <c r="I159" t="inlineStr">
        <is>
          <t>Rutovitz Table 9 decline to 2030</t>
        </is>
      </c>
      <c r="J159" t="inlineStr">
        <is>
          <t>Nuclear</t>
        </is>
      </c>
      <c r="K159">
        <f>INDEX(Mappings_Rutovitz!$D$2:$D$14,MATCH(J159,Mappings_Rutovitz!$B$2:$B$14,0))</f>
        <v/>
      </c>
      <c r="L159" t="inlineStr"/>
      <c r="M159" t="inlineStr"/>
      <c r="N159" t="inlineStr">
        <is>
          <t>Rutovitz Table 9 Latin America 2030</t>
        </is>
      </c>
      <c r="O159" t="n">
        <v>2015</v>
      </c>
      <c r="P159" t="n">
        <v>2030</v>
      </c>
      <c r="Q159">
        <f>Q158*K159</f>
        <v/>
      </c>
    </row>
    <row r="160">
      <c r="A160" t="inlineStr">
        <is>
          <t>Rutovitz 2015</t>
        </is>
      </c>
      <c r="B160" t="inlineStr">
        <is>
          <t>Nuclear</t>
        </is>
      </c>
      <c r="C160" t="inlineStr">
        <is>
          <t>Manufacturing</t>
        </is>
      </c>
      <c r="D160" t="inlineStr">
        <is>
          <t>Direct</t>
        </is>
      </c>
      <c r="E160" t="inlineStr">
        <is>
          <t>job-yr/MW</t>
        </is>
      </c>
      <c r="F160" t="n">
        <v>2050</v>
      </c>
      <c r="G160">
        <f>G159*IFERROR(IF(ISNUMBER(INDEX(Method_2030_2050!$D$9:$D$34,MATCH(L160,Method_2030_2050!$B$9:$B$34,0))),INDEX(Method_2030_2050!$D$9:$D$34,MATCH(L160,Method_2030_2050!$B$9:$B$34,0)),1),1)</f>
        <v/>
      </c>
      <c r="H160">
        <f>H159*IFERROR(IF(ISNUMBER(INDEX(Method_2030_2050!$D$9:$D$34,MATCH(L160,Method_2030_2050!$B$9:$B$34,0))),INDEX(Method_2030_2050!$D$9:$D$34,MATCH(L160,Method_2030_2050!$B$9:$B$34,0)),1),1)</f>
        <v/>
      </c>
      <c r="I160" t="inlineStr">
        <is>
          <t>CAPEX/OPEX ratio projection</t>
        </is>
      </c>
      <c r="J160" t="inlineStr">
        <is>
          <t>Nuclear</t>
        </is>
      </c>
      <c r="K160" t="inlineStr"/>
      <c r="L160" t="inlineStr">
        <is>
          <t>Nuclear PWR</t>
        </is>
      </c>
      <c r="M160" t="inlineStr"/>
      <c r="N160" t="inlineStr">
        <is>
          <t>CAPEX 2050/2030=0.860759493670886</t>
        </is>
      </c>
      <c r="O160" t="n">
        <v>2030</v>
      </c>
      <c r="P160" t="n">
        <v>2050</v>
      </c>
      <c r="Q160">
        <f>Q159*IFERROR(IF(ISNUMBER(INDEX(Method_2030_2050!$D$9:$D$34,MATCH(L160,Method_2030_2050!$B$9:$B$34,0))),INDEX(Method_2030_2050!$D$9:$D$34,MATCH(L160,Method_2030_2050!$B$9:$B$34,0)),1),1)</f>
        <v/>
      </c>
    </row>
    <row r="161">
      <c r="A161" t="inlineStr">
        <is>
          <t>Rutovitz 2015</t>
        </is>
      </c>
      <c r="B161" t="inlineStr">
        <is>
          <t>Nuclear</t>
        </is>
      </c>
      <c r="C161" t="inlineStr">
        <is>
          <t>O&amp;M</t>
        </is>
      </c>
      <c r="D161" t="inlineStr">
        <is>
          <t>Direct</t>
        </is>
      </c>
      <c r="E161" t="inlineStr">
        <is>
          <t>job/MW</t>
        </is>
      </c>
      <c r="F161" t="n">
        <v>2015</v>
      </c>
      <c r="G161" t="inlineStr">
        <is>
          <t>1.15</t>
        </is>
      </c>
      <c r="H161" t="n">
        <v>1.15</v>
      </c>
      <c r="I161" t="inlineStr">
        <is>
          <t>Original</t>
        </is>
      </c>
      <c r="J161" t="inlineStr"/>
      <c r="K161" t="inlineStr"/>
      <c r="L161" t="inlineStr"/>
      <c r="M161" t="inlineStr"/>
      <c r="N161" t="inlineStr"/>
      <c r="O161" t="n">
        <v>2015</v>
      </c>
      <c r="P161" t="n">
        <v>2015</v>
      </c>
      <c r="Q161" t="n">
        <v>1.15</v>
      </c>
    </row>
    <row r="162">
      <c r="A162" t="inlineStr">
        <is>
          <t>Rutovitz 2015</t>
        </is>
      </c>
      <c r="B162" t="inlineStr">
        <is>
          <t>Nuclear</t>
        </is>
      </c>
      <c r="C162" t="inlineStr">
        <is>
          <t>O&amp;M</t>
        </is>
      </c>
      <c r="D162" t="inlineStr">
        <is>
          <t>Direct</t>
        </is>
      </c>
      <c r="E162" t="inlineStr">
        <is>
          <t>job/MW</t>
        </is>
      </c>
      <c r="F162" t="n">
        <v>2030</v>
      </c>
      <c r="G162">
        <f>G161*K162</f>
        <v/>
      </c>
      <c r="H162">
        <f>H161*K162</f>
        <v/>
      </c>
      <c r="I162" t="inlineStr">
        <is>
          <t>Rutovitz Table 9 decline to 2030</t>
        </is>
      </c>
      <c r="J162" t="inlineStr">
        <is>
          <t>Nuclear</t>
        </is>
      </c>
      <c r="K162">
        <f>INDEX(Mappings_Rutovitz!$D$2:$D$14,MATCH(J162,Mappings_Rutovitz!$B$2:$B$14,0))</f>
        <v/>
      </c>
      <c r="L162" t="inlineStr"/>
      <c r="M162" t="inlineStr"/>
      <c r="N162" t="inlineStr">
        <is>
          <t>Rutovitz Table 9 Latin America 2030</t>
        </is>
      </c>
      <c r="O162" t="n">
        <v>2015</v>
      </c>
      <c r="P162" t="n">
        <v>2030</v>
      </c>
      <c r="Q162">
        <f>Q161*K162</f>
        <v/>
      </c>
    </row>
    <row r="163">
      <c r="A163" t="inlineStr">
        <is>
          <t>Rutovitz 2015</t>
        </is>
      </c>
      <c r="B163" t="inlineStr">
        <is>
          <t>Nuclear</t>
        </is>
      </c>
      <c r="C163" t="inlineStr">
        <is>
          <t>O&amp;M</t>
        </is>
      </c>
      <c r="D163" t="inlineStr">
        <is>
          <t>Direct</t>
        </is>
      </c>
      <c r="E163" t="inlineStr">
        <is>
          <t>job/MW</t>
        </is>
      </c>
      <c r="F163" t="n">
        <v>2050</v>
      </c>
      <c r="G163">
        <f>G162*IFERROR(IF(ISNUMBER(INDEX(Method_2030_2050!$F$9:$F$34,MATCH(L163,Method_2030_2050!$B$9:$B$34,0))),INDEX(Method_2030_2050!$F$9:$F$34,MATCH(L163,Method_2030_2050!$B$9:$B$34,0)),1),1)</f>
        <v/>
      </c>
      <c r="H163">
        <f>H162*IFERROR(IF(ISNUMBER(INDEX(Method_2030_2050!$F$9:$F$34,MATCH(L163,Method_2030_2050!$B$9:$B$34,0))),INDEX(Method_2030_2050!$F$9:$F$34,MATCH(L163,Method_2030_2050!$B$9:$B$34,0)),1),1)</f>
        <v/>
      </c>
      <c r="I163" t="inlineStr">
        <is>
          <t>CAPEX/OPEX ratio projection</t>
        </is>
      </c>
      <c r="J163" t="inlineStr">
        <is>
          <t>Nuclear</t>
        </is>
      </c>
      <c r="K163" t="inlineStr"/>
      <c r="L163" t="inlineStr">
        <is>
          <t>Nuclear PWR</t>
        </is>
      </c>
      <c r="M163" t="inlineStr"/>
      <c r="N163" t="inlineStr">
        <is>
          <t>OPEX 2050/2030=0.9416666666666668</t>
        </is>
      </c>
      <c r="O163" t="n">
        <v>2030</v>
      </c>
      <c r="P163" t="n">
        <v>2050</v>
      </c>
      <c r="Q163">
        <f>Q162*IFERROR(IF(ISNUMBER(INDEX(Method_2030_2050!$F$9:$F$34,MATCH(L163,Method_2030_2050!$B$9:$B$34,0))),INDEX(Method_2030_2050!$F$9:$F$34,MATCH(L163,Method_2030_2050!$B$9:$B$34,0)),1),1)</f>
        <v/>
      </c>
    </row>
    <row r="164">
      <c r="A164" t="inlineStr">
        <is>
          <t>Rutovitz 2015</t>
        </is>
      </c>
      <c r="B164" t="inlineStr">
        <is>
          <t>Ocean</t>
        </is>
      </c>
      <c r="C164" t="inlineStr">
        <is>
          <t>Construction</t>
        </is>
      </c>
      <c r="D164" t="inlineStr">
        <is>
          <t>Direct</t>
        </is>
      </c>
      <c r="E164" t="inlineStr">
        <is>
          <t>job-yr/MW</t>
        </is>
      </c>
      <c r="F164" t="n">
        <v>2015</v>
      </c>
      <c r="G164" t="inlineStr">
        <is>
          <t>10.2</t>
        </is>
      </c>
      <c r="H164" t="n">
        <v>10.2</v>
      </c>
      <c r="I164" t="inlineStr">
        <is>
          <t>Original</t>
        </is>
      </c>
      <c r="J164" t="inlineStr"/>
      <c r="K164" t="inlineStr"/>
      <c r="L164" t="inlineStr"/>
      <c r="M164" t="inlineStr"/>
      <c r="N164" t="inlineStr"/>
      <c r="O164" t="n">
        <v>2015</v>
      </c>
      <c r="P164" t="n">
        <v>2015</v>
      </c>
      <c r="Q164" t="n">
        <v>10.2</v>
      </c>
    </row>
    <row r="165">
      <c r="A165" t="inlineStr">
        <is>
          <t>Rutovitz 2015</t>
        </is>
      </c>
      <c r="B165" t="inlineStr">
        <is>
          <t>Ocean</t>
        </is>
      </c>
      <c r="C165" t="inlineStr">
        <is>
          <t>Construction</t>
        </is>
      </c>
      <c r="D165" t="inlineStr">
        <is>
          <t>Direct</t>
        </is>
      </c>
      <c r="E165" t="inlineStr">
        <is>
          <t>job-yr/MW</t>
        </is>
      </c>
      <c r="F165" t="n">
        <v>2030</v>
      </c>
      <c r="G165">
        <f>G164*K165</f>
        <v/>
      </c>
      <c r="H165">
        <f>H164*K165</f>
        <v/>
      </c>
      <c r="I165" t="inlineStr">
        <is>
          <t>Rutovitz Table 9 decline to 2030</t>
        </is>
      </c>
      <c r="J165" t="inlineStr">
        <is>
          <t>Ocean</t>
        </is>
      </c>
      <c r="K165">
        <f>INDEX(Mappings_Rutovitz!$D$2:$D$14,MATCH(J165,Mappings_Rutovitz!$B$2:$B$14,0))</f>
        <v/>
      </c>
      <c r="L165" t="inlineStr"/>
      <c r="M165" t="inlineStr"/>
      <c r="N165" t="inlineStr">
        <is>
          <t>Rutovitz Table 9 Latin America 2030</t>
        </is>
      </c>
      <c r="O165" t="n">
        <v>2015</v>
      </c>
      <c r="P165" t="n">
        <v>2030</v>
      </c>
      <c r="Q165">
        <f>Q164*K165</f>
        <v/>
      </c>
    </row>
    <row r="166">
      <c r="A166" t="inlineStr">
        <is>
          <t>Rutovitz 2015</t>
        </is>
      </c>
      <c r="B166" t="inlineStr">
        <is>
          <t>Ocean</t>
        </is>
      </c>
      <c r="C166" t="inlineStr">
        <is>
          <t>Construction</t>
        </is>
      </c>
      <c r="D166" t="inlineStr">
        <is>
          <t>Direct</t>
        </is>
      </c>
      <c r="E166" t="inlineStr">
        <is>
          <t>job-yr/MW</t>
        </is>
      </c>
      <c r="F166" t="n">
        <v>2050</v>
      </c>
      <c r="G166">
        <f>G165*1</f>
        <v/>
      </c>
      <c r="H166">
        <f>H165*1</f>
        <v/>
      </c>
      <c r="I166" t="inlineStr">
        <is>
          <t>Constant projection for unmapped catalogue ratio</t>
        </is>
      </c>
      <c r="J166" t="inlineStr">
        <is>
          <t>Ocean</t>
        </is>
      </c>
      <c r="K166" t="inlineStr"/>
      <c r="L166" t="inlineStr"/>
      <c r="M166" t="inlineStr"/>
      <c r="N166" t="inlineStr">
        <is>
          <t>No catalogue ratio mapping; value held constant</t>
        </is>
      </c>
      <c r="O166" t="n">
        <v>2030</v>
      </c>
      <c r="P166" t="n">
        <v>2050</v>
      </c>
      <c r="Q166">
        <f>Q165*1</f>
        <v/>
      </c>
    </row>
    <row r="167">
      <c r="A167" t="inlineStr">
        <is>
          <t>Rutovitz 2015</t>
        </is>
      </c>
      <c r="B167" t="inlineStr">
        <is>
          <t>Ocean</t>
        </is>
      </c>
      <c r="C167" t="inlineStr">
        <is>
          <t>Manufacturing</t>
        </is>
      </c>
      <c r="D167" t="inlineStr">
        <is>
          <t>Direct</t>
        </is>
      </c>
      <c r="E167" t="inlineStr">
        <is>
          <t>job-yr/MW</t>
        </is>
      </c>
      <c r="F167" t="n">
        <v>2015</v>
      </c>
      <c r="G167" t="inlineStr">
        <is>
          <t>10.2</t>
        </is>
      </c>
      <c r="H167" t="n">
        <v>10.2</v>
      </c>
      <c r="I167" t="inlineStr">
        <is>
          <t>Original</t>
        </is>
      </c>
      <c r="J167" t="inlineStr"/>
      <c r="K167" t="inlineStr"/>
      <c r="L167" t="inlineStr"/>
      <c r="M167" t="inlineStr"/>
      <c r="N167" t="inlineStr"/>
      <c r="O167" t="n">
        <v>2015</v>
      </c>
      <c r="P167" t="n">
        <v>2015</v>
      </c>
      <c r="Q167" t="n">
        <v>10.2</v>
      </c>
    </row>
    <row r="168">
      <c r="A168" t="inlineStr">
        <is>
          <t>Rutovitz 2015</t>
        </is>
      </c>
      <c r="B168" t="inlineStr">
        <is>
          <t>Ocean</t>
        </is>
      </c>
      <c r="C168" t="inlineStr">
        <is>
          <t>Manufacturing</t>
        </is>
      </c>
      <c r="D168" t="inlineStr">
        <is>
          <t>Direct</t>
        </is>
      </c>
      <c r="E168" t="inlineStr">
        <is>
          <t>job-yr/MW</t>
        </is>
      </c>
      <c r="F168" t="n">
        <v>2030</v>
      </c>
      <c r="G168">
        <f>G167*K168</f>
        <v/>
      </c>
      <c r="H168">
        <f>H167*K168</f>
        <v/>
      </c>
      <c r="I168" t="inlineStr">
        <is>
          <t>Rutovitz Table 9 decline to 2030</t>
        </is>
      </c>
      <c r="J168" t="inlineStr">
        <is>
          <t>Ocean</t>
        </is>
      </c>
      <c r="K168">
        <f>INDEX(Mappings_Rutovitz!$D$2:$D$14,MATCH(J168,Mappings_Rutovitz!$B$2:$B$14,0))</f>
        <v/>
      </c>
      <c r="L168" t="inlineStr"/>
      <c r="M168" t="inlineStr"/>
      <c r="N168" t="inlineStr">
        <is>
          <t>Rutovitz Table 9 Latin America 2030</t>
        </is>
      </c>
      <c r="O168" t="n">
        <v>2015</v>
      </c>
      <c r="P168" t="n">
        <v>2030</v>
      </c>
      <c r="Q168">
        <f>Q167*K168</f>
        <v/>
      </c>
    </row>
    <row r="169">
      <c r="A169" t="inlineStr">
        <is>
          <t>Rutovitz 2015</t>
        </is>
      </c>
      <c r="B169" t="inlineStr">
        <is>
          <t>Ocean</t>
        </is>
      </c>
      <c r="C169" t="inlineStr">
        <is>
          <t>Manufacturing</t>
        </is>
      </c>
      <c r="D169" t="inlineStr">
        <is>
          <t>Direct</t>
        </is>
      </c>
      <c r="E169" t="inlineStr">
        <is>
          <t>job-yr/MW</t>
        </is>
      </c>
      <c r="F169" t="n">
        <v>2050</v>
      </c>
      <c r="G169">
        <f>G168*1</f>
        <v/>
      </c>
      <c r="H169">
        <f>H168*1</f>
        <v/>
      </c>
      <c r="I169" t="inlineStr">
        <is>
          <t>Constant projection for unmapped catalogue ratio</t>
        </is>
      </c>
      <c r="J169" t="inlineStr">
        <is>
          <t>Ocean</t>
        </is>
      </c>
      <c r="K169" t="inlineStr"/>
      <c r="L169" t="inlineStr"/>
      <c r="M169" t="inlineStr"/>
      <c r="N169" t="inlineStr">
        <is>
          <t>No catalogue ratio mapping; value held constant</t>
        </is>
      </c>
      <c r="O169" t="n">
        <v>2030</v>
      </c>
      <c r="P169" t="n">
        <v>2050</v>
      </c>
      <c r="Q169">
        <f>Q168*1</f>
        <v/>
      </c>
    </row>
    <row r="170">
      <c r="A170" t="inlineStr">
        <is>
          <t>Rutovitz 2015</t>
        </is>
      </c>
      <c r="B170" t="inlineStr">
        <is>
          <t>Ocean</t>
        </is>
      </c>
      <c r="C170" t="inlineStr">
        <is>
          <t>O&amp;M</t>
        </is>
      </c>
      <c r="D170" t="inlineStr">
        <is>
          <t>Direct</t>
        </is>
      </c>
      <c r="E170" t="inlineStr">
        <is>
          <t>job/MW</t>
        </is>
      </c>
      <c r="F170" t="n">
        <v>2015</v>
      </c>
      <c r="G170" t="inlineStr">
        <is>
          <t>0.6</t>
        </is>
      </c>
      <c r="H170" t="n">
        <v>0.6</v>
      </c>
      <c r="I170" t="inlineStr">
        <is>
          <t>Original</t>
        </is>
      </c>
      <c r="J170" t="inlineStr"/>
      <c r="K170" t="inlineStr"/>
      <c r="L170" t="inlineStr"/>
      <c r="M170" t="inlineStr"/>
      <c r="N170" t="inlineStr"/>
      <c r="O170" t="n">
        <v>2015</v>
      </c>
      <c r="P170" t="n">
        <v>2015</v>
      </c>
      <c r="Q170" t="n">
        <v>0.6</v>
      </c>
    </row>
    <row r="171">
      <c r="A171" t="inlineStr">
        <is>
          <t>Rutovitz 2015</t>
        </is>
      </c>
      <c r="B171" t="inlineStr">
        <is>
          <t>Ocean</t>
        </is>
      </c>
      <c r="C171" t="inlineStr">
        <is>
          <t>O&amp;M</t>
        </is>
      </c>
      <c r="D171" t="inlineStr">
        <is>
          <t>Direct</t>
        </is>
      </c>
      <c r="E171" t="inlineStr">
        <is>
          <t>job/MW</t>
        </is>
      </c>
      <c r="F171" t="n">
        <v>2030</v>
      </c>
      <c r="G171">
        <f>G170*K171</f>
        <v/>
      </c>
      <c r="H171">
        <f>H170*K171</f>
        <v/>
      </c>
      <c r="I171" t="inlineStr">
        <is>
          <t>Rutovitz Table 9 decline to 2030</t>
        </is>
      </c>
      <c r="J171" t="inlineStr">
        <is>
          <t>Ocean</t>
        </is>
      </c>
      <c r="K171">
        <f>INDEX(Mappings_Rutovitz!$D$2:$D$14,MATCH(J171,Mappings_Rutovitz!$B$2:$B$14,0))</f>
        <v/>
      </c>
      <c r="L171" t="inlineStr"/>
      <c r="M171" t="inlineStr"/>
      <c r="N171" t="inlineStr">
        <is>
          <t>Rutovitz Table 9 Latin America 2030</t>
        </is>
      </c>
      <c r="O171" t="n">
        <v>2015</v>
      </c>
      <c r="P171" t="n">
        <v>2030</v>
      </c>
      <c r="Q171">
        <f>Q170*K171</f>
        <v/>
      </c>
    </row>
    <row r="172">
      <c r="A172" t="inlineStr">
        <is>
          <t>Rutovitz 2015</t>
        </is>
      </c>
      <c r="B172" t="inlineStr">
        <is>
          <t>Ocean</t>
        </is>
      </c>
      <c r="C172" t="inlineStr">
        <is>
          <t>O&amp;M</t>
        </is>
      </c>
      <c r="D172" t="inlineStr">
        <is>
          <t>Direct</t>
        </is>
      </c>
      <c r="E172" t="inlineStr">
        <is>
          <t>job/MW</t>
        </is>
      </c>
      <c r="F172" t="n">
        <v>2050</v>
      </c>
      <c r="G172">
        <f>G171*1</f>
        <v/>
      </c>
      <c r="H172">
        <f>H171*1</f>
        <v/>
      </c>
      <c r="I172" t="inlineStr">
        <is>
          <t>Constant projection for unmapped catalogue ratio</t>
        </is>
      </c>
      <c r="J172" t="inlineStr">
        <is>
          <t>Ocean</t>
        </is>
      </c>
      <c r="K172" t="inlineStr"/>
      <c r="L172" t="inlineStr"/>
      <c r="M172" t="inlineStr"/>
      <c r="N172" t="inlineStr">
        <is>
          <t>No catalogue ratio mapping; value held constant</t>
        </is>
      </c>
      <c r="O172" t="n">
        <v>2030</v>
      </c>
      <c r="P172" t="n">
        <v>2050</v>
      </c>
      <c r="Q172">
        <f>Q171*1</f>
        <v/>
      </c>
    </row>
    <row r="173">
      <c r="A173" t="inlineStr">
        <is>
          <t>Rutovitz 2015</t>
        </is>
      </c>
      <c r="B173" t="inlineStr">
        <is>
          <t>Offshore wind</t>
        </is>
      </c>
      <c r="C173" t="inlineStr">
        <is>
          <t>Construction</t>
        </is>
      </c>
      <c r="D173" t="inlineStr">
        <is>
          <t>Direct</t>
        </is>
      </c>
      <c r="E173" t="inlineStr">
        <is>
          <t>job-yr/MW</t>
        </is>
      </c>
      <c r="F173" t="n">
        <v>2015</v>
      </c>
      <c r="G173" t="inlineStr">
        <is>
          <t>8</t>
        </is>
      </c>
      <c r="H173" t="n">
        <v>8</v>
      </c>
      <c r="I173" t="inlineStr">
        <is>
          <t>Original</t>
        </is>
      </c>
      <c r="J173" t="inlineStr"/>
      <c r="K173" t="inlineStr"/>
      <c r="L173" t="inlineStr"/>
      <c r="M173" t="inlineStr"/>
      <c r="N173" t="inlineStr"/>
      <c r="O173" t="n">
        <v>2015</v>
      </c>
      <c r="P173" t="n">
        <v>2015</v>
      </c>
      <c r="Q173" t="n">
        <v>8</v>
      </c>
    </row>
    <row r="174">
      <c r="A174" t="inlineStr">
        <is>
          <t>Rutovitz 2015</t>
        </is>
      </c>
      <c r="B174" t="inlineStr">
        <is>
          <t>Offshore wind</t>
        </is>
      </c>
      <c r="C174" t="inlineStr">
        <is>
          <t>Construction</t>
        </is>
      </c>
      <c r="D174" t="inlineStr">
        <is>
          <t>Direct</t>
        </is>
      </c>
      <c r="E174" t="inlineStr">
        <is>
          <t>job-yr/MW</t>
        </is>
      </c>
      <c r="F174" t="n">
        <v>2030</v>
      </c>
      <c r="G174">
        <f>G173*K174</f>
        <v/>
      </c>
      <c r="H174">
        <f>H173*K174</f>
        <v/>
      </c>
      <c r="I174" t="inlineStr">
        <is>
          <t>Rutovitz Table 9 decline to 2030</t>
        </is>
      </c>
      <c r="J174" t="inlineStr">
        <is>
          <t>Wind offshore</t>
        </is>
      </c>
      <c r="K174">
        <f>INDEX(Mappings_Rutovitz!$D$2:$D$14,MATCH(J174,Mappings_Rutovitz!$B$2:$B$14,0))</f>
        <v/>
      </c>
      <c r="L174" t="inlineStr"/>
      <c r="M174" t="inlineStr"/>
      <c r="N174" t="inlineStr">
        <is>
          <t>Rutovitz Table 9 Latin America 2030</t>
        </is>
      </c>
      <c r="O174" t="n">
        <v>2015</v>
      </c>
      <c r="P174" t="n">
        <v>2030</v>
      </c>
      <c r="Q174">
        <f>Q173*K174</f>
        <v/>
      </c>
    </row>
    <row r="175">
      <c r="A175" t="inlineStr">
        <is>
          <t>Rutovitz 2015</t>
        </is>
      </c>
      <c r="B175" t="inlineStr">
        <is>
          <t>Offshore wind</t>
        </is>
      </c>
      <c r="C175" t="inlineStr">
        <is>
          <t>Construction</t>
        </is>
      </c>
      <c r="D175" t="inlineStr">
        <is>
          <t>Direct</t>
        </is>
      </c>
      <c r="E175" t="inlineStr">
        <is>
          <t>job-yr/MW</t>
        </is>
      </c>
      <c r="F175" t="n">
        <v>2050</v>
      </c>
      <c r="G175">
        <f>G174*IFERROR(IF(ISNUMBER(INDEX(Method_2030_2050!$D$9:$D$34,MATCH(L175,Method_2030_2050!$B$9:$B$34,0))),INDEX(Method_2030_2050!$D$9:$D$34,MATCH(L175,Method_2030_2050!$B$9:$B$34,0)),1),1)</f>
        <v/>
      </c>
      <c r="H175">
        <f>H174*IFERROR(IF(ISNUMBER(INDEX(Method_2030_2050!$D$9:$D$34,MATCH(L175,Method_2030_2050!$B$9:$B$34,0))),INDEX(Method_2030_2050!$D$9:$D$34,MATCH(L175,Method_2030_2050!$B$9:$B$34,0)),1),1)</f>
        <v/>
      </c>
      <c r="I175" t="inlineStr">
        <is>
          <t>CAPEX/OPEX ratio projection</t>
        </is>
      </c>
      <c r="J175" t="inlineStr">
        <is>
          <t>Wind offshore</t>
        </is>
      </c>
      <c r="K175" t="inlineStr"/>
      <c r="L175" t="inlineStr">
        <is>
          <t>Wind Offshore fixed bottom</t>
        </is>
      </c>
      <c r="M175" t="inlineStr"/>
      <c r="N175" t="inlineStr">
        <is>
          <t>CAPEX 2050/2030=0.7005449997448997</t>
        </is>
      </c>
      <c r="O175" t="n">
        <v>2030</v>
      </c>
      <c r="P175" t="n">
        <v>2050</v>
      </c>
      <c r="Q175">
        <f>Q174*IFERROR(IF(ISNUMBER(INDEX(Method_2030_2050!$D$9:$D$34,MATCH(L175,Method_2030_2050!$B$9:$B$34,0))),INDEX(Method_2030_2050!$D$9:$D$34,MATCH(L175,Method_2030_2050!$B$9:$B$34,0)),1),1)</f>
        <v/>
      </c>
    </row>
    <row r="176">
      <c r="A176" t="inlineStr">
        <is>
          <t>Rutovitz 2025</t>
        </is>
      </c>
      <c r="B176" t="inlineStr">
        <is>
          <t>Offshore wind</t>
        </is>
      </c>
      <c r="C176" t="inlineStr">
        <is>
          <t>Construction</t>
        </is>
      </c>
      <c r="D176" t="inlineStr">
        <is>
          <t>Direct</t>
        </is>
      </c>
      <c r="E176" t="inlineStr">
        <is>
          <t>job-yr/MW</t>
        </is>
      </c>
      <c r="F176" t="n">
        <v>2024</v>
      </c>
      <c r="G176" t="inlineStr">
        <is>
          <t>1.5</t>
        </is>
      </c>
      <c r="H176" t="n">
        <v>1.5</v>
      </c>
      <c r="I176" t="inlineStr">
        <is>
          <t>Original</t>
        </is>
      </c>
      <c r="J176" t="inlineStr"/>
      <c r="K176" t="inlineStr"/>
      <c r="L176" t="inlineStr"/>
      <c r="M176" t="inlineStr"/>
      <c r="N176" t="inlineStr"/>
      <c r="O176" t="n">
        <v>2024</v>
      </c>
      <c r="P176" t="n">
        <v>2024</v>
      </c>
      <c r="Q176" t="n">
        <v>1.5</v>
      </c>
    </row>
    <row r="177">
      <c r="A177" t="inlineStr">
        <is>
          <t>Rutovitz 2025</t>
        </is>
      </c>
      <c r="B177" t="inlineStr">
        <is>
          <t>Offshore wind</t>
        </is>
      </c>
      <c r="C177" t="inlineStr">
        <is>
          <t>Construction</t>
        </is>
      </c>
      <c r="D177" t="inlineStr">
        <is>
          <t>Direct</t>
        </is>
      </c>
      <c r="E177" t="inlineStr">
        <is>
          <t>job-yr/MW</t>
        </is>
      </c>
      <c r="F177" t="n">
        <v>2030</v>
      </c>
      <c r="G177">
        <f>G176*IFERROR(IF(ISNUMBER(INDEX(Method_2030_2050!$C$9:$C$34,MATCH(L177,Method_2030_2050!$B$9:$B$34,0))),INDEX(Method_2030_2050!$C$9:$C$34,MATCH(L177,Method_2030_2050!$B$9:$B$34,0)),1),1)</f>
        <v/>
      </c>
      <c r="H177">
        <f>H176*IFERROR(IF(ISNUMBER(INDEX(Method_2030_2050!$C$9:$C$34,MATCH(L177,Method_2030_2050!$B$9:$B$34,0))),INDEX(Method_2030_2050!$C$9:$C$34,MATCH(L177,Method_2030_2050!$B$9:$B$34,0)),1),1)</f>
        <v/>
      </c>
      <c r="I177" t="inlineStr">
        <is>
          <t>CAPEX/OPEX ratio projection</t>
        </is>
      </c>
      <c r="J177" t="inlineStr"/>
      <c r="K177" t="inlineStr"/>
      <c r="L177" t="inlineStr">
        <is>
          <t>Wind Offshore fixed bottom</t>
        </is>
      </c>
      <c r="M177" t="inlineStr"/>
      <c r="N177" t="inlineStr">
        <is>
          <t>CAPEX 2030/2024=0.7465205953781396</t>
        </is>
      </c>
      <c r="O177" t="n">
        <v>2024</v>
      </c>
      <c r="P177" t="n">
        <v>2030</v>
      </c>
      <c r="Q177">
        <f>Q176*IFERROR(IF(ISNUMBER(INDEX(Method_2030_2050!$C$9:$C$34,MATCH(L177,Method_2030_2050!$B$9:$B$34,0))),INDEX(Method_2030_2050!$C$9:$C$34,MATCH(L177,Method_2030_2050!$B$9:$B$34,0)),1),1)</f>
        <v/>
      </c>
    </row>
    <row r="178">
      <c r="A178" t="inlineStr">
        <is>
          <t>Rutovitz 2025</t>
        </is>
      </c>
      <c r="B178" t="inlineStr">
        <is>
          <t>Offshore wind</t>
        </is>
      </c>
      <c r="C178" t="inlineStr">
        <is>
          <t>Construction</t>
        </is>
      </c>
      <c r="D178" t="inlineStr">
        <is>
          <t>Direct</t>
        </is>
      </c>
      <c r="E178" t="inlineStr">
        <is>
          <t>job-yr/MW</t>
        </is>
      </c>
      <c r="F178" t="n">
        <v>2050</v>
      </c>
      <c r="G178">
        <f>G177*IFERROR(IF(ISNUMBER(INDEX(Method_2030_2050!$D$9:$D$34,MATCH(L178,Method_2030_2050!$B$9:$B$34,0))),INDEX(Method_2030_2050!$D$9:$D$34,MATCH(L178,Method_2030_2050!$B$9:$B$34,0)),1),1)</f>
        <v/>
      </c>
      <c r="H178">
        <f>H177*IFERROR(IF(ISNUMBER(INDEX(Method_2030_2050!$D$9:$D$34,MATCH(L178,Method_2030_2050!$B$9:$B$34,0))),INDEX(Method_2030_2050!$D$9:$D$34,MATCH(L178,Method_2030_2050!$B$9:$B$34,0)),1),1)</f>
        <v/>
      </c>
      <c r="I178" t="inlineStr">
        <is>
          <t>CAPEX/OPEX ratio projection</t>
        </is>
      </c>
      <c r="J178" t="inlineStr"/>
      <c r="K178" t="inlineStr"/>
      <c r="L178" t="inlineStr">
        <is>
          <t>Wind Offshore fixed bottom</t>
        </is>
      </c>
      <c r="M178" t="inlineStr"/>
      <c r="N178" t="inlineStr">
        <is>
          <t>CAPEX 2050/2030=0.7005449997448997</t>
        </is>
      </c>
      <c r="O178" t="n">
        <v>2030</v>
      </c>
      <c r="P178" t="n">
        <v>2050</v>
      </c>
      <c r="Q178">
        <f>Q177*IFERROR(IF(ISNUMBER(INDEX(Method_2030_2050!$D$9:$D$34,MATCH(L178,Method_2030_2050!$B$9:$B$34,0))),INDEX(Method_2030_2050!$D$9:$D$34,MATCH(L178,Method_2030_2050!$B$9:$B$34,0)),1),1)</f>
        <v/>
      </c>
    </row>
    <row r="179">
      <c r="A179" t="inlineStr">
        <is>
          <t>Danish QBIS 2020</t>
        </is>
      </c>
      <c r="B179" t="inlineStr">
        <is>
          <t>Offshore wind</t>
        </is>
      </c>
      <c r="C179" t="inlineStr">
        <is>
          <t>Construction&amp;Manufacturing</t>
        </is>
      </c>
      <c r="D179" t="inlineStr">
        <is>
          <t>Direct</t>
        </is>
      </c>
      <c r="E179" t="inlineStr">
        <is>
          <t>job-yr/MW</t>
        </is>
      </c>
      <c r="F179" t="n">
        <v>2024</v>
      </c>
      <c r="G179" t="inlineStr">
        <is>
          <t>7544</t>
        </is>
      </c>
      <c r="H179" t="n">
        <v>7.544</v>
      </c>
      <c r="I179" t="inlineStr">
        <is>
          <t>Original</t>
        </is>
      </c>
      <c r="J179" t="inlineStr"/>
      <c r="K179" t="inlineStr"/>
      <c r="L179" t="inlineStr"/>
      <c r="M179" t="inlineStr"/>
      <c r="N179" t="inlineStr"/>
      <c r="O179" t="n">
        <v>2024</v>
      </c>
      <c r="P179" t="n">
        <v>2024</v>
      </c>
      <c r="Q179" t="n">
        <v>7.544</v>
      </c>
    </row>
    <row r="180">
      <c r="A180" t="inlineStr">
        <is>
          <t>Danish QBIS 2020</t>
        </is>
      </c>
      <c r="B180" t="inlineStr">
        <is>
          <t>Offshore wind</t>
        </is>
      </c>
      <c r="C180" t="inlineStr">
        <is>
          <t>Construction&amp;Manufacturing</t>
        </is>
      </c>
      <c r="D180" t="inlineStr">
        <is>
          <t>Direct</t>
        </is>
      </c>
      <c r="E180" t="inlineStr">
        <is>
          <t>job-yr/MW</t>
        </is>
      </c>
      <c r="F180" t="n">
        <v>2030</v>
      </c>
      <c r="G180">
        <f>G179*IFERROR(IF(ISNUMBER(INDEX(Method_2030_2050!$C$9:$C$34,MATCH(L180,Method_2030_2050!$B$9:$B$34,0))),INDEX(Method_2030_2050!$C$9:$C$34,MATCH(L180,Method_2030_2050!$B$9:$B$34,0)),1),1)</f>
        <v/>
      </c>
      <c r="H180">
        <f>H179*IFERROR(IF(ISNUMBER(INDEX(Method_2030_2050!$C$9:$C$34,MATCH(L180,Method_2030_2050!$B$9:$B$34,0))),INDEX(Method_2030_2050!$C$9:$C$34,MATCH(L180,Method_2030_2050!$B$9:$B$34,0)),1),1)</f>
        <v/>
      </c>
      <c r="I180" t="inlineStr">
        <is>
          <t>CAPEX/OPEX ratio projection</t>
        </is>
      </c>
      <c r="J180" t="inlineStr"/>
      <c r="K180" t="inlineStr"/>
      <c r="L180" t="inlineStr">
        <is>
          <t>Wind Offshore fixed bottom</t>
        </is>
      </c>
      <c r="M180" t="inlineStr"/>
      <c r="N180" t="inlineStr">
        <is>
          <t>CAPEX 2030/2024=0.7465205953781396</t>
        </is>
      </c>
      <c r="O180" t="n">
        <v>2024</v>
      </c>
      <c r="P180" t="n">
        <v>2030</v>
      </c>
      <c r="Q180">
        <f>Q179*IFERROR(IF(ISNUMBER(INDEX(Method_2030_2050!$C$9:$C$34,MATCH(L180,Method_2030_2050!$B$9:$B$34,0))),INDEX(Method_2030_2050!$C$9:$C$34,MATCH(L180,Method_2030_2050!$B$9:$B$34,0)),1),1)</f>
        <v/>
      </c>
    </row>
    <row r="181">
      <c r="A181" t="inlineStr">
        <is>
          <t>Danish QBIS 2020</t>
        </is>
      </c>
      <c r="B181" t="inlineStr">
        <is>
          <t>Offshore wind</t>
        </is>
      </c>
      <c r="C181" t="inlineStr">
        <is>
          <t>Construction&amp;Manufacturing</t>
        </is>
      </c>
      <c r="D181" t="inlineStr">
        <is>
          <t>Direct</t>
        </is>
      </c>
      <c r="E181" t="inlineStr">
        <is>
          <t>job-yr/MW</t>
        </is>
      </c>
      <c r="F181" t="n">
        <v>2050</v>
      </c>
      <c r="G181">
        <f>G180*IFERROR(IF(ISNUMBER(INDEX(Method_2030_2050!$D$9:$D$34,MATCH(L181,Method_2030_2050!$B$9:$B$34,0))),INDEX(Method_2030_2050!$D$9:$D$34,MATCH(L181,Method_2030_2050!$B$9:$B$34,0)),1),1)</f>
        <v/>
      </c>
      <c r="H181">
        <f>H180*IFERROR(IF(ISNUMBER(INDEX(Method_2030_2050!$D$9:$D$34,MATCH(L181,Method_2030_2050!$B$9:$B$34,0))),INDEX(Method_2030_2050!$D$9:$D$34,MATCH(L181,Method_2030_2050!$B$9:$B$34,0)),1),1)</f>
        <v/>
      </c>
      <c r="I181" t="inlineStr">
        <is>
          <t>CAPEX/OPEX ratio projection</t>
        </is>
      </c>
      <c r="J181" t="inlineStr"/>
      <c r="K181" t="inlineStr"/>
      <c r="L181" t="inlineStr">
        <is>
          <t>Wind Offshore fixed bottom</t>
        </is>
      </c>
      <c r="M181" t="inlineStr"/>
      <c r="N181" t="inlineStr">
        <is>
          <t>CAPEX 2050/2030=0.7005449997448997</t>
        </is>
      </c>
      <c r="O181" t="n">
        <v>2030</v>
      </c>
      <c r="P181" t="n">
        <v>2050</v>
      </c>
      <c r="Q181">
        <f>Q180*IFERROR(IF(ISNUMBER(INDEX(Method_2030_2050!$D$9:$D$34,MATCH(L181,Method_2030_2050!$B$9:$B$34,0))),INDEX(Method_2030_2050!$D$9:$D$34,MATCH(L181,Method_2030_2050!$B$9:$B$34,0)),1),1)</f>
        <v/>
      </c>
    </row>
    <row r="182">
      <c r="A182" t="inlineStr">
        <is>
          <t>Rutovitz 2015</t>
        </is>
      </c>
      <c r="B182" t="inlineStr">
        <is>
          <t>Offshore wind</t>
        </is>
      </c>
      <c r="C182" t="inlineStr">
        <is>
          <t>Manufacturing</t>
        </is>
      </c>
      <c r="D182" t="inlineStr">
        <is>
          <t>Direct</t>
        </is>
      </c>
      <c r="E182" t="inlineStr">
        <is>
          <t>job-yr/MW</t>
        </is>
      </c>
      <c r="F182" t="n">
        <v>2015</v>
      </c>
      <c r="G182" t="inlineStr">
        <is>
          <t>15.6</t>
        </is>
      </c>
      <c r="H182" t="n">
        <v>15.6</v>
      </c>
      <c r="I182" t="inlineStr">
        <is>
          <t>Original</t>
        </is>
      </c>
      <c r="J182" t="inlineStr"/>
      <c r="K182" t="inlineStr"/>
      <c r="L182" t="inlineStr"/>
      <c r="M182" t="inlineStr"/>
      <c r="N182" t="inlineStr"/>
      <c r="O182" t="n">
        <v>2015</v>
      </c>
      <c r="P182" t="n">
        <v>2015</v>
      </c>
      <c r="Q182" t="n">
        <v>15.6</v>
      </c>
    </row>
    <row r="183">
      <c r="A183" t="inlineStr">
        <is>
          <t>Rutovitz 2015</t>
        </is>
      </c>
      <c r="B183" t="inlineStr">
        <is>
          <t>Offshore wind</t>
        </is>
      </c>
      <c r="C183" t="inlineStr">
        <is>
          <t>Manufacturing</t>
        </is>
      </c>
      <c r="D183" t="inlineStr">
        <is>
          <t>Direct</t>
        </is>
      </c>
      <c r="E183" t="inlineStr">
        <is>
          <t>job-yr/MW</t>
        </is>
      </c>
      <c r="F183" t="n">
        <v>2030</v>
      </c>
      <c r="G183">
        <f>G182*K183</f>
        <v/>
      </c>
      <c r="H183">
        <f>H182*K183</f>
        <v/>
      </c>
      <c r="I183" t="inlineStr">
        <is>
          <t>Rutovitz Table 9 decline to 2030</t>
        </is>
      </c>
      <c r="J183" t="inlineStr">
        <is>
          <t>Wind offshore</t>
        </is>
      </c>
      <c r="K183">
        <f>INDEX(Mappings_Rutovitz!$D$2:$D$14,MATCH(J183,Mappings_Rutovitz!$B$2:$B$14,0))</f>
        <v/>
      </c>
      <c r="L183" t="inlineStr"/>
      <c r="M183" t="inlineStr"/>
      <c r="N183" t="inlineStr">
        <is>
          <t>Rutovitz Table 9 Latin America 2030</t>
        </is>
      </c>
      <c r="O183" t="n">
        <v>2015</v>
      </c>
      <c r="P183" t="n">
        <v>2030</v>
      </c>
      <c r="Q183">
        <f>Q182*K183</f>
        <v/>
      </c>
    </row>
    <row r="184">
      <c r="A184" t="inlineStr">
        <is>
          <t>Rutovitz 2015</t>
        </is>
      </c>
      <c r="B184" t="inlineStr">
        <is>
          <t>Offshore wind</t>
        </is>
      </c>
      <c r="C184" t="inlineStr">
        <is>
          <t>Manufacturing</t>
        </is>
      </c>
      <c r="D184" t="inlineStr">
        <is>
          <t>Direct</t>
        </is>
      </c>
      <c r="E184" t="inlineStr">
        <is>
          <t>job-yr/MW</t>
        </is>
      </c>
      <c r="F184" t="n">
        <v>2050</v>
      </c>
      <c r="G184">
        <f>G183*IFERROR(IF(ISNUMBER(INDEX(Method_2030_2050!$D$9:$D$34,MATCH(L184,Method_2030_2050!$B$9:$B$34,0))),INDEX(Method_2030_2050!$D$9:$D$34,MATCH(L184,Method_2030_2050!$B$9:$B$34,0)),1),1)</f>
        <v/>
      </c>
      <c r="H184">
        <f>H183*IFERROR(IF(ISNUMBER(INDEX(Method_2030_2050!$D$9:$D$34,MATCH(L184,Method_2030_2050!$B$9:$B$34,0))),INDEX(Method_2030_2050!$D$9:$D$34,MATCH(L184,Method_2030_2050!$B$9:$B$34,0)),1),1)</f>
        <v/>
      </c>
      <c r="I184" t="inlineStr">
        <is>
          <t>CAPEX/OPEX ratio projection</t>
        </is>
      </c>
      <c r="J184" t="inlineStr">
        <is>
          <t>Wind offshore</t>
        </is>
      </c>
      <c r="K184" t="inlineStr"/>
      <c r="L184" t="inlineStr">
        <is>
          <t>Wind Offshore fixed bottom</t>
        </is>
      </c>
      <c r="M184" t="inlineStr"/>
      <c r="N184" t="inlineStr">
        <is>
          <t>CAPEX 2050/2030=0.7005449997448997</t>
        </is>
      </c>
      <c r="O184" t="n">
        <v>2030</v>
      </c>
      <c r="P184" t="n">
        <v>2050</v>
      </c>
      <c r="Q184">
        <f>Q183*IFERROR(IF(ISNUMBER(INDEX(Method_2030_2050!$D$9:$D$34,MATCH(L184,Method_2030_2050!$B$9:$B$34,0))),INDEX(Method_2030_2050!$D$9:$D$34,MATCH(L184,Method_2030_2050!$B$9:$B$34,0)),1),1)</f>
        <v/>
      </c>
    </row>
    <row r="185">
      <c r="A185" t="inlineStr">
        <is>
          <t>Rutovitz 2025</t>
        </is>
      </c>
      <c r="B185" t="inlineStr">
        <is>
          <t>Offshore wind</t>
        </is>
      </c>
      <c r="C185" t="inlineStr">
        <is>
          <t>Manufacturing</t>
        </is>
      </c>
      <c r="D185" t="inlineStr">
        <is>
          <t>Direct</t>
        </is>
      </c>
      <c r="E185" t="inlineStr">
        <is>
          <t>job-yr/MW</t>
        </is>
      </c>
      <c r="F185" t="n">
        <v>2024</v>
      </c>
      <c r="G185" t="inlineStr">
        <is>
          <t>13.68</t>
        </is>
      </c>
      <c r="H185" t="n">
        <v>13.68</v>
      </c>
      <c r="I185" t="inlineStr">
        <is>
          <t>Original</t>
        </is>
      </c>
      <c r="J185" t="inlineStr"/>
      <c r="K185" t="inlineStr"/>
      <c r="L185" t="inlineStr"/>
      <c r="M185" t="inlineStr"/>
      <c r="N185" t="inlineStr"/>
      <c r="O185" t="n">
        <v>2024</v>
      </c>
      <c r="P185" t="n">
        <v>2024</v>
      </c>
      <c r="Q185" t="n">
        <v>13.68</v>
      </c>
    </row>
    <row r="186">
      <c r="A186" t="inlineStr">
        <is>
          <t>Rutovitz 2025</t>
        </is>
      </c>
      <c r="B186" t="inlineStr">
        <is>
          <t>Offshore wind</t>
        </is>
      </c>
      <c r="C186" t="inlineStr">
        <is>
          <t>Manufacturing</t>
        </is>
      </c>
      <c r="D186" t="inlineStr">
        <is>
          <t>Direct</t>
        </is>
      </c>
      <c r="E186" t="inlineStr">
        <is>
          <t>job-yr/MW</t>
        </is>
      </c>
      <c r="F186" t="n">
        <v>2030</v>
      </c>
      <c r="G186">
        <f>G185*IFERROR(IF(ISNUMBER(INDEX(Method_2030_2050!$C$9:$C$34,MATCH(L186,Method_2030_2050!$B$9:$B$34,0))),INDEX(Method_2030_2050!$C$9:$C$34,MATCH(L186,Method_2030_2050!$B$9:$B$34,0)),1),1)</f>
        <v/>
      </c>
      <c r="H186">
        <f>H185*IFERROR(IF(ISNUMBER(INDEX(Method_2030_2050!$C$9:$C$34,MATCH(L186,Method_2030_2050!$B$9:$B$34,0))),INDEX(Method_2030_2050!$C$9:$C$34,MATCH(L186,Method_2030_2050!$B$9:$B$34,0)),1),1)</f>
        <v/>
      </c>
      <c r="I186" t="inlineStr">
        <is>
          <t>CAPEX/OPEX ratio projection</t>
        </is>
      </c>
      <c r="J186" t="inlineStr"/>
      <c r="K186" t="inlineStr"/>
      <c r="L186" t="inlineStr">
        <is>
          <t>Wind Offshore fixed bottom</t>
        </is>
      </c>
      <c r="M186" t="inlineStr"/>
      <c r="N186" t="inlineStr">
        <is>
          <t>CAPEX 2030/2024=0.7465205953781396</t>
        </is>
      </c>
      <c r="O186" t="n">
        <v>2024</v>
      </c>
      <c r="P186" t="n">
        <v>2030</v>
      </c>
      <c r="Q186">
        <f>Q185*IFERROR(IF(ISNUMBER(INDEX(Method_2030_2050!$C$9:$C$34,MATCH(L186,Method_2030_2050!$B$9:$B$34,0))),INDEX(Method_2030_2050!$C$9:$C$34,MATCH(L186,Method_2030_2050!$B$9:$B$34,0)),1),1)</f>
        <v/>
      </c>
    </row>
    <row r="187">
      <c r="A187" t="inlineStr">
        <is>
          <t>Rutovitz 2025</t>
        </is>
      </c>
      <c r="B187" t="inlineStr">
        <is>
          <t>Offshore wind</t>
        </is>
      </c>
      <c r="C187" t="inlineStr">
        <is>
          <t>Manufacturing</t>
        </is>
      </c>
      <c r="D187" t="inlineStr">
        <is>
          <t>Direct</t>
        </is>
      </c>
      <c r="E187" t="inlineStr">
        <is>
          <t>job-yr/MW</t>
        </is>
      </c>
      <c r="F187" t="n">
        <v>2050</v>
      </c>
      <c r="G187">
        <f>G186*IFERROR(IF(ISNUMBER(INDEX(Method_2030_2050!$D$9:$D$34,MATCH(L187,Method_2030_2050!$B$9:$B$34,0))),INDEX(Method_2030_2050!$D$9:$D$34,MATCH(L187,Method_2030_2050!$B$9:$B$34,0)),1),1)</f>
        <v/>
      </c>
      <c r="H187">
        <f>H186*IFERROR(IF(ISNUMBER(INDEX(Method_2030_2050!$D$9:$D$34,MATCH(L187,Method_2030_2050!$B$9:$B$34,0))),INDEX(Method_2030_2050!$D$9:$D$34,MATCH(L187,Method_2030_2050!$B$9:$B$34,0)),1),1)</f>
        <v/>
      </c>
      <c r="I187" t="inlineStr">
        <is>
          <t>CAPEX/OPEX ratio projection</t>
        </is>
      </c>
      <c r="J187" t="inlineStr"/>
      <c r="K187" t="inlineStr"/>
      <c r="L187" t="inlineStr">
        <is>
          <t>Wind Offshore fixed bottom</t>
        </is>
      </c>
      <c r="M187" t="inlineStr"/>
      <c r="N187" t="inlineStr">
        <is>
          <t>CAPEX 2050/2030=0.7005449997448997</t>
        </is>
      </c>
      <c r="O187" t="n">
        <v>2030</v>
      </c>
      <c r="P187" t="n">
        <v>2050</v>
      </c>
      <c r="Q187">
        <f>Q186*IFERROR(IF(ISNUMBER(INDEX(Method_2030_2050!$D$9:$D$34,MATCH(L187,Method_2030_2050!$B$9:$B$34,0))),INDEX(Method_2030_2050!$D$9:$D$34,MATCH(L187,Method_2030_2050!$B$9:$B$34,0)),1),1)</f>
        <v/>
      </c>
    </row>
    <row r="188">
      <c r="A188" t="inlineStr">
        <is>
          <t>Danish QBIS 2020</t>
        </is>
      </c>
      <c r="B188" t="inlineStr">
        <is>
          <t>Offshore wind</t>
        </is>
      </c>
      <c r="C188" t="inlineStr">
        <is>
          <t>O&amp;M</t>
        </is>
      </c>
      <c r="D188" t="inlineStr">
        <is>
          <t>Direct</t>
        </is>
      </c>
      <c r="E188" t="inlineStr">
        <is>
          <t>job/MW</t>
        </is>
      </c>
      <c r="F188" t="n">
        <v>2024</v>
      </c>
      <c r="G188" t="inlineStr">
        <is>
          <t>1907</t>
        </is>
      </c>
      <c r="H188" t="n">
        <v>1.907</v>
      </c>
      <c r="I188" t="inlineStr">
        <is>
          <t>Original</t>
        </is>
      </c>
      <c r="J188" t="inlineStr"/>
      <c r="K188" t="inlineStr"/>
      <c r="L188" t="inlineStr"/>
      <c r="M188" t="inlineStr"/>
      <c r="N188" t="inlineStr"/>
      <c r="O188" t="n">
        <v>2024</v>
      </c>
      <c r="P188" t="n">
        <v>2024</v>
      </c>
      <c r="Q188" t="n">
        <v>1.907</v>
      </c>
    </row>
    <row r="189">
      <c r="A189" t="inlineStr">
        <is>
          <t>Danish QBIS 2020</t>
        </is>
      </c>
      <c r="B189" t="inlineStr">
        <is>
          <t>Offshore wind</t>
        </is>
      </c>
      <c r="C189" t="inlineStr">
        <is>
          <t>O&amp;M</t>
        </is>
      </c>
      <c r="D189" t="inlineStr">
        <is>
          <t>Direct</t>
        </is>
      </c>
      <c r="E189" t="inlineStr">
        <is>
          <t>job/MW</t>
        </is>
      </c>
      <c r="F189" t="n">
        <v>2030</v>
      </c>
      <c r="G189">
        <f>G188*IFERROR(IF(ISNUMBER(INDEX(Method_2030_2050!$E$9:$E$34,MATCH(L189,Method_2030_2050!$B$9:$B$34,0))),INDEX(Method_2030_2050!$E$9:$E$34,MATCH(L189,Method_2030_2050!$B$9:$B$34,0)),1),1)</f>
        <v/>
      </c>
      <c r="H189">
        <f>H188*IFERROR(IF(ISNUMBER(INDEX(Method_2030_2050!$E$9:$E$34,MATCH(L189,Method_2030_2050!$B$9:$B$34,0))),INDEX(Method_2030_2050!$E$9:$E$34,MATCH(L189,Method_2030_2050!$B$9:$B$34,0)),1),1)</f>
        <v/>
      </c>
      <c r="I189" t="inlineStr">
        <is>
          <t>CAPEX/OPEX ratio projection</t>
        </is>
      </c>
      <c r="J189" t="inlineStr"/>
      <c r="K189" t="inlineStr"/>
      <c r="L189" t="inlineStr">
        <is>
          <t>Wind Offshore fixed bottom</t>
        </is>
      </c>
      <c r="M189" t="inlineStr"/>
      <c r="N189" t="inlineStr">
        <is>
          <t>OPEX 2030/2024=0.7465437788018433</t>
        </is>
      </c>
      <c r="O189" t="n">
        <v>2024</v>
      </c>
      <c r="P189" t="n">
        <v>2030</v>
      </c>
      <c r="Q189">
        <f>Q188*IFERROR(IF(ISNUMBER(INDEX(Method_2030_2050!$E$9:$E$34,MATCH(L189,Method_2030_2050!$B$9:$B$34,0))),INDEX(Method_2030_2050!$E$9:$E$34,MATCH(L189,Method_2030_2050!$B$9:$B$34,0)),1),1)</f>
        <v/>
      </c>
    </row>
    <row r="190">
      <c r="A190" t="inlineStr">
        <is>
          <t>Danish QBIS 2020</t>
        </is>
      </c>
      <c r="B190" t="inlineStr">
        <is>
          <t>Offshore wind</t>
        </is>
      </c>
      <c r="C190" t="inlineStr">
        <is>
          <t>O&amp;M</t>
        </is>
      </c>
      <c r="D190" t="inlineStr">
        <is>
          <t>Direct</t>
        </is>
      </c>
      <c r="E190" t="inlineStr">
        <is>
          <t>job/MW</t>
        </is>
      </c>
      <c r="F190" t="n">
        <v>2050</v>
      </c>
      <c r="G190">
        <f>G189*IFERROR(IF(ISNUMBER(INDEX(Method_2030_2050!$F$9:$F$34,MATCH(L190,Method_2030_2050!$B$9:$B$34,0))),INDEX(Method_2030_2050!$F$9:$F$34,MATCH(L190,Method_2030_2050!$B$9:$B$34,0)),1),1)</f>
        <v/>
      </c>
      <c r="H190">
        <f>H189*IFERROR(IF(ISNUMBER(INDEX(Method_2030_2050!$F$9:$F$34,MATCH(L190,Method_2030_2050!$B$9:$B$34,0))),INDEX(Method_2030_2050!$F$9:$F$34,MATCH(L190,Method_2030_2050!$B$9:$B$34,0)),1),1)</f>
        <v/>
      </c>
      <c r="I190" t="inlineStr">
        <is>
          <t>CAPEX/OPEX ratio projection</t>
        </is>
      </c>
      <c r="J190" t="inlineStr"/>
      <c r="K190" t="inlineStr"/>
      <c r="L190" t="inlineStr">
        <is>
          <t>Wind Offshore fixed bottom</t>
        </is>
      </c>
      <c r="M190" t="inlineStr"/>
      <c r="N190" t="inlineStr">
        <is>
          <t>OPEX 2050/2030=0.6975308641975309</t>
        </is>
      </c>
      <c r="O190" t="n">
        <v>2030</v>
      </c>
      <c r="P190" t="n">
        <v>2050</v>
      </c>
      <c r="Q190">
        <f>Q189*IFERROR(IF(ISNUMBER(INDEX(Method_2030_2050!$F$9:$F$34,MATCH(L190,Method_2030_2050!$B$9:$B$34,0))),INDEX(Method_2030_2050!$F$9:$F$34,MATCH(L190,Method_2030_2050!$B$9:$B$34,0)),1),1)</f>
        <v/>
      </c>
    </row>
    <row r="191">
      <c r="A191" t="inlineStr">
        <is>
          <t>Rutovitz 2015</t>
        </is>
      </c>
      <c r="B191" t="inlineStr">
        <is>
          <t>Offshore wind</t>
        </is>
      </c>
      <c r="C191" t="inlineStr">
        <is>
          <t>O&amp;M</t>
        </is>
      </c>
      <c r="D191" t="inlineStr">
        <is>
          <t>Direct</t>
        </is>
      </c>
      <c r="E191" t="inlineStr">
        <is>
          <t>job/MW</t>
        </is>
      </c>
      <c r="F191" t="n">
        <v>2015</v>
      </c>
      <c r="G191" t="inlineStr">
        <is>
          <t>0.2</t>
        </is>
      </c>
      <c r="H191" t="n">
        <v>0.2</v>
      </c>
      <c r="I191" t="inlineStr">
        <is>
          <t>Original</t>
        </is>
      </c>
      <c r="J191" t="inlineStr"/>
      <c r="K191" t="inlineStr"/>
      <c r="L191" t="inlineStr"/>
      <c r="M191" t="inlineStr"/>
      <c r="N191" t="inlineStr"/>
      <c r="O191" t="n">
        <v>2015</v>
      </c>
      <c r="P191" t="n">
        <v>2015</v>
      </c>
      <c r="Q191" t="n">
        <v>0.2</v>
      </c>
    </row>
    <row r="192">
      <c r="A192" t="inlineStr">
        <is>
          <t>Rutovitz 2015</t>
        </is>
      </c>
      <c r="B192" t="inlineStr">
        <is>
          <t>Offshore wind</t>
        </is>
      </c>
      <c r="C192" t="inlineStr">
        <is>
          <t>O&amp;M</t>
        </is>
      </c>
      <c r="D192" t="inlineStr">
        <is>
          <t>Direct</t>
        </is>
      </c>
      <c r="E192" t="inlineStr">
        <is>
          <t>job/MW</t>
        </is>
      </c>
      <c r="F192" t="n">
        <v>2030</v>
      </c>
      <c r="G192">
        <f>G191*K192</f>
        <v/>
      </c>
      <c r="H192">
        <f>H191*K192</f>
        <v/>
      </c>
      <c r="I192" t="inlineStr">
        <is>
          <t>Rutovitz Table 9 decline to 2030</t>
        </is>
      </c>
      <c r="J192" t="inlineStr">
        <is>
          <t>Wind offshore</t>
        </is>
      </c>
      <c r="K192">
        <f>INDEX(Mappings_Rutovitz!$D$2:$D$14,MATCH(J192,Mappings_Rutovitz!$B$2:$B$14,0))</f>
        <v/>
      </c>
      <c r="L192" t="inlineStr"/>
      <c r="M192" t="inlineStr"/>
      <c r="N192" t="inlineStr">
        <is>
          <t>Rutovitz Table 9 Latin America 2030</t>
        </is>
      </c>
      <c r="O192" t="n">
        <v>2015</v>
      </c>
      <c r="P192" t="n">
        <v>2030</v>
      </c>
      <c r="Q192">
        <f>Q191*K192</f>
        <v/>
      </c>
    </row>
    <row r="193">
      <c r="A193" t="inlineStr">
        <is>
          <t>Rutovitz 2015</t>
        </is>
      </c>
      <c r="B193" t="inlineStr">
        <is>
          <t>Offshore wind</t>
        </is>
      </c>
      <c r="C193" t="inlineStr">
        <is>
          <t>O&amp;M</t>
        </is>
      </c>
      <c r="D193" t="inlineStr">
        <is>
          <t>Direct</t>
        </is>
      </c>
      <c r="E193" t="inlineStr">
        <is>
          <t>job/MW</t>
        </is>
      </c>
      <c r="F193" t="n">
        <v>2050</v>
      </c>
      <c r="G193">
        <f>G192*IFERROR(IF(ISNUMBER(INDEX(Method_2030_2050!$F$9:$F$34,MATCH(L193,Method_2030_2050!$B$9:$B$34,0))),INDEX(Method_2030_2050!$F$9:$F$34,MATCH(L193,Method_2030_2050!$B$9:$B$34,0)),1),1)</f>
        <v/>
      </c>
      <c r="H193">
        <f>H192*IFERROR(IF(ISNUMBER(INDEX(Method_2030_2050!$F$9:$F$34,MATCH(L193,Method_2030_2050!$B$9:$B$34,0))),INDEX(Method_2030_2050!$F$9:$F$34,MATCH(L193,Method_2030_2050!$B$9:$B$34,0)),1),1)</f>
        <v/>
      </c>
      <c r="I193" t="inlineStr">
        <is>
          <t>CAPEX/OPEX ratio projection</t>
        </is>
      </c>
      <c r="J193" t="inlineStr">
        <is>
          <t>Wind offshore</t>
        </is>
      </c>
      <c r="K193" t="inlineStr"/>
      <c r="L193" t="inlineStr">
        <is>
          <t>Wind Offshore fixed bottom</t>
        </is>
      </c>
      <c r="M193" t="inlineStr"/>
      <c r="N193" t="inlineStr">
        <is>
          <t>OPEX 2050/2030=0.6975308641975309</t>
        </is>
      </c>
      <c r="O193" t="n">
        <v>2030</v>
      </c>
      <c r="P193" t="n">
        <v>2050</v>
      </c>
      <c r="Q193">
        <f>Q192*IFERROR(IF(ISNUMBER(INDEX(Method_2030_2050!$F$9:$F$34,MATCH(L193,Method_2030_2050!$B$9:$B$34,0))),INDEX(Method_2030_2050!$F$9:$F$34,MATCH(L193,Method_2030_2050!$B$9:$B$34,0)),1),1)</f>
        <v/>
      </c>
    </row>
    <row r="194">
      <c r="A194" t="inlineStr">
        <is>
          <t>Rutovitz 2025</t>
        </is>
      </c>
      <c r="B194" t="inlineStr">
        <is>
          <t>Offshore wind</t>
        </is>
      </c>
      <c r="C194" t="inlineStr">
        <is>
          <t>O&amp;M</t>
        </is>
      </c>
      <c r="D194" t="inlineStr">
        <is>
          <t>Direct</t>
        </is>
      </c>
      <c r="E194" t="inlineStr">
        <is>
          <t>job/MW</t>
        </is>
      </c>
      <c r="F194" t="n">
        <v>2024</v>
      </c>
      <c r="G194" t="inlineStr">
        <is>
          <t>0.28</t>
        </is>
      </c>
      <c r="H194" t="n">
        <v>0.28</v>
      </c>
      <c r="I194" t="inlineStr">
        <is>
          <t>Original</t>
        </is>
      </c>
      <c r="J194" t="inlineStr"/>
      <c r="K194" t="inlineStr"/>
      <c r="L194" t="inlineStr"/>
      <c r="M194" t="inlineStr"/>
      <c r="N194" t="inlineStr"/>
      <c r="O194" t="n">
        <v>2024</v>
      </c>
      <c r="P194" t="n">
        <v>2024</v>
      </c>
      <c r="Q194" t="n">
        <v>0.28</v>
      </c>
    </row>
    <row r="195">
      <c r="A195" t="inlineStr">
        <is>
          <t>Rutovitz 2025</t>
        </is>
      </c>
      <c r="B195" t="inlineStr">
        <is>
          <t>Offshore wind</t>
        </is>
      </c>
      <c r="C195" t="inlineStr">
        <is>
          <t>O&amp;M</t>
        </is>
      </c>
      <c r="D195" t="inlineStr">
        <is>
          <t>Direct</t>
        </is>
      </c>
      <c r="E195" t="inlineStr">
        <is>
          <t>job/MW</t>
        </is>
      </c>
      <c r="F195" t="n">
        <v>2030</v>
      </c>
      <c r="G195">
        <f>G194*IFERROR(IF(ISNUMBER(INDEX(Method_2030_2050!$E$9:$E$34,MATCH(L195,Method_2030_2050!$B$9:$B$34,0))),INDEX(Method_2030_2050!$E$9:$E$34,MATCH(L195,Method_2030_2050!$B$9:$B$34,0)),1),1)</f>
        <v/>
      </c>
      <c r="H195">
        <f>H194*IFERROR(IF(ISNUMBER(INDEX(Method_2030_2050!$E$9:$E$34,MATCH(L195,Method_2030_2050!$B$9:$B$34,0))),INDEX(Method_2030_2050!$E$9:$E$34,MATCH(L195,Method_2030_2050!$B$9:$B$34,0)),1),1)</f>
        <v/>
      </c>
      <c r="I195" t="inlineStr">
        <is>
          <t>CAPEX/OPEX ratio projection</t>
        </is>
      </c>
      <c r="J195" t="inlineStr"/>
      <c r="K195" t="inlineStr"/>
      <c r="L195" t="inlineStr">
        <is>
          <t>Wind Offshore fixed bottom</t>
        </is>
      </c>
      <c r="M195" t="inlineStr"/>
      <c r="N195" t="inlineStr">
        <is>
          <t>OPEX 2030/2024=0.7465437788018433</t>
        </is>
      </c>
      <c r="O195" t="n">
        <v>2024</v>
      </c>
      <c r="P195" t="n">
        <v>2030</v>
      </c>
      <c r="Q195">
        <f>Q194*IFERROR(IF(ISNUMBER(INDEX(Method_2030_2050!$E$9:$E$34,MATCH(L195,Method_2030_2050!$B$9:$B$34,0))),INDEX(Method_2030_2050!$E$9:$E$34,MATCH(L195,Method_2030_2050!$B$9:$B$34,0)),1),1)</f>
        <v/>
      </c>
    </row>
    <row r="196">
      <c r="A196" t="inlineStr">
        <is>
          <t>Rutovitz 2025</t>
        </is>
      </c>
      <c r="B196" t="inlineStr">
        <is>
          <t>Offshore wind</t>
        </is>
      </c>
      <c r="C196" t="inlineStr">
        <is>
          <t>O&amp;M</t>
        </is>
      </c>
      <c r="D196" t="inlineStr">
        <is>
          <t>Direct</t>
        </is>
      </c>
      <c r="E196" t="inlineStr">
        <is>
          <t>job/MW</t>
        </is>
      </c>
      <c r="F196" t="n">
        <v>2050</v>
      </c>
      <c r="G196">
        <f>G195*IFERROR(IF(ISNUMBER(INDEX(Method_2030_2050!$F$9:$F$34,MATCH(L196,Method_2030_2050!$B$9:$B$34,0))),INDEX(Method_2030_2050!$F$9:$F$34,MATCH(L196,Method_2030_2050!$B$9:$B$34,0)),1),1)</f>
        <v/>
      </c>
      <c r="H196">
        <f>H195*IFERROR(IF(ISNUMBER(INDEX(Method_2030_2050!$F$9:$F$34,MATCH(L196,Method_2030_2050!$B$9:$B$34,0))),INDEX(Method_2030_2050!$F$9:$F$34,MATCH(L196,Method_2030_2050!$B$9:$B$34,0)),1),1)</f>
        <v/>
      </c>
      <c r="I196" t="inlineStr">
        <is>
          <t>CAPEX/OPEX ratio projection</t>
        </is>
      </c>
      <c r="J196" t="inlineStr"/>
      <c r="K196" t="inlineStr"/>
      <c r="L196" t="inlineStr">
        <is>
          <t>Wind Offshore fixed bottom</t>
        </is>
      </c>
      <c r="M196" t="inlineStr"/>
      <c r="N196" t="inlineStr">
        <is>
          <t>OPEX 2050/2030=0.6975308641975309</t>
        </is>
      </c>
      <c r="O196" t="n">
        <v>2030</v>
      </c>
      <c r="P196" t="n">
        <v>2050</v>
      </c>
      <c r="Q196">
        <f>Q195*IFERROR(IF(ISNUMBER(INDEX(Method_2030_2050!$F$9:$F$34,MATCH(L196,Method_2030_2050!$B$9:$B$34,0))),INDEX(Method_2030_2050!$F$9:$F$34,MATCH(L196,Method_2030_2050!$B$9:$B$34,0)),1),1)</f>
        <v/>
      </c>
    </row>
    <row r="197">
      <c r="A197" t="inlineStr">
        <is>
          <t>French QBIS 2023</t>
        </is>
      </c>
      <c r="B197" t="inlineStr">
        <is>
          <t>Offshore wind (fixed)</t>
        </is>
      </c>
      <c r="C197" t="inlineStr">
        <is>
          <t>Construction&amp;Manufacturing</t>
        </is>
      </c>
      <c r="D197" t="inlineStr">
        <is>
          <t>Direct</t>
        </is>
      </c>
      <c r="E197" t="inlineStr">
        <is>
          <t>job-yr/MW</t>
        </is>
      </c>
      <c r="F197" t="n">
        <v>2024</v>
      </c>
      <c r="G197" t="inlineStr">
        <is>
          <t>6810</t>
        </is>
      </c>
      <c r="H197" t="n">
        <v>6.81</v>
      </c>
      <c r="I197" t="inlineStr">
        <is>
          <t>Original</t>
        </is>
      </c>
      <c r="J197" t="inlineStr"/>
      <c r="K197" t="inlineStr"/>
      <c r="L197" t="inlineStr"/>
      <c r="M197" t="inlineStr"/>
      <c r="N197" t="inlineStr"/>
      <c r="O197" t="n">
        <v>2024</v>
      </c>
      <c r="P197" t="n">
        <v>2024</v>
      </c>
      <c r="Q197" t="n">
        <v>6.81</v>
      </c>
    </row>
    <row r="198">
      <c r="A198" t="inlineStr">
        <is>
          <t>French QBIS 2023</t>
        </is>
      </c>
      <c r="B198" t="inlineStr">
        <is>
          <t>Offshore wind (fixed)</t>
        </is>
      </c>
      <c r="C198" t="inlineStr">
        <is>
          <t>Construction&amp;Manufacturing</t>
        </is>
      </c>
      <c r="D198" t="inlineStr">
        <is>
          <t>Direct</t>
        </is>
      </c>
      <c r="E198" t="inlineStr">
        <is>
          <t>job-yr/MW</t>
        </is>
      </c>
      <c r="F198" t="n">
        <v>2030</v>
      </c>
      <c r="G198">
        <f>G197*IFERROR(IF(ISNUMBER(INDEX(Method_2030_2050!$C$9:$C$34,MATCH(L198,Method_2030_2050!$B$9:$B$34,0))),INDEX(Method_2030_2050!$C$9:$C$34,MATCH(L198,Method_2030_2050!$B$9:$B$34,0)),1),1)</f>
        <v/>
      </c>
      <c r="H198">
        <f>H197*IFERROR(IF(ISNUMBER(INDEX(Method_2030_2050!$C$9:$C$34,MATCH(L198,Method_2030_2050!$B$9:$B$34,0))),INDEX(Method_2030_2050!$C$9:$C$34,MATCH(L198,Method_2030_2050!$B$9:$B$34,0)),1),1)</f>
        <v/>
      </c>
      <c r="I198" t="inlineStr">
        <is>
          <t>CAPEX/OPEX ratio projection</t>
        </is>
      </c>
      <c r="J198" t="inlineStr"/>
      <c r="K198" t="inlineStr"/>
      <c r="L198" t="inlineStr">
        <is>
          <t>Wind Offshore fixed bottom</t>
        </is>
      </c>
      <c r="M198" t="inlineStr"/>
      <c r="N198" t="inlineStr">
        <is>
          <t>CAPEX 2030/2024=0.7465205953781396</t>
        </is>
      </c>
      <c r="O198" t="n">
        <v>2024</v>
      </c>
      <c r="P198" t="n">
        <v>2030</v>
      </c>
      <c r="Q198">
        <f>Q197*IFERROR(IF(ISNUMBER(INDEX(Method_2030_2050!$C$9:$C$34,MATCH(L198,Method_2030_2050!$B$9:$B$34,0))),INDEX(Method_2030_2050!$C$9:$C$34,MATCH(L198,Method_2030_2050!$B$9:$B$34,0)),1),1)</f>
        <v/>
      </c>
    </row>
    <row r="199">
      <c r="A199" t="inlineStr">
        <is>
          <t>French QBIS 2023</t>
        </is>
      </c>
      <c r="B199" t="inlineStr">
        <is>
          <t>Offshore wind (fixed)</t>
        </is>
      </c>
      <c r="C199" t="inlineStr">
        <is>
          <t>Construction&amp;Manufacturing</t>
        </is>
      </c>
      <c r="D199" t="inlineStr">
        <is>
          <t>Direct</t>
        </is>
      </c>
      <c r="E199" t="inlineStr">
        <is>
          <t>job-yr/MW</t>
        </is>
      </c>
      <c r="F199" t="n">
        <v>2050</v>
      </c>
      <c r="G199">
        <f>G198*IFERROR(IF(ISNUMBER(INDEX(Method_2030_2050!$D$9:$D$34,MATCH(L199,Method_2030_2050!$B$9:$B$34,0))),INDEX(Method_2030_2050!$D$9:$D$34,MATCH(L199,Method_2030_2050!$B$9:$B$34,0)),1),1)</f>
        <v/>
      </c>
      <c r="H199">
        <f>H198*IFERROR(IF(ISNUMBER(INDEX(Method_2030_2050!$D$9:$D$34,MATCH(L199,Method_2030_2050!$B$9:$B$34,0))),INDEX(Method_2030_2050!$D$9:$D$34,MATCH(L199,Method_2030_2050!$B$9:$B$34,0)),1),1)</f>
        <v/>
      </c>
      <c r="I199" t="inlineStr">
        <is>
          <t>CAPEX/OPEX ratio projection</t>
        </is>
      </c>
      <c r="J199" t="inlineStr"/>
      <c r="K199" t="inlineStr"/>
      <c r="L199" t="inlineStr">
        <is>
          <t>Wind Offshore fixed bottom</t>
        </is>
      </c>
      <c r="M199" t="inlineStr"/>
      <c r="N199" t="inlineStr">
        <is>
          <t>CAPEX 2050/2030=0.7005449997448997</t>
        </is>
      </c>
      <c r="O199" t="n">
        <v>2030</v>
      </c>
      <c r="P199" t="n">
        <v>2050</v>
      </c>
      <c r="Q199">
        <f>Q198*IFERROR(IF(ISNUMBER(INDEX(Method_2030_2050!$D$9:$D$34,MATCH(L199,Method_2030_2050!$B$9:$B$34,0))),INDEX(Method_2030_2050!$D$9:$D$34,MATCH(L199,Method_2030_2050!$B$9:$B$34,0)),1),1)</f>
        <v/>
      </c>
    </row>
    <row r="200">
      <c r="A200" t="inlineStr">
        <is>
          <t>French QBIS 2023</t>
        </is>
      </c>
      <c r="B200" t="inlineStr">
        <is>
          <t>Offshore wind (fixed)</t>
        </is>
      </c>
      <c r="C200" t="inlineStr">
        <is>
          <t>O&amp;M</t>
        </is>
      </c>
      <c r="D200" t="inlineStr">
        <is>
          <t>Direct</t>
        </is>
      </c>
      <c r="E200" t="inlineStr">
        <is>
          <t>job/MW</t>
        </is>
      </c>
      <c r="F200" t="n">
        <v>2024</v>
      </c>
      <c r="G200" t="inlineStr">
        <is>
          <t>1907</t>
        </is>
      </c>
      <c r="H200" t="n">
        <v>1.907</v>
      </c>
      <c r="I200" t="inlineStr">
        <is>
          <t>Original</t>
        </is>
      </c>
      <c r="J200" t="inlineStr"/>
      <c r="K200" t="inlineStr"/>
      <c r="L200" t="inlineStr"/>
      <c r="M200" t="inlineStr"/>
      <c r="N200" t="inlineStr"/>
      <c r="O200" t="n">
        <v>2024</v>
      </c>
      <c r="P200" t="n">
        <v>2024</v>
      </c>
      <c r="Q200" t="n">
        <v>1.907</v>
      </c>
    </row>
    <row r="201">
      <c r="A201" t="inlineStr">
        <is>
          <t>French QBIS 2023</t>
        </is>
      </c>
      <c r="B201" t="inlineStr">
        <is>
          <t>Offshore wind (fixed)</t>
        </is>
      </c>
      <c r="C201" t="inlineStr">
        <is>
          <t>O&amp;M</t>
        </is>
      </c>
      <c r="D201" t="inlineStr">
        <is>
          <t>Direct</t>
        </is>
      </c>
      <c r="E201" t="inlineStr">
        <is>
          <t>job/MW</t>
        </is>
      </c>
      <c r="F201" t="n">
        <v>2030</v>
      </c>
      <c r="G201">
        <f>G200*IFERROR(IF(ISNUMBER(INDEX(Method_2030_2050!$E$9:$E$34,MATCH(L201,Method_2030_2050!$B$9:$B$34,0))),INDEX(Method_2030_2050!$E$9:$E$34,MATCH(L201,Method_2030_2050!$B$9:$B$34,0)),1),1)</f>
        <v/>
      </c>
      <c r="H201">
        <f>H200*IFERROR(IF(ISNUMBER(INDEX(Method_2030_2050!$E$9:$E$34,MATCH(L201,Method_2030_2050!$B$9:$B$34,0))),INDEX(Method_2030_2050!$E$9:$E$34,MATCH(L201,Method_2030_2050!$B$9:$B$34,0)),1),1)</f>
        <v/>
      </c>
      <c r="I201" t="inlineStr">
        <is>
          <t>CAPEX/OPEX ratio projection</t>
        </is>
      </c>
      <c r="J201" t="inlineStr"/>
      <c r="K201" t="inlineStr"/>
      <c r="L201" t="inlineStr">
        <is>
          <t>Wind Offshore fixed bottom</t>
        </is>
      </c>
      <c r="M201" t="inlineStr"/>
      <c r="N201" t="inlineStr">
        <is>
          <t>OPEX 2030/2024=0.7465437788018433</t>
        </is>
      </c>
      <c r="O201" t="n">
        <v>2024</v>
      </c>
      <c r="P201" t="n">
        <v>2030</v>
      </c>
      <c r="Q201">
        <f>Q200*IFERROR(IF(ISNUMBER(INDEX(Method_2030_2050!$E$9:$E$34,MATCH(L201,Method_2030_2050!$B$9:$B$34,0))),INDEX(Method_2030_2050!$E$9:$E$34,MATCH(L201,Method_2030_2050!$B$9:$B$34,0)),1),1)</f>
        <v/>
      </c>
    </row>
    <row r="202">
      <c r="A202" t="inlineStr">
        <is>
          <t>French QBIS 2023</t>
        </is>
      </c>
      <c r="B202" t="inlineStr">
        <is>
          <t>Offshore wind (fixed)</t>
        </is>
      </c>
      <c r="C202" t="inlineStr">
        <is>
          <t>O&amp;M</t>
        </is>
      </c>
      <c r="D202" t="inlineStr">
        <is>
          <t>Direct</t>
        </is>
      </c>
      <c r="E202" t="inlineStr">
        <is>
          <t>job/MW</t>
        </is>
      </c>
      <c r="F202" t="n">
        <v>2050</v>
      </c>
      <c r="G202">
        <f>G201*IFERROR(IF(ISNUMBER(INDEX(Method_2030_2050!$F$9:$F$34,MATCH(L202,Method_2030_2050!$B$9:$B$34,0))),INDEX(Method_2030_2050!$F$9:$F$34,MATCH(L202,Method_2030_2050!$B$9:$B$34,0)),1),1)</f>
        <v/>
      </c>
      <c r="H202">
        <f>H201*IFERROR(IF(ISNUMBER(INDEX(Method_2030_2050!$F$9:$F$34,MATCH(L202,Method_2030_2050!$B$9:$B$34,0))),INDEX(Method_2030_2050!$F$9:$F$34,MATCH(L202,Method_2030_2050!$B$9:$B$34,0)),1),1)</f>
        <v/>
      </c>
      <c r="I202" t="inlineStr">
        <is>
          <t>CAPEX/OPEX ratio projection</t>
        </is>
      </c>
      <c r="J202" t="inlineStr"/>
      <c r="K202" t="inlineStr"/>
      <c r="L202" t="inlineStr">
        <is>
          <t>Wind Offshore fixed bottom</t>
        </is>
      </c>
      <c r="M202" t="inlineStr"/>
      <c r="N202" t="inlineStr">
        <is>
          <t>OPEX 2050/2030=0.6975308641975309</t>
        </is>
      </c>
      <c r="O202" t="n">
        <v>2030</v>
      </c>
      <c r="P202" t="n">
        <v>2050</v>
      </c>
      <c r="Q202">
        <f>Q201*IFERROR(IF(ISNUMBER(INDEX(Method_2030_2050!$F$9:$F$34,MATCH(L202,Method_2030_2050!$B$9:$B$34,0))),INDEX(Method_2030_2050!$F$9:$F$34,MATCH(L202,Method_2030_2050!$B$9:$B$34,0)),1),1)</f>
        <v/>
      </c>
    </row>
    <row r="203">
      <c r="A203" t="inlineStr">
        <is>
          <t>French QBIS 2023</t>
        </is>
      </c>
      <c r="B203" t="inlineStr">
        <is>
          <t>Offshore wind (floating)</t>
        </is>
      </c>
      <c r="C203" t="inlineStr">
        <is>
          <t>Construction&amp;Manufacturing</t>
        </is>
      </c>
      <c r="D203" t="inlineStr">
        <is>
          <t>Direct</t>
        </is>
      </c>
      <c r="E203" t="inlineStr">
        <is>
          <t>job-yr/MW</t>
        </is>
      </c>
      <c r="F203" t="n">
        <v>2024</v>
      </c>
      <c r="G203" t="inlineStr">
        <is>
          <t>14.71</t>
        </is>
      </c>
      <c r="H203" t="n">
        <v>14.71</v>
      </c>
      <c r="I203" t="inlineStr">
        <is>
          <t>Original</t>
        </is>
      </c>
      <c r="J203" t="inlineStr"/>
      <c r="K203" t="inlineStr"/>
      <c r="L203" t="inlineStr"/>
      <c r="M203" t="inlineStr"/>
      <c r="N203" t="inlineStr"/>
      <c r="O203" t="n">
        <v>2024</v>
      </c>
      <c r="P203" t="n">
        <v>2024</v>
      </c>
      <c r="Q203" t="n">
        <v>14.71</v>
      </c>
    </row>
    <row r="204">
      <c r="A204" t="inlineStr">
        <is>
          <t>French QBIS 2023</t>
        </is>
      </c>
      <c r="B204" t="inlineStr">
        <is>
          <t>Offshore wind (floating)</t>
        </is>
      </c>
      <c r="C204" t="inlineStr">
        <is>
          <t>Construction&amp;Manufacturing</t>
        </is>
      </c>
      <c r="D204" t="inlineStr">
        <is>
          <t>Direct</t>
        </is>
      </c>
      <c r="E204" t="inlineStr">
        <is>
          <t>job-yr/MW</t>
        </is>
      </c>
      <c r="F204" t="n">
        <v>2030</v>
      </c>
      <c r="G204">
        <f>G203*IFERROR(IF(ISNUMBER(INDEX(Method_2030_2050!$C$9:$C$34,MATCH(L204,Method_2030_2050!$B$9:$B$34,0))),INDEX(Method_2030_2050!$C$9:$C$34,MATCH(L204,Method_2030_2050!$B$9:$B$34,0)),1),1)</f>
        <v/>
      </c>
      <c r="H204">
        <f>H203*IFERROR(IF(ISNUMBER(INDEX(Method_2030_2050!$C$9:$C$34,MATCH(L204,Method_2030_2050!$B$9:$B$34,0))),INDEX(Method_2030_2050!$C$9:$C$34,MATCH(L204,Method_2030_2050!$B$9:$B$34,0)),1),1)</f>
        <v/>
      </c>
      <c r="I204" t="inlineStr">
        <is>
          <t>CAPEX/OPEX ratio projection with constant bridge</t>
        </is>
      </c>
      <c r="J204" t="inlineStr"/>
      <c r="K204" t="inlineStr"/>
      <c r="L204" t="inlineStr">
        <is>
          <t>Wind offshore floating</t>
        </is>
      </c>
      <c r="M204" t="inlineStr"/>
      <c r="N204" t="inlineStr">
        <is>
          <t>CAPEX 2030/2024 unavailable; value held constant</t>
        </is>
      </c>
      <c r="O204" t="n">
        <v>2024</v>
      </c>
      <c r="P204" t="n">
        <v>2030</v>
      </c>
      <c r="Q204">
        <f>Q203*IFERROR(IF(ISNUMBER(INDEX(Method_2030_2050!$C$9:$C$34,MATCH(L204,Method_2030_2050!$B$9:$B$34,0))),INDEX(Method_2030_2050!$C$9:$C$34,MATCH(L204,Method_2030_2050!$B$9:$B$34,0)),1),1)</f>
        <v/>
      </c>
    </row>
    <row r="205">
      <c r="A205" t="inlineStr">
        <is>
          <t>French QBIS 2023</t>
        </is>
      </c>
      <c r="B205" t="inlineStr">
        <is>
          <t>Offshore wind (floating)</t>
        </is>
      </c>
      <c r="C205" t="inlineStr">
        <is>
          <t>Construction&amp;Manufacturing</t>
        </is>
      </c>
      <c r="D205" t="inlineStr">
        <is>
          <t>Direct</t>
        </is>
      </c>
      <c r="E205" t="inlineStr">
        <is>
          <t>job-yr/MW</t>
        </is>
      </c>
      <c r="F205" t="n">
        <v>2050</v>
      </c>
      <c r="G205">
        <f>G204*IFERROR(IF(ISNUMBER(INDEX(Method_2030_2050!$D$9:$D$34,MATCH(L205,Method_2030_2050!$B$9:$B$34,0))),INDEX(Method_2030_2050!$D$9:$D$34,MATCH(L205,Method_2030_2050!$B$9:$B$34,0)),1),1)</f>
        <v/>
      </c>
      <c r="H205">
        <f>H204*IFERROR(IF(ISNUMBER(INDEX(Method_2030_2050!$D$9:$D$34,MATCH(L205,Method_2030_2050!$B$9:$B$34,0))),INDEX(Method_2030_2050!$D$9:$D$34,MATCH(L205,Method_2030_2050!$B$9:$B$34,0)),1),1)</f>
        <v/>
      </c>
      <c r="I205" t="inlineStr">
        <is>
          <t>CAPEX/OPEX ratio projection with constant bridge</t>
        </is>
      </c>
      <c r="J205" t="inlineStr"/>
      <c r="K205" t="inlineStr"/>
      <c r="L205" t="inlineStr">
        <is>
          <t>Wind offshore floating</t>
        </is>
      </c>
      <c r="M205" t="inlineStr"/>
      <c r="N205" t="inlineStr">
        <is>
          <t>CAPEX 2050/2030=0.5229712702987412</t>
        </is>
      </c>
      <c r="O205" t="n">
        <v>2030</v>
      </c>
      <c r="P205" t="n">
        <v>2050</v>
      </c>
      <c r="Q205">
        <f>Q204*IFERROR(IF(ISNUMBER(INDEX(Method_2030_2050!$D$9:$D$34,MATCH(L205,Method_2030_2050!$B$9:$B$34,0))),INDEX(Method_2030_2050!$D$9:$D$34,MATCH(L205,Method_2030_2050!$B$9:$B$34,0)),1),1)</f>
        <v/>
      </c>
    </row>
    <row r="206">
      <c r="A206" t="inlineStr">
        <is>
          <t>French QBIS 2023</t>
        </is>
      </c>
      <c r="B206" t="inlineStr">
        <is>
          <t>Offshore wind (floating)</t>
        </is>
      </c>
      <c r="C206" t="inlineStr">
        <is>
          <t>O&amp;M</t>
        </is>
      </c>
      <c r="D206" t="inlineStr">
        <is>
          <t>Direct</t>
        </is>
      </c>
      <c r="E206" t="inlineStr">
        <is>
          <t>job/MW</t>
        </is>
      </c>
      <c r="F206" t="n">
        <v>2024</v>
      </c>
      <c r="G206" t="inlineStr">
        <is>
          <t>6040</t>
        </is>
      </c>
      <c r="H206" t="n">
        <v>6.04</v>
      </c>
      <c r="I206" t="inlineStr">
        <is>
          <t>Original</t>
        </is>
      </c>
      <c r="J206" t="inlineStr"/>
      <c r="K206" t="inlineStr"/>
      <c r="L206" t="inlineStr"/>
      <c r="M206" t="inlineStr"/>
      <c r="N206" t="inlineStr"/>
      <c r="O206" t="n">
        <v>2024</v>
      </c>
      <c r="P206" t="n">
        <v>2024</v>
      </c>
      <c r="Q206" t="n">
        <v>6.04</v>
      </c>
    </row>
    <row r="207">
      <c r="A207" t="inlineStr">
        <is>
          <t>French QBIS 2023</t>
        </is>
      </c>
      <c r="B207" t="inlineStr">
        <is>
          <t>Offshore wind (floating)</t>
        </is>
      </c>
      <c r="C207" t="inlineStr">
        <is>
          <t>O&amp;M</t>
        </is>
      </c>
      <c r="D207" t="inlineStr">
        <is>
          <t>Direct</t>
        </is>
      </c>
      <c r="E207" t="inlineStr">
        <is>
          <t>job/MW</t>
        </is>
      </c>
      <c r="F207" t="n">
        <v>2030</v>
      </c>
      <c r="G207">
        <f>G206*IFERROR(IF(ISNUMBER(INDEX(Method_2030_2050!$E$9:$E$34,MATCH(L207,Method_2030_2050!$B$9:$B$34,0))),INDEX(Method_2030_2050!$E$9:$E$34,MATCH(L207,Method_2030_2050!$B$9:$B$34,0)),1),1)</f>
        <v/>
      </c>
      <c r="H207">
        <f>H206*IFERROR(IF(ISNUMBER(INDEX(Method_2030_2050!$E$9:$E$34,MATCH(L207,Method_2030_2050!$B$9:$B$34,0))),INDEX(Method_2030_2050!$E$9:$E$34,MATCH(L207,Method_2030_2050!$B$9:$B$34,0)),1),1)</f>
        <v/>
      </c>
      <c r="I207" t="inlineStr">
        <is>
          <t>CAPEX/OPEX ratio projection with constant bridge</t>
        </is>
      </c>
      <c r="J207" t="inlineStr"/>
      <c r="K207" t="inlineStr"/>
      <c r="L207" t="inlineStr">
        <is>
          <t>Wind offshore floating</t>
        </is>
      </c>
      <c r="M207" t="inlineStr"/>
      <c r="N207" t="inlineStr">
        <is>
          <t>OPEX 2030/2024 unavailable; value held constant</t>
        </is>
      </c>
      <c r="O207" t="n">
        <v>2024</v>
      </c>
      <c r="P207" t="n">
        <v>2030</v>
      </c>
      <c r="Q207">
        <f>Q206*IFERROR(IF(ISNUMBER(INDEX(Method_2030_2050!$E$9:$E$34,MATCH(L207,Method_2030_2050!$B$9:$B$34,0))),INDEX(Method_2030_2050!$E$9:$E$34,MATCH(L207,Method_2030_2050!$B$9:$B$34,0)),1),1)</f>
        <v/>
      </c>
    </row>
    <row r="208">
      <c r="A208" t="inlineStr">
        <is>
          <t>French QBIS 2023</t>
        </is>
      </c>
      <c r="B208" t="inlineStr">
        <is>
          <t>Offshore wind (floating)</t>
        </is>
      </c>
      <c r="C208" t="inlineStr">
        <is>
          <t>O&amp;M</t>
        </is>
      </c>
      <c r="D208" t="inlineStr">
        <is>
          <t>Direct</t>
        </is>
      </c>
      <c r="E208" t="inlineStr">
        <is>
          <t>job/MW</t>
        </is>
      </c>
      <c r="F208" t="n">
        <v>2050</v>
      </c>
      <c r="G208">
        <f>G207*IFERROR(IF(ISNUMBER(INDEX(Method_2030_2050!$F$9:$F$34,MATCH(L208,Method_2030_2050!$B$9:$B$34,0))),INDEX(Method_2030_2050!$F$9:$F$34,MATCH(L208,Method_2030_2050!$B$9:$B$34,0)),1),1)</f>
        <v/>
      </c>
      <c r="H208">
        <f>H207*IFERROR(IF(ISNUMBER(INDEX(Method_2030_2050!$F$9:$F$34,MATCH(L208,Method_2030_2050!$B$9:$B$34,0))),INDEX(Method_2030_2050!$F$9:$F$34,MATCH(L208,Method_2030_2050!$B$9:$B$34,0)),1),1)</f>
        <v/>
      </c>
      <c r="I208" t="inlineStr">
        <is>
          <t>CAPEX/OPEX ratio projection with constant bridge</t>
        </is>
      </c>
      <c r="J208" t="inlineStr"/>
      <c r="K208" t="inlineStr"/>
      <c r="L208" t="inlineStr">
        <is>
          <t>Wind offshore floating</t>
        </is>
      </c>
      <c r="M208" t="inlineStr"/>
      <c r="N208" t="inlineStr">
        <is>
          <t>OPEX 2050/2030=0.5207373271889401</t>
        </is>
      </c>
      <c r="O208" t="n">
        <v>2030</v>
      </c>
      <c r="P208" t="n">
        <v>2050</v>
      </c>
      <c r="Q208">
        <f>Q207*IFERROR(IF(ISNUMBER(INDEX(Method_2030_2050!$F$9:$F$34,MATCH(L208,Method_2030_2050!$B$9:$B$34,0))),INDEX(Method_2030_2050!$F$9:$F$34,MATCH(L208,Method_2030_2050!$B$9:$B$34,0)),1),1)</f>
        <v/>
      </c>
    </row>
    <row r="209">
      <c r="A209" t="inlineStr">
        <is>
          <t>Rutovitz 2015</t>
        </is>
      </c>
      <c r="B209" t="inlineStr">
        <is>
          <t>Oil and diesel</t>
        </is>
      </c>
      <c r="C209" t="inlineStr">
        <is>
          <t>Construction</t>
        </is>
      </c>
      <c r="D209" t="inlineStr">
        <is>
          <t>Direct</t>
        </is>
      </c>
      <c r="E209" t="inlineStr">
        <is>
          <t>job-yr/MW</t>
        </is>
      </c>
      <c r="F209" t="n">
        <v>2015</v>
      </c>
      <c r="G209" t="inlineStr">
        <is>
          <t>1.3</t>
        </is>
      </c>
      <c r="H209" t="n">
        <v>1.3</v>
      </c>
      <c r="I209" t="inlineStr">
        <is>
          <t>Original</t>
        </is>
      </c>
      <c r="J209" t="inlineStr"/>
      <c r="K209" t="inlineStr"/>
      <c r="L209" t="inlineStr"/>
      <c r="M209" t="inlineStr"/>
      <c r="N209" t="inlineStr"/>
      <c r="O209" t="n">
        <v>2015</v>
      </c>
      <c r="P209" t="n">
        <v>2015</v>
      </c>
      <c r="Q209" t="n">
        <v>1.3</v>
      </c>
    </row>
    <row r="210">
      <c r="A210" t="inlineStr">
        <is>
          <t>Rutovitz 2015</t>
        </is>
      </c>
      <c r="B210" t="inlineStr">
        <is>
          <t>Oil and diesel</t>
        </is>
      </c>
      <c r="C210" t="inlineStr">
        <is>
          <t>Construction</t>
        </is>
      </c>
      <c r="D210" t="inlineStr">
        <is>
          <t>Direct</t>
        </is>
      </c>
      <c r="E210" t="inlineStr">
        <is>
          <t>job-yr/MW</t>
        </is>
      </c>
      <c r="F210" t="n">
        <v>2030</v>
      </c>
      <c r="G210">
        <f>G209*K210</f>
        <v/>
      </c>
      <c r="H210">
        <f>H209*K210</f>
        <v/>
      </c>
      <c r="I210" t="inlineStr">
        <is>
          <t>Rutovitz Table 9 decline to 2030</t>
        </is>
      </c>
      <c r="J210" t="inlineStr">
        <is>
          <t>Oil</t>
        </is>
      </c>
      <c r="K210">
        <f>INDEX(Mappings_Rutovitz!$D$2:$D$14,MATCH(J210,Mappings_Rutovitz!$B$2:$B$14,0))</f>
        <v/>
      </c>
      <c r="L210" t="inlineStr"/>
      <c r="M210" t="inlineStr"/>
      <c r="N210" t="inlineStr">
        <is>
          <t>Rutovitz Table 9 Latin America 2030</t>
        </is>
      </c>
      <c r="O210" t="n">
        <v>2015</v>
      </c>
      <c r="P210" t="n">
        <v>2030</v>
      </c>
      <c r="Q210">
        <f>Q209*K210</f>
        <v/>
      </c>
    </row>
    <row r="211">
      <c r="A211" t="inlineStr">
        <is>
          <t>Rutovitz 2015</t>
        </is>
      </c>
      <c r="B211" t="inlineStr">
        <is>
          <t>Oil and diesel</t>
        </is>
      </c>
      <c r="C211" t="inlineStr">
        <is>
          <t>Construction</t>
        </is>
      </c>
      <c r="D211" t="inlineStr">
        <is>
          <t>Direct</t>
        </is>
      </c>
      <c r="E211" t="inlineStr">
        <is>
          <t>job-yr/MW</t>
        </is>
      </c>
      <c r="F211" t="n">
        <v>2050</v>
      </c>
      <c r="G211">
        <f>G210*IFERROR(IF(ISNUMBER(INDEX(Method_2030_2050!$D$9:$D$34,MATCH(L211,Method_2030_2050!$B$9:$B$34,0))),INDEX(Method_2030_2050!$D$9:$D$34,MATCH(L211,Method_2030_2050!$B$9:$B$34,0)),1),1)</f>
        <v/>
      </c>
      <c r="H211">
        <f>H210*IFERROR(IF(ISNUMBER(INDEX(Method_2030_2050!$D$9:$D$34,MATCH(L211,Method_2030_2050!$B$9:$B$34,0))),INDEX(Method_2030_2050!$D$9:$D$34,MATCH(L211,Method_2030_2050!$B$9:$B$34,0)),1),1)</f>
        <v/>
      </c>
      <c r="I211" t="inlineStr">
        <is>
          <t>CAPEX/OPEX ratio projection using proxy mapping</t>
        </is>
      </c>
      <c r="J211" t="inlineStr">
        <is>
          <t>Oil</t>
        </is>
      </c>
      <c r="K211" t="inlineStr"/>
      <c r="L211" t="inlineStr">
        <is>
          <t>SCGT (GAS)</t>
        </is>
      </c>
      <c r="M211" t="inlineStr"/>
      <c r="N211" t="inlineStr">
        <is>
          <t>CAPEX 2050/2030=0.9607509570263428</t>
        </is>
      </c>
      <c r="O211" t="n">
        <v>2030</v>
      </c>
      <c r="P211" t="n">
        <v>2050</v>
      </c>
      <c r="Q211">
        <f>Q210*IFERROR(IF(ISNUMBER(INDEX(Method_2030_2050!$D$9:$D$34,MATCH(L211,Method_2030_2050!$B$9:$B$34,0))),INDEX(Method_2030_2050!$D$9:$D$34,MATCH(L211,Method_2030_2050!$B$9:$B$34,0)),1),1)</f>
        <v/>
      </c>
    </row>
    <row r="212">
      <c r="A212" t="inlineStr">
        <is>
          <t>Rutovitz 2015</t>
        </is>
      </c>
      <c r="B212" t="inlineStr">
        <is>
          <t>Oil and diesel</t>
        </is>
      </c>
      <c r="C212" t="inlineStr">
        <is>
          <t>Fuel</t>
        </is>
      </c>
      <c r="D212" t="inlineStr">
        <is>
          <t>Fuel</t>
        </is>
      </c>
      <c r="E212" t="inlineStr">
        <is>
          <t>job/PJ</t>
        </is>
      </c>
      <c r="F212" t="n">
        <v>2015</v>
      </c>
      <c r="G212" t="inlineStr">
        <is>
          <t>World avg 15.1 jobs/PJ</t>
        </is>
      </c>
      <c r="H212" t="n">
        <v>15.1</v>
      </c>
      <c r="I212" t="inlineStr">
        <is>
          <t>Original</t>
        </is>
      </c>
      <c r="J212" t="inlineStr"/>
      <c r="K212" t="inlineStr"/>
      <c r="L212" t="inlineStr"/>
      <c r="M212" t="inlineStr"/>
      <c r="N212" t="inlineStr"/>
      <c r="O212" t="n">
        <v>2015</v>
      </c>
      <c r="P212" t="n">
        <v>2015</v>
      </c>
      <c r="Q212" t="n">
        <v>15.1</v>
      </c>
    </row>
    <row r="213">
      <c r="A213" t="inlineStr">
        <is>
          <t>Rutovitz 2015</t>
        </is>
      </c>
      <c r="B213" t="inlineStr">
        <is>
          <t>Oil and diesel</t>
        </is>
      </c>
      <c r="C213" t="inlineStr">
        <is>
          <t>Manufacturing</t>
        </is>
      </c>
      <c r="D213" t="inlineStr">
        <is>
          <t>Direct</t>
        </is>
      </c>
      <c r="E213" t="inlineStr">
        <is>
          <t>job-yr/MW</t>
        </is>
      </c>
      <c r="F213" t="n">
        <v>2015</v>
      </c>
      <c r="G213" t="inlineStr">
        <is>
          <t>0.93</t>
        </is>
      </c>
      <c r="H213" t="n">
        <v>0.93</v>
      </c>
      <c r="I213" t="inlineStr">
        <is>
          <t>Original</t>
        </is>
      </c>
      <c r="J213" t="inlineStr"/>
      <c r="K213" t="inlineStr"/>
      <c r="L213" t="inlineStr"/>
      <c r="M213" t="inlineStr"/>
      <c r="N213" t="inlineStr"/>
      <c r="O213" t="n">
        <v>2015</v>
      </c>
      <c r="P213" t="n">
        <v>2015</v>
      </c>
      <c r="Q213" t="n">
        <v>0.93</v>
      </c>
    </row>
    <row r="214">
      <c r="A214" t="inlineStr">
        <is>
          <t>Rutovitz 2015</t>
        </is>
      </c>
      <c r="B214" t="inlineStr">
        <is>
          <t>Oil and diesel</t>
        </is>
      </c>
      <c r="C214" t="inlineStr">
        <is>
          <t>Manufacturing</t>
        </is>
      </c>
      <c r="D214" t="inlineStr">
        <is>
          <t>Direct</t>
        </is>
      </c>
      <c r="E214" t="inlineStr">
        <is>
          <t>job-yr/MW</t>
        </is>
      </c>
      <c r="F214" t="n">
        <v>2030</v>
      </c>
      <c r="G214">
        <f>G213*K214</f>
        <v/>
      </c>
      <c r="H214">
        <f>H213*K214</f>
        <v/>
      </c>
      <c r="I214" t="inlineStr">
        <is>
          <t>Rutovitz Table 9 decline to 2030</t>
        </is>
      </c>
      <c r="J214" t="inlineStr">
        <is>
          <t>Oil</t>
        </is>
      </c>
      <c r="K214">
        <f>INDEX(Mappings_Rutovitz!$D$2:$D$14,MATCH(J214,Mappings_Rutovitz!$B$2:$B$14,0))</f>
        <v/>
      </c>
      <c r="L214" t="inlineStr"/>
      <c r="M214" t="inlineStr"/>
      <c r="N214" t="inlineStr">
        <is>
          <t>Rutovitz Table 9 Latin America 2030</t>
        </is>
      </c>
      <c r="O214" t="n">
        <v>2015</v>
      </c>
      <c r="P214" t="n">
        <v>2030</v>
      </c>
      <c r="Q214">
        <f>Q213*K214</f>
        <v/>
      </c>
    </row>
    <row r="215">
      <c r="A215" t="inlineStr">
        <is>
          <t>Rutovitz 2015</t>
        </is>
      </c>
      <c r="B215" t="inlineStr">
        <is>
          <t>Oil and diesel</t>
        </is>
      </c>
      <c r="C215" t="inlineStr">
        <is>
          <t>Manufacturing</t>
        </is>
      </c>
      <c r="D215" t="inlineStr">
        <is>
          <t>Direct</t>
        </is>
      </c>
      <c r="E215" t="inlineStr">
        <is>
          <t>job-yr/MW</t>
        </is>
      </c>
      <c r="F215" t="n">
        <v>2050</v>
      </c>
      <c r="G215">
        <f>G214*IFERROR(IF(ISNUMBER(INDEX(Method_2030_2050!$D$9:$D$34,MATCH(L215,Method_2030_2050!$B$9:$B$34,0))),INDEX(Method_2030_2050!$D$9:$D$34,MATCH(L215,Method_2030_2050!$B$9:$B$34,0)),1),1)</f>
        <v/>
      </c>
      <c r="H215">
        <f>H214*IFERROR(IF(ISNUMBER(INDEX(Method_2030_2050!$D$9:$D$34,MATCH(L215,Method_2030_2050!$B$9:$B$34,0))),INDEX(Method_2030_2050!$D$9:$D$34,MATCH(L215,Method_2030_2050!$B$9:$B$34,0)),1),1)</f>
        <v/>
      </c>
      <c r="I215" t="inlineStr">
        <is>
          <t>CAPEX/OPEX ratio projection using proxy mapping</t>
        </is>
      </c>
      <c r="J215" t="inlineStr">
        <is>
          <t>Oil</t>
        </is>
      </c>
      <c r="K215" t="inlineStr"/>
      <c r="L215" t="inlineStr">
        <is>
          <t>SCGT (GAS)</t>
        </is>
      </c>
      <c r="M215" t="inlineStr"/>
      <c r="N215" t="inlineStr">
        <is>
          <t>CAPEX 2050/2030=0.9607509570263428</t>
        </is>
      </c>
      <c r="O215" t="n">
        <v>2030</v>
      </c>
      <c r="P215" t="n">
        <v>2050</v>
      </c>
      <c r="Q215">
        <f>Q214*IFERROR(IF(ISNUMBER(INDEX(Method_2030_2050!$D$9:$D$34,MATCH(L215,Method_2030_2050!$B$9:$B$34,0))),INDEX(Method_2030_2050!$D$9:$D$34,MATCH(L215,Method_2030_2050!$B$9:$B$34,0)),1),1)</f>
        <v/>
      </c>
    </row>
    <row r="216">
      <c r="A216" t="inlineStr">
        <is>
          <t>Rutovitz 2015</t>
        </is>
      </c>
      <c r="B216" t="inlineStr">
        <is>
          <t>Oil and diesel</t>
        </is>
      </c>
      <c r="C216" t="inlineStr">
        <is>
          <t>O&amp;M</t>
        </is>
      </c>
      <c r="D216" t="inlineStr">
        <is>
          <t>Direct</t>
        </is>
      </c>
      <c r="E216" t="inlineStr">
        <is>
          <t>job/MW</t>
        </is>
      </c>
      <c r="F216" t="n">
        <v>2015</v>
      </c>
      <c r="G216" t="inlineStr">
        <is>
          <t>0.14</t>
        </is>
      </c>
      <c r="H216" t="n">
        <v>0.14</v>
      </c>
      <c r="I216" t="inlineStr">
        <is>
          <t>Original</t>
        </is>
      </c>
      <c r="J216" t="inlineStr"/>
      <c r="K216" t="inlineStr"/>
      <c r="L216" t="inlineStr"/>
      <c r="M216" t="inlineStr"/>
      <c r="N216" t="inlineStr"/>
      <c r="O216" t="n">
        <v>2015</v>
      </c>
      <c r="P216" t="n">
        <v>2015</v>
      </c>
      <c r="Q216" t="n">
        <v>0.14</v>
      </c>
    </row>
    <row r="217">
      <c r="A217" t="inlineStr">
        <is>
          <t>Rutovitz 2015</t>
        </is>
      </c>
      <c r="B217" t="inlineStr">
        <is>
          <t>Oil and diesel</t>
        </is>
      </c>
      <c r="C217" t="inlineStr">
        <is>
          <t>O&amp;M</t>
        </is>
      </c>
      <c r="D217" t="inlineStr">
        <is>
          <t>Direct</t>
        </is>
      </c>
      <c r="E217" t="inlineStr">
        <is>
          <t>job/MW</t>
        </is>
      </c>
      <c r="F217" t="n">
        <v>2030</v>
      </c>
      <c r="G217">
        <f>G216*K217</f>
        <v/>
      </c>
      <c r="H217">
        <f>H216*K217</f>
        <v/>
      </c>
      <c r="I217" t="inlineStr">
        <is>
          <t>Rutovitz Table 9 decline to 2030</t>
        </is>
      </c>
      <c r="J217" t="inlineStr">
        <is>
          <t>Oil</t>
        </is>
      </c>
      <c r="K217">
        <f>INDEX(Mappings_Rutovitz!$D$2:$D$14,MATCH(J217,Mappings_Rutovitz!$B$2:$B$14,0))</f>
        <v/>
      </c>
      <c r="L217" t="inlineStr"/>
      <c r="M217" t="inlineStr"/>
      <c r="N217" t="inlineStr">
        <is>
          <t>Rutovitz Table 9 Latin America 2030</t>
        </is>
      </c>
      <c r="O217" t="n">
        <v>2015</v>
      </c>
      <c r="P217" t="n">
        <v>2030</v>
      </c>
      <c r="Q217">
        <f>Q216*K217</f>
        <v/>
      </c>
    </row>
    <row r="218">
      <c r="A218" t="inlineStr">
        <is>
          <t>Rutovitz 2015</t>
        </is>
      </c>
      <c r="B218" t="inlineStr">
        <is>
          <t>Oil and diesel</t>
        </is>
      </c>
      <c r="C218" t="inlineStr">
        <is>
          <t>O&amp;M</t>
        </is>
      </c>
      <c r="D218" t="inlineStr">
        <is>
          <t>Direct</t>
        </is>
      </c>
      <c r="E218" t="inlineStr">
        <is>
          <t>job/MW</t>
        </is>
      </c>
      <c r="F218" t="n">
        <v>2050</v>
      </c>
      <c r="G218">
        <f>G217*IFERROR(IF(ISNUMBER(INDEX(Method_2030_2050!$F$9:$F$34,MATCH(L218,Method_2030_2050!$B$9:$B$34,0))),INDEX(Method_2030_2050!$F$9:$F$34,MATCH(L218,Method_2030_2050!$B$9:$B$34,0)),1),1)</f>
        <v/>
      </c>
      <c r="H218">
        <f>H217*IFERROR(IF(ISNUMBER(INDEX(Method_2030_2050!$F$9:$F$34,MATCH(L218,Method_2030_2050!$B$9:$B$34,0))),INDEX(Method_2030_2050!$F$9:$F$34,MATCH(L218,Method_2030_2050!$B$9:$B$34,0)),1),1)</f>
        <v/>
      </c>
      <c r="I218" t="inlineStr">
        <is>
          <t>CAPEX/OPEX ratio projection using proxy mapping</t>
        </is>
      </c>
      <c r="J218" t="inlineStr">
        <is>
          <t>Oil</t>
        </is>
      </c>
      <c r="K218" t="inlineStr"/>
      <c r="L218" t="inlineStr">
        <is>
          <t>SCGT (GAS)</t>
        </is>
      </c>
      <c r="M218" t="inlineStr"/>
      <c r="N218" t="inlineStr">
        <is>
          <t>OPEX 2050/2030=0.9620689655172414</t>
        </is>
      </c>
      <c r="O218" t="n">
        <v>2030</v>
      </c>
      <c r="P218" t="n">
        <v>2050</v>
      </c>
      <c r="Q218">
        <f>Q217*IFERROR(IF(ISNUMBER(INDEX(Method_2030_2050!$F$9:$F$34,MATCH(L218,Method_2030_2050!$B$9:$B$34,0))),INDEX(Method_2030_2050!$F$9:$F$34,MATCH(L218,Method_2030_2050!$B$9:$B$34,0)),1),1)</f>
        <v/>
      </c>
    </row>
    <row r="219">
      <c r="A219" t="inlineStr">
        <is>
          <t>Rutovitz 2015</t>
        </is>
      </c>
      <c r="B219" t="inlineStr">
        <is>
          <t>Onshore wind</t>
        </is>
      </c>
      <c r="C219" t="inlineStr">
        <is>
          <t>Construction</t>
        </is>
      </c>
      <c r="D219" t="inlineStr">
        <is>
          <t>Direct</t>
        </is>
      </c>
      <c r="E219" t="inlineStr">
        <is>
          <t>job-yr/MW</t>
        </is>
      </c>
      <c r="F219" t="n">
        <v>2015</v>
      </c>
      <c r="G219" t="inlineStr">
        <is>
          <t>6.7</t>
        </is>
      </c>
      <c r="H219" t="n">
        <v>6.7</v>
      </c>
      <c r="I219" t="inlineStr">
        <is>
          <t>Original</t>
        </is>
      </c>
      <c r="J219" t="inlineStr"/>
      <c r="K219" t="inlineStr"/>
      <c r="L219" t="inlineStr"/>
      <c r="M219" t="inlineStr"/>
      <c r="N219" t="inlineStr"/>
      <c r="O219" t="n">
        <v>2015</v>
      </c>
      <c r="P219" t="n">
        <v>2015</v>
      </c>
      <c r="Q219" t="n">
        <v>6.7</v>
      </c>
    </row>
    <row r="220">
      <c r="A220" t="inlineStr">
        <is>
          <t>Rutovitz 2015</t>
        </is>
      </c>
      <c r="B220" t="inlineStr">
        <is>
          <t>Onshore wind</t>
        </is>
      </c>
      <c r="C220" t="inlineStr">
        <is>
          <t>Construction</t>
        </is>
      </c>
      <c r="D220" t="inlineStr">
        <is>
          <t>Direct</t>
        </is>
      </c>
      <c r="E220" t="inlineStr">
        <is>
          <t>job-yr/MW</t>
        </is>
      </c>
      <c r="F220" t="n">
        <v>2030</v>
      </c>
      <c r="G220">
        <f>G219*K220</f>
        <v/>
      </c>
      <c r="H220">
        <f>H219*K220</f>
        <v/>
      </c>
      <c r="I220" t="inlineStr">
        <is>
          <t>Rutovitz Table 9 decline to 2030</t>
        </is>
      </c>
      <c r="J220" t="inlineStr">
        <is>
          <t>Wind onshore</t>
        </is>
      </c>
      <c r="K220">
        <f>INDEX(Mappings_Rutovitz!$D$2:$D$14,MATCH(J220,Mappings_Rutovitz!$B$2:$B$14,0))</f>
        <v/>
      </c>
      <c r="L220" t="inlineStr"/>
      <c r="M220" t="inlineStr"/>
      <c r="N220" t="inlineStr">
        <is>
          <t>Rutovitz Table 9 Latin America 2030</t>
        </is>
      </c>
      <c r="O220" t="n">
        <v>2015</v>
      </c>
      <c r="P220" t="n">
        <v>2030</v>
      </c>
      <c r="Q220">
        <f>Q219*K220</f>
        <v/>
      </c>
    </row>
    <row r="221">
      <c r="A221" t="inlineStr">
        <is>
          <t>Rutovitz 2015</t>
        </is>
      </c>
      <c r="B221" t="inlineStr">
        <is>
          <t>Onshore wind</t>
        </is>
      </c>
      <c r="C221" t="inlineStr">
        <is>
          <t>Construction</t>
        </is>
      </c>
      <c r="D221" t="inlineStr">
        <is>
          <t>Direct</t>
        </is>
      </c>
      <c r="E221" t="inlineStr">
        <is>
          <t>job-yr/MW</t>
        </is>
      </c>
      <c r="F221" t="n">
        <v>2050</v>
      </c>
      <c r="G221">
        <f>G220*IFERROR(IF(ISNUMBER(INDEX(Method_2030_2050!$D$9:$D$34,MATCH(L221,Method_2030_2050!$B$9:$B$34,0))),INDEX(Method_2030_2050!$D$9:$D$34,MATCH(L221,Method_2030_2050!$B$9:$B$34,0)),1),1)</f>
        <v/>
      </c>
      <c r="H221">
        <f>H220*IFERROR(IF(ISNUMBER(INDEX(Method_2030_2050!$D$9:$D$34,MATCH(L221,Method_2030_2050!$B$9:$B$34,0))),INDEX(Method_2030_2050!$D$9:$D$34,MATCH(L221,Method_2030_2050!$B$9:$B$34,0)),1),1)</f>
        <v/>
      </c>
      <c r="I221" t="inlineStr">
        <is>
          <t>CAPEX/OPEX ratio projection</t>
        </is>
      </c>
      <c r="J221" t="inlineStr">
        <is>
          <t>Wind onshore</t>
        </is>
      </c>
      <c r="K221" t="inlineStr"/>
      <c r="L221" t="inlineStr">
        <is>
          <t>Wind Onshore</t>
        </is>
      </c>
      <c r="M221" t="inlineStr"/>
      <c r="N221" t="inlineStr">
        <is>
          <t>CAPEX 2050/2030=0.9469531187817524</t>
        </is>
      </c>
      <c r="O221" t="n">
        <v>2030</v>
      </c>
      <c r="P221" t="n">
        <v>2050</v>
      </c>
      <c r="Q221">
        <f>Q220*IFERROR(IF(ISNUMBER(INDEX(Method_2030_2050!$D$9:$D$34,MATCH(L221,Method_2030_2050!$B$9:$B$34,0))),INDEX(Method_2030_2050!$D$9:$D$34,MATCH(L221,Method_2030_2050!$B$9:$B$34,0)),1),1)</f>
        <v/>
      </c>
    </row>
    <row r="222">
      <c r="A222" t="inlineStr">
        <is>
          <t>Rutovitz 2025</t>
        </is>
      </c>
      <c r="B222" t="inlineStr">
        <is>
          <t>Onshore wind</t>
        </is>
      </c>
      <c r="C222" t="inlineStr">
        <is>
          <t>Construction</t>
        </is>
      </c>
      <c r="D222" t="inlineStr">
        <is>
          <t>Direct</t>
        </is>
      </c>
      <c r="E222" t="inlineStr">
        <is>
          <t>job-yr/MW</t>
        </is>
      </c>
      <c r="F222" t="n">
        <v>2024</v>
      </c>
      <c r="G222" t="inlineStr">
        <is>
          <t>2.65</t>
        </is>
      </c>
      <c r="H222" t="n">
        <v>2.65</v>
      </c>
      <c r="I222" t="inlineStr">
        <is>
          <t>Original</t>
        </is>
      </c>
      <c r="J222" t="inlineStr"/>
      <c r="K222" t="inlineStr"/>
      <c r="L222" t="inlineStr"/>
      <c r="M222" t="inlineStr"/>
      <c r="N222" t="inlineStr"/>
      <c r="O222" t="n">
        <v>2024</v>
      </c>
      <c r="P222" t="n">
        <v>2024</v>
      </c>
      <c r="Q222" t="n">
        <v>2.65</v>
      </c>
    </row>
    <row r="223">
      <c r="A223" t="inlineStr">
        <is>
          <t>Rutovitz 2025</t>
        </is>
      </c>
      <c r="B223" t="inlineStr">
        <is>
          <t>Onshore wind</t>
        </is>
      </c>
      <c r="C223" t="inlineStr">
        <is>
          <t>Construction</t>
        </is>
      </c>
      <c r="D223" t="inlineStr">
        <is>
          <t>Direct</t>
        </is>
      </c>
      <c r="E223" t="inlineStr">
        <is>
          <t>job-yr/MW</t>
        </is>
      </c>
      <c r="F223" t="n">
        <v>2030</v>
      </c>
      <c r="G223">
        <f>G222*IFERROR(IF(ISNUMBER(INDEX(Method_2030_2050!$C$9:$C$34,MATCH(L223,Method_2030_2050!$B$9:$B$34,0))),INDEX(Method_2030_2050!$C$9:$C$34,MATCH(L223,Method_2030_2050!$B$9:$B$34,0)),1),1)</f>
        <v/>
      </c>
      <c r="H223">
        <f>H222*IFERROR(IF(ISNUMBER(INDEX(Method_2030_2050!$C$9:$C$34,MATCH(L223,Method_2030_2050!$B$9:$B$34,0))),INDEX(Method_2030_2050!$C$9:$C$34,MATCH(L223,Method_2030_2050!$B$9:$B$34,0)),1),1)</f>
        <v/>
      </c>
      <c r="I223" t="inlineStr">
        <is>
          <t>CAPEX/OPEX ratio projection</t>
        </is>
      </c>
      <c r="J223" t="inlineStr"/>
      <c r="K223" t="inlineStr"/>
      <c r="L223" t="inlineStr">
        <is>
          <t>Wind Onshore</t>
        </is>
      </c>
      <c r="M223" t="inlineStr"/>
      <c r="N223" t="inlineStr">
        <is>
          <t>CAPEX 2030/2024=0.94902649104247</t>
        </is>
      </c>
      <c r="O223" t="n">
        <v>2024</v>
      </c>
      <c r="P223" t="n">
        <v>2030</v>
      </c>
      <c r="Q223">
        <f>Q222*IFERROR(IF(ISNUMBER(INDEX(Method_2030_2050!$C$9:$C$34,MATCH(L223,Method_2030_2050!$B$9:$B$34,0))),INDEX(Method_2030_2050!$C$9:$C$34,MATCH(L223,Method_2030_2050!$B$9:$B$34,0)),1),1)</f>
        <v/>
      </c>
    </row>
    <row r="224">
      <c r="A224" t="inlineStr">
        <is>
          <t>Rutovitz 2025</t>
        </is>
      </c>
      <c r="B224" t="inlineStr">
        <is>
          <t>Onshore wind</t>
        </is>
      </c>
      <c r="C224" t="inlineStr">
        <is>
          <t>Construction</t>
        </is>
      </c>
      <c r="D224" t="inlineStr">
        <is>
          <t>Direct</t>
        </is>
      </c>
      <c r="E224" t="inlineStr">
        <is>
          <t>job-yr/MW</t>
        </is>
      </c>
      <c r="F224" t="n">
        <v>2050</v>
      </c>
      <c r="G224">
        <f>G223*IFERROR(IF(ISNUMBER(INDEX(Method_2030_2050!$D$9:$D$34,MATCH(L224,Method_2030_2050!$B$9:$B$34,0))),INDEX(Method_2030_2050!$D$9:$D$34,MATCH(L224,Method_2030_2050!$B$9:$B$34,0)),1),1)</f>
        <v/>
      </c>
      <c r="H224">
        <f>H223*IFERROR(IF(ISNUMBER(INDEX(Method_2030_2050!$D$9:$D$34,MATCH(L224,Method_2030_2050!$B$9:$B$34,0))),INDEX(Method_2030_2050!$D$9:$D$34,MATCH(L224,Method_2030_2050!$B$9:$B$34,0)),1),1)</f>
        <v/>
      </c>
      <c r="I224" t="inlineStr">
        <is>
          <t>CAPEX/OPEX ratio projection</t>
        </is>
      </c>
      <c r="J224" t="inlineStr"/>
      <c r="K224" t="inlineStr"/>
      <c r="L224" t="inlineStr">
        <is>
          <t>Wind Onshore</t>
        </is>
      </c>
      <c r="M224" t="inlineStr"/>
      <c r="N224" t="inlineStr">
        <is>
          <t>CAPEX 2050/2030=0.9469531187817524</t>
        </is>
      </c>
      <c r="O224" t="n">
        <v>2030</v>
      </c>
      <c r="P224" t="n">
        <v>2050</v>
      </c>
      <c r="Q224">
        <f>Q223*IFERROR(IF(ISNUMBER(INDEX(Method_2030_2050!$D$9:$D$34,MATCH(L224,Method_2030_2050!$B$9:$B$34,0))),INDEX(Method_2030_2050!$D$9:$D$34,MATCH(L224,Method_2030_2050!$B$9:$B$34,0)),1),1)</f>
        <v/>
      </c>
    </row>
    <row r="225">
      <c r="A225" t="inlineStr">
        <is>
          <t>I-JEDI</t>
        </is>
      </c>
      <c r="B225" t="inlineStr">
        <is>
          <t>Onshore wind</t>
        </is>
      </c>
      <c r="C225" t="inlineStr">
        <is>
          <t>Construction&amp;Manufacturing</t>
        </is>
      </c>
      <c r="D225" t="inlineStr">
        <is>
          <t>Direct</t>
        </is>
      </c>
      <c r="E225" t="inlineStr">
        <is>
          <t>job-yr/MW</t>
        </is>
      </c>
      <c r="F225" t="n">
        <v>2024</v>
      </c>
      <c r="G225" t="inlineStr">
        <is>
          <t>7.247</t>
        </is>
      </c>
      <c r="H225" t="n">
        <v>7.247</v>
      </c>
      <c r="I225" t="inlineStr">
        <is>
          <t>Original</t>
        </is>
      </c>
      <c r="J225" t="inlineStr"/>
      <c r="K225" t="inlineStr"/>
      <c r="L225" t="inlineStr"/>
      <c r="M225" t="inlineStr"/>
      <c r="N225" t="inlineStr"/>
      <c r="O225" t="n">
        <v>2024</v>
      </c>
      <c r="P225" t="n">
        <v>2024</v>
      </c>
      <c r="Q225" t="n">
        <v>7.247</v>
      </c>
    </row>
    <row r="226">
      <c r="A226" t="inlineStr">
        <is>
          <t>I-JEDI</t>
        </is>
      </c>
      <c r="B226" t="inlineStr">
        <is>
          <t>Onshore wind</t>
        </is>
      </c>
      <c r="C226" t="inlineStr">
        <is>
          <t>Construction&amp;Manufacturing</t>
        </is>
      </c>
      <c r="D226" t="inlineStr">
        <is>
          <t>Direct</t>
        </is>
      </c>
      <c r="E226" t="inlineStr">
        <is>
          <t>job-yr/MW</t>
        </is>
      </c>
      <c r="F226" t="n">
        <v>2030</v>
      </c>
      <c r="G226">
        <f>G225*IFERROR(IF(ISNUMBER(INDEX(Method_2030_2050!$C$9:$C$34,MATCH(L226,Method_2030_2050!$B$9:$B$34,0))),INDEX(Method_2030_2050!$C$9:$C$34,MATCH(L226,Method_2030_2050!$B$9:$B$34,0)),1),1)</f>
        <v/>
      </c>
      <c r="H226">
        <f>H225*IFERROR(IF(ISNUMBER(INDEX(Method_2030_2050!$C$9:$C$34,MATCH(L226,Method_2030_2050!$B$9:$B$34,0))),INDEX(Method_2030_2050!$C$9:$C$34,MATCH(L226,Method_2030_2050!$B$9:$B$34,0)),1),1)</f>
        <v/>
      </c>
      <c r="I226" t="inlineStr">
        <is>
          <t>CAPEX/OPEX ratio projection</t>
        </is>
      </c>
      <c r="J226" t="inlineStr"/>
      <c r="K226" t="inlineStr"/>
      <c r="L226" t="inlineStr">
        <is>
          <t>Wind Onshore</t>
        </is>
      </c>
      <c r="M226" t="inlineStr"/>
      <c r="N226" t="inlineStr">
        <is>
          <t>CAPEX 2030/2024=0.94902649104247</t>
        </is>
      </c>
      <c r="O226" t="n">
        <v>2024</v>
      </c>
      <c r="P226" t="n">
        <v>2030</v>
      </c>
      <c r="Q226">
        <f>Q225*IFERROR(IF(ISNUMBER(INDEX(Method_2030_2050!$C$9:$C$34,MATCH(L226,Method_2030_2050!$B$9:$B$34,0))),INDEX(Method_2030_2050!$C$9:$C$34,MATCH(L226,Method_2030_2050!$B$9:$B$34,0)),1),1)</f>
        <v/>
      </c>
    </row>
    <row r="227">
      <c r="A227" t="inlineStr">
        <is>
          <t>I-JEDI</t>
        </is>
      </c>
      <c r="B227" t="inlineStr">
        <is>
          <t>Onshore wind</t>
        </is>
      </c>
      <c r="C227" t="inlineStr">
        <is>
          <t>Construction&amp;Manufacturing</t>
        </is>
      </c>
      <c r="D227" t="inlineStr">
        <is>
          <t>Direct</t>
        </is>
      </c>
      <c r="E227" t="inlineStr">
        <is>
          <t>job-yr/MW</t>
        </is>
      </c>
      <c r="F227" t="n">
        <v>2050</v>
      </c>
      <c r="G227">
        <f>G226*IFERROR(IF(ISNUMBER(INDEX(Method_2030_2050!$D$9:$D$34,MATCH(L227,Method_2030_2050!$B$9:$B$34,0))),INDEX(Method_2030_2050!$D$9:$D$34,MATCH(L227,Method_2030_2050!$B$9:$B$34,0)),1),1)</f>
        <v/>
      </c>
      <c r="H227">
        <f>H226*IFERROR(IF(ISNUMBER(INDEX(Method_2030_2050!$D$9:$D$34,MATCH(L227,Method_2030_2050!$B$9:$B$34,0))),INDEX(Method_2030_2050!$D$9:$D$34,MATCH(L227,Method_2030_2050!$B$9:$B$34,0)),1),1)</f>
        <v/>
      </c>
      <c r="I227" t="inlineStr">
        <is>
          <t>CAPEX/OPEX ratio projection</t>
        </is>
      </c>
      <c r="J227" t="inlineStr"/>
      <c r="K227" t="inlineStr"/>
      <c r="L227" t="inlineStr">
        <is>
          <t>Wind Onshore</t>
        </is>
      </c>
      <c r="M227" t="inlineStr"/>
      <c r="N227" t="inlineStr">
        <is>
          <t>CAPEX 2050/2030=0.9469531187817524</t>
        </is>
      </c>
      <c r="O227" t="n">
        <v>2030</v>
      </c>
      <c r="P227" t="n">
        <v>2050</v>
      </c>
      <c r="Q227">
        <f>Q226*IFERROR(IF(ISNUMBER(INDEX(Method_2030_2050!$D$9:$D$34,MATCH(L227,Method_2030_2050!$B$9:$B$34,0))),INDEX(Method_2030_2050!$D$9:$D$34,MATCH(L227,Method_2030_2050!$B$9:$B$34,0)),1),1)</f>
        <v/>
      </c>
    </row>
    <row r="228">
      <c r="A228" t="inlineStr">
        <is>
          <t>I-JEDI</t>
        </is>
      </c>
      <c r="B228" t="inlineStr">
        <is>
          <t>Onshore wind</t>
        </is>
      </c>
      <c r="C228" t="inlineStr">
        <is>
          <t>Construction&amp;Manufacturing</t>
        </is>
      </c>
      <c r="D228" t="inlineStr">
        <is>
          <t>Indirect</t>
        </is>
      </c>
      <c r="E228" t="inlineStr">
        <is>
          <t>job-yr/MW</t>
        </is>
      </c>
      <c r="F228" t="n">
        <v>2024</v>
      </c>
      <c r="G228" t="inlineStr">
        <is>
          <t>5.22</t>
        </is>
      </c>
      <c r="H228" t="n">
        <v>5.22</v>
      </c>
      <c r="I228" t="inlineStr">
        <is>
          <t>Original</t>
        </is>
      </c>
      <c r="J228" t="inlineStr"/>
      <c r="K228" t="inlineStr"/>
      <c r="L228" t="inlineStr"/>
      <c r="M228" t="inlineStr"/>
      <c r="N228" t="inlineStr"/>
      <c r="O228" t="n">
        <v>2024</v>
      </c>
      <c r="P228" t="n">
        <v>2024</v>
      </c>
      <c r="Q228" t="n">
        <v>5.22</v>
      </c>
    </row>
    <row r="229">
      <c r="A229" t="inlineStr">
        <is>
          <t>I-JEDI</t>
        </is>
      </c>
      <c r="B229" t="inlineStr">
        <is>
          <t>Onshore wind</t>
        </is>
      </c>
      <c r="C229" t="inlineStr">
        <is>
          <t>Construction&amp;Manufacturing</t>
        </is>
      </c>
      <c r="D229" t="inlineStr">
        <is>
          <t>Indirect</t>
        </is>
      </c>
      <c r="E229" t="inlineStr">
        <is>
          <t>job-yr/MW</t>
        </is>
      </c>
      <c r="F229" t="n">
        <v>2030</v>
      </c>
      <c r="G229">
        <f>G228*IFERROR(IF(ISNUMBER(INDEX(Method_2030_2050!$C$9:$C$34,MATCH(L229,Method_2030_2050!$B$9:$B$34,0))),INDEX(Method_2030_2050!$C$9:$C$34,MATCH(L229,Method_2030_2050!$B$9:$B$34,0)),1),1)</f>
        <v/>
      </c>
      <c r="H229">
        <f>H228*IFERROR(IF(ISNUMBER(INDEX(Method_2030_2050!$C$9:$C$34,MATCH(L229,Method_2030_2050!$B$9:$B$34,0))),INDEX(Method_2030_2050!$C$9:$C$34,MATCH(L229,Method_2030_2050!$B$9:$B$34,0)),1),1)</f>
        <v/>
      </c>
      <c r="I229" t="inlineStr">
        <is>
          <t>CAPEX/OPEX ratio projection</t>
        </is>
      </c>
      <c r="J229" t="inlineStr"/>
      <c r="K229" t="inlineStr"/>
      <c r="L229" t="inlineStr">
        <is>
          <t>Wind Onshore</t>
        </is>
      </c>
      <c r="M229" t="inlineStr"/>
      <c r="N229" t="inlineStr">
        <is>
          <t>CAPEX 2030/2024=0.94902649104247</t>
        </is>
      </c>
      <c r="O229" t="n">
        <v>2024</v>
      </c>
      <c r="P229" t="n">
        <v>2030</v>
      </c>
      <c r="Q229">
        <f>Q228*IFERROR(IF(ISNUMBER(INDEX(Method_2030_2050!$C$9:$C$34,MATCH(L229,Method_2030_2050!$B$9:$B$34,0))),INDEX(Method_2030_2050!$C$9:$C$34,MATCH(L229,Method_2030_2050!$B$9:$B$34,0)),1),1)</f>
        <v/>
      </c>
    </row>
    <row r="230">
      <c r="A230" t="inlineStr">
        <is>
          <t>I-JEDI</t>
        </is>
      </c>
      <c r="B230" t="inlineStr">
        <is>
          <t>Onshore wind</t>
        </is>
      </c>
      <c r="C230" t="inlineStr">
        <is>
          <t>Construction&amp;Manufacturing</t>
        </is>
      </c>
      <c r="D230" t="inlineStr">
        <is>
          <t>Indirect</t>
        </is>
      </c>
      <c r="E230" t="inlineStr">
        <is>
          <t>job-yr/MW</t>
        </is>
      </c>
      <c r="F230" t="n">
        <v>2050</v>
      </c>
      <c r="G230">
        <f>G229*IFERROR(IF(ISNUMBER(INDEX(Method_2030_2050!$D$9:$D$34,MATCH(L230,Method_2030_2050!$B$9:$B$34,0))),INDEX(Method_2030_2050!$D$9:$D$34,MATCH(L230,Method_2030_2050!$B$9:$B$34,0)),1),1)</f>
        <v/>
      </c>
      <c r="H230">
        <f>H229*IFERROR(IF(ISNUMBER(INDEX(Method_2030_2050!$D$9:$D$34,MATCH(L230,Method_2030_2050!$B$9:$B$34,0))),INDEX(Method_2030_2050!$D$9:$D$34,MATCH(L230,Method_2030_2050!$B$9:$B$34,0)),1),1)</f>
        <v/>
      </c>
      <c r="I230" t="inlineStr">
        <is>
          <t>CAPEX/OPEX ratio projection</t>
        </is>
      </c>
      <c r="J230" t="inlineStr"/>
      <c r="K230" t="inlineStr"/>
      <c r="L230" t="inlineStr">
        <is>
          <t>Wind Onshore</t>
        </is>
      </c>
      <c r="M230" t="inlineStr"/>
      <c r="N230" t="inlineStr">
        <is>
          <t>CAPEX 2050/2030=0.9469531187817524</t>
        </is>
      </c>
      <c r="O230" t="n">
        <v>2030</v>
      </c>
      <c r="P230" t="n">
        <v>2050</v>
      </c>
      <c r="Q230">
        <f>Q229*IFERROR(IF(ISNUMBER(INDEX(Method_2030_2050!$D$9:$D$34,MATCH(L230,Method_2030_2050!$B$9:$B$34,0))),INDEX(Method_2030_2050!$D$9:$D$34,MATCH(L230,Method_2030_2050!$B$9:$B$34,0)),1),1)</f>
        <v/>
      </c>
    </row>
    <row r="231">
      <c r="A231" t="inlineStr">
        <is>
          <t>I-JEDI</t>
        </is>
      </c>
      <c r="B231" t="inlineStr">
        <is>
          <t>Onshore wind</t>
        </is>
      </c>
      <c r="C231" t="inlineStr">
        <is>
          <t>Construction&amp;Manufacturing</t>
        </is>
      </c>
      <c r="D231" t="inlineStr">
        <is>
          <t>Induced</t>
        </is>
      </c>
      <c r="E231" t="inlineStr">
        <is>
          <t>job-yr/MW</t>
        </is>
      </c>
      <c r="F231" t="n">
        <v>2024</v>
      </c>
      <c r="G231" t="inlineStr">
        <is>
          <t>4.044</t>
        </is>
      </c>
      <c r="H231" t="n">
        <v>4.044</v>
      </c>
      <c r="I231" t="inlineStr">
        <is>
          <t>Original</t>
        </is>
      </c>
      <c r="J231" t="inlineStr"/>
      <c r="K231" t="inlineStr"/>
      <c r="L231" t="inlineStr"/>
      <c r="M231" t="inlineStr"/>
      <c r="N231" t="inlineStr"/>
      <c r="O231" t="n">
        <v>2024</v>
      </c>
      <c r="P231" t="n">
        <v>2024</v>
      </c>
      <c r="Q231" t="n">
        <v>4.044</v>
      </c>
    </row>
    <row r="232">
      <c r="A232" t="inlineStr">
        <is>
          <t>I-JEDI</t>
        </is>
      </c>
      <c r="B232" t="inlineStr">
        <is>
          <t>Onshore wind</t>
        </is>
      </c>
      <c r="C232" t="inlineStr">
        <is>
          <t>Construction&amp;Manufacturing</t>
        </is>
      </c>
      <c r="D232" t="inlineStr">
        <is>
          <t>Induced</t>
        </is>
      </c>
      <c r="E232" t="inlineStr">
        <is>
          <t>job-yr/MW</t>
        </is>
      </c>
      <c r="F232" t="n">
        <v>2030</v>
      </c>
      <c r="G232">
        <f>G231*IFERROR(IF(ISNUMBER(INDEX(Method_2030_2050!$C$9:$C$34,MATCH(L232,Method_2030_2050!$B$9:$B$34,0))),INDEX(Method_2030_2050!$C$9:$C$34,MATCH(L232,Method_2030_2050!$B$9:$B$34,0)),1),1)</f>
        <v/>
      </c>
      <c r="H232">
        <f>H231*IFERROR(IF(ISNUMBER(INDEX(Method_2030_2050!$C$9:$C$34,MATCH(L232,Method_2030_2050!$B$9:$B$34,0))),INDEX(Method_2030_2050!$C$9:$C$34,MATCH(L232,Method_2030_2050!$B$9:$B$34,0)),1),1)</f>
        <v/>
      </c>
      <c r="I232" t="inlineStr">
        <is>
          <t>CAPEX/OPEX ratio projection</t>
        </is>
      </c>
      <c r="J232" t="inlineStr"/>
      <c r="K232" t="inlineStr"/>
      <c r="L232" t="inlineStr">
        <is>
          <t>Wind Onshore</t>
        </is>
      </c>
      <c r="M232" t="inlineStr"/>
      <c r="N232" t="inlineStr">
        <is>
          <t>CAPEX 2030/2024=0.94902649104247</t>
        </is>
      </c>
      <c r="O232" t="n">
        <v>2024</v>
      </c>
      <c r="P232" t="n">
        <v>2030</v>
      </c>
      <c r="Q232">
        <f>Q231*IFERROR(IF(ISNUMBER(INDEX(Method_2030_2050!$C$9:$C$34,MATCH(L232,Method_2030_2050!$B$9:$B$34,0))),INDEX(Method_2030_2050!$C$9:$C$34,MATCH(L232,Method_2030_2050!$B$9:$B$34,0)),1),1)</f>
        <v/>
      </c>
    </row>
    <row r="233">
      <c r="A233" t="inlineStr">
        <is>
          <t>I-JEDI</t>
        </is>
      </c>
      <c r="B233" t="inlineStr">
        <is>
          <t>Onshore wind</t>
        </is>
      </c>
      <c r="C233" t="inlineStr">
        <is>
          <t>Construction&amp;Manufacturing</t>
        </is>
      </c>
      <c r="D233" t="inlineStr">
        <is>
          <t>Induced</t>
        </is>
      </c>
      <c r="E233" t="inlineStr">
        <is>
          <t>job-yr/MW</t>
        </is>
      </c>
      <c r="F233" t="n">
        <v>2050</v>
      </c>
      <c r="G233">
        <f>G232*IFERROR(IF(ISNUMBER(INDEX(Method_2030_2050!$D$9:$D$34,MATCH(L233,Method_2030_2050!$B$9:$B$34,0))),INDEX(Method_2030_2050!$D$9:$D$34,MATCH(L233,Method_2030_2050!$B$9:$B$34,0)),1),1)</f>
        <v/>
      </c>
      <c r="H233">
        <f>H232*IFERROR(IF(ISNUMBER(INDEX(Method_2030_2050!$D$9:$D$34,MATCH(L233,Method_2030_2050!$B$9:$B$34,0))),INDEX(Method_2030_2050!$D$9:$D$34,MATCH(L233,Method_2030_2050!$B$9:$B$34,0)),1),1)</f>
        <v/>
      </c>
      <c r="I233" t="inlineStr">
        <is>
          <t>CAPEX/OPEX ratio projection</t>
        </is>
      </c>
      <c r="J233" t="inlineStr"/>
      <c r="K233" t="inlineStr"/>
      <c r="L233" t="inlineStr">
        <is>
          <t>Wind Onshore</t>
        </is>
      </c>
      <c r="M233" t="inlineStr"/>
      <c r="N233" t="inlineStr">
        <is>
          <t>CAPEX 2050/2030=0.9469531187817524</t>
        </is>
      </c>
      <c r="O233" t="n">
        <v>2030</v>
      </c>
      <c r="P233" t="n">
        <v>2050</v>
      </c>
      <c r="Q233">
        <f>Q232*IFERROR(IF(ISNUMBER(INDEX(Method_2030_2050!$D$9:$D$34,MATCH(L233,Method_2030_2050!$B$9:$B$34,0))),INDEX(Method_2030_2050!$D$9:$D$34,MATCH(L233,Method_2030_2050!$B$9:$B$34,0)),1),1)</f>
        <v/>
      </c>
    </row>
    <row r="234">
      <c r="A234" t="inlineStr">
        <is>
          <t>Rutovitz 2015</t>
        </is>
      </c>
      <c r="B234" t="inlineStr">
        <is>
          <t>Onshore wind</t>
        </is>
      </c>
      <c r="C234" t="inlineStr">
        <is>
          <t>Manufacturing</t>
        </is>
      </c>
      <c r="D234" t="inlineStr">
        <is>
          <t>Direct</t>
        </is>
      </c>
      <c r="E234" t="inlineStr">
        <is>
          <t>job-yr/MW</t>
        </is>
      </c>
      <c r="F234" t="n">
        <v>2015</v>
      </c>
      <c r="G234" t="inlineStr">
        <is>
          <t>3.4</t>
        </is>
      </c>
      <c r="H234" t="n">
        <v>3.4</v>
      </c>
      <c r="I234" t="inlineStr">
        <is>
          <t>Original</t>
        </is>
      </c>
      <c r="J234" t="inlineStr"/>
      <c r="K234" t="inlineStr"/>
      <c r="L234" t="inlineStr"/>
      <c r="M234" t="inlineStr"/>
      <c r="N234" t="inlineStr"/>
      <c r="O234" t="n">
        <v>2015</v>
      </c>
      <c r="P234" t="n">
        <v>2015</v>
      </c>
      <c r="Q234" t="n">
        <v>3.4</v>
      </c>
    </row>
    <row r="235">
      <c r="A235" t="inlineStr">
        <is>
          <t>Rutovitz 2015</t>
        </is>
      </c>
      <c r="B235" t="inlineStr">
        <is>
          <t>Onshore wind</t>
        </is>
      </c>
      <c r="C235" t="inlineStr">
        <is>
          <t>Manufacturing</t>
        </is>
      </c>
      <c r="D235" t="inlineStr">
        <is>
          <t>Direct</t>
        </is>
      </c>
      <c r="E235" t="inlineStr">
        <is>
          <t>job-yr/MW</t>
        </is>
      </c>
      <c r="F235" t="n">
        <v>2030</v>
      </c>
      <c r="G235">
        <f>G234*K235</f>
        <v/>
      </c>
      <c r="H235">
        <f>H234*K235</f>
        <v/>
      </c>
      <c r="I235" t="inlineStr">
        <is>
          <t>Rutovitz Table 9 decline to 2030</t>
        </is>
      </c>
      <c r="J235" t="inlineStr">
        <is>
          <t>Wind onshore</t>
        </is>
      </c>
      <c r="K235">
        <f>INDEX(Mappings_Rutovitz!$D$2:$D$14,MATCH(J235,Mappings_Rutovitz!$B$2:$B$14,0))</f>
        <v/>
      </c>
      <c r="L235" t="inlineStr"/>
      <c r="M235" t="inlineStr"/>
      <c r="N235" t="inlineStr">
        <is>
          <t>Rutovitz Table 9 Latin America 2030</t>
        </is>
      </c>
      <c r="O235" t="n">
        <v>2015</v>
      </c>
      <c r="P235" t="n">
        <v>2030</v>
      </c>
      <c r="Q235">
        <f>Q234*K235</f>
        <v/>
      </c>
    </row>
    <row r="236">
      <c r="A236" t="inlineStr">
        <is>
          <t>Rutovitz 2015</t>
        </is>
      </c>
      <c r="B236" t="inlineStr">
        <is>
          <t>Onshore wind</t>
        </is>
      </c>
      <c r="C236" t="inlineStr">
        <is>
          <t>Manufacturing</t>
        </is>
      </c>
      <c r="D236" t="inlineStr">
        <is>
          <t>Direct</t>
        </is>
      </c>
      <c r="E236" t="inlineStr">
        <is>
          <t>job-yr/MW</t>
        </is>
      </c>
      <c r="F236" t="n">
        <v>2050</v>
      </c>
      <c r="G236">
        <f>G235*IFERROR(IF(ISNUMBER(INDEX(Method_2030_2050!$D$9:$D$34,MATCH(L236,Method_2030_2050!$B$9:$B$34,0))),INDEX(Method_2030_2050!$D$9:$D$34,MATCH(L236,Method_2030_2050!$B$9:$B$34,0)),1),1)</f>
        <v/>
      </c>
      <c r="H236">
        <f>H235*IFERROR(IF(ISNUMBER(INDEX(Method_2030_2050!$D$9:$D$34,MATCH(L236,Method_2030_2050!$B$9:$B$34,0))),INDEX(Method_2030_2050!$D$9:$D$34,MATCH(L236,Method_2030_2050!$B$9:$B$34,0)),1),1)</f>
        <v/>
      </c>
      <c r="I236" t="inlineStr">
        <is>
          <t>CAPEX/OPEX ratio projection</t>
        </is>
      </c>
      <c r="J236" t="inlineStr">
        <is>
          <t>Wind onshore</t>
        </is>
      </c>
      <c r="K236" t="inlineStr"/>
      <c r="L236" t="inlineStr">
        <is>
          <t>Wind Onshore</t>
        </is>
      </c>
      <c r="M236" t="inlineStr"/>
      <c r="N236" t="inlineStr">
        <is>
          <t>CAPEX 2050/2030=0.9469531187817524</t>
        </is>
      </c>
      <c r="O236" t="n">
        <v>2030</v>
      </c>
      <c r="P236" t="n">
        <v>2050</v>
      </c>
      <c r="Q236">
        <f>Q235*IFERROR(IF(ISNUMBER(INDEX(Method_2030_2050!$D$9:$D$34,MATCH(L236,Method_2030_2050!$B$9:$B$34,0))),INDEX(Method_2030_2050!$D$9:$D$34,MATCH(L236,Method_2030_2050!$B$9:$B$34,0)),1),1)</f>
        <v/>
      </c>
    </row>
    <row r="237">
      <c r="A237" t="inlineStr">
        <is>
          <t>Rutovitz 2025</t>
        </is>
      </c>
      <c r="B237" t="inlineStr">
        <is>
          <t>Onshore wind</t>
        </is>
      </c>
      <c r="C237" t="inlineStr">
        <is>
          <t>Manufacturing</t>
        </is>
      </c>
      <c r="D237" t="inlineStr">
        <is>
          <t>Direct</t>
        </is>
      </c>
      <c r="E237" t="inlineStr">
        <is>
          <t>job-yr/MW</t>
        </is>
      </c>
      <c r="F237" t="n">
        <v>2024</v>
      </c>
      <c r="G237" t="inlineStr">
        <is>
          <t>1.54</t>
        </is>
      </c>
      <c r="H237" t="n">
        <v>1.54</v>
      </c>
      <c r="I237" t="inlineStr">
        <is>
          <t>Original</t>
        </is>
      </c>
      <c r="J237" t="inlineStr"/>
      <c r="K237" t="inlineStr"/>
      <c r="L237" t="inlineStr"/>
      <c r="M237" t="inlineStr"/>
      <c r="N237" t="inlineStr"/>
      <c r="O237" t="n">
        <v>2024</v>
      </c>
      <c r="P237" t="n">
        <v>2024</v>
      </c>
      <c r="Q237" t="n">
        <v>1.54</v>
      </c>
    </row>
    <row r="238">
      <c r="A238" t="inlineStr">
        <is>
          <t>Rutovitz 2025</t>
        </is>
      </c>
      <c r="B238" t="inlineStr">
        <is>
          <t>Onshore wind</t>
        </is>
      </c>
      <c r="C238" t="inlineStr">
        <is>
          <t>Manufacturing</t>
        </is>
      </c>
      <c r="D238" t="inlineStr">
        <is>
          <t>Direct</t>
        </is>
      </c>
      <c r="E238" t="inlineStr">
        <is>
          <t>job-yr/MW</t>
        </is>
      </c>
      <c r="F238" t="n">
        <v>2030</v>
      </c>
      <c r="G238">
        <f>G237*IFERROR(IF(ISNUMBER(INDEX(Method_2030_2050!$C$9:$C$34,MATCH(L238,Method_2030_2050!$B$9:$B$34,0))),INDEX(Method_2030_2050!$C$9:$C$34,MATCH(L238,Method_2030_2050!$B$9:$B$34,0)),1),1)</f>
        <v/>
      </c>
      <c r="H238">
        <f>H237*IFERROR(IF(ISNUMBER(INDEX(Method_2030_2050!$C$9:$C$34,MATCH(L238,Method_2030_2050!$B$9:$B$34,0))),INDEX(Method_2030_2050!$C$9:$C$34,MATCH(L238,Method_2030_2050!$B$9:$B$34,0)),1),1)</f>
        <v/>
      </c>
      <c r="I238" t="inlineStr">
        <is>
          <t>CAPEX/OPEX ratio projection</t>
        </is>
      </c>
      <c r="J238" t="inlineStr"/>
      <c r="K238" t="inlineStr"/>
      <c r="L238" t="inlineStr">
        <is>
          <t>Wind Onshore</t>
        </is>
      </c>
      <c r="M238" t="inlineStr"/>
      <c r="N238" t="inlineStr">
        <is>
          <t>CAPEX 2030/2024=0.94902649104247</t>
        </is>
      </c>
      <c r="O238" t="n">
        <v>2024</v>
      </c>
      <c r="P238" t="n">
        <v>2030</v>
      </c>
      <c r="Q238">
        <f>Q237*IFERROR(IF(ISNUMBER(INDEX(Method_2030_2050!$C$9:$C$34,MATCH(L238,Method_2030_2050!$B$9:$B$34,0))),INDEX(Method_2030_2050!$C$9:$C$34,MATCH(L238,Method_2030_2050!$B$9:$B$34,0)),1),1)</f>
        <v/>
      </c>
    </row>
    <row r="239">
      <c r="A239" t="inlineStr">
        <is>
          <t>Rutovitz 2025</t>
        </is>
      </c>
      <c r="B239" t="inlineStr">
        <is>
          <t>Onshore wind</t>
        </is>
      </c>
      <c r="C239" t="inlineStr">
        <is>
          <t>Manufacturing</t>
        </is>
      </c>
      <c r="D239" t="inlineStr">
        <is>
          <t>Direct</t>
        </is>
      </c>
      <c r="E239" t="inlineStr">
        <is>
          <t>job-yr/MW</t>
        </is>
      </c>
      <c r="F239" t="n">
        <v>2050</v>
      </c>
      <c r="G239">
        <f>G238*IFERROR(IF(ISNUMBER(INDEX(Method_2030_2050!$D$9:$D$34,MATCH(L239,Method_2030_2050!$B$9:$B$34,0))),INDEX(Method_2030_2050!$D$9:$D$34,MATCH(L239,Method_2030_2050!$B$9:$B$34,0)),1),1)</f>
        <v/>
      </c>
      <c r="H239">
        <f>H238*IFERROR(IF(ISNUMBER(INDEX(Method_2030_2050!$D$9:$D$34,MATCH(L239,Method_2030_2050!$B$9:$B$34,0))),INDEX(Method_2030_2050!$D$9:$D$34,MATCH(L239,Method_2030_2050!$B$9:$B$34,0)),1),1)</f>
        <v/>
      </c>
      <c r="I239" t="inlineStr">
        <is>
          <t>CAPEX/OPEX ratio projection</t>
        </is>
      </c>
      <c r="J239" t="inlineStr"/>
      <c r="K239" t="inlineStr"/>
      <c r="L239" t="inlineStr">
        <is>
          <t>Wind Onshore</t>
        </is>
      </c>
      <c r="M239" t="inlineStr"/>
      <c r="N239" t="inlineStr">
        <is>
          <t>CAPEX 2050/2030=0.9469531187817524</t>
        </is>
      </c>
      <c r="O239" t="n">
        <v>2030</v>
      </c>
      <c r="P239" t="n">
        <v>2050</v>
      </c>
      <c r="Q239">
        <f>Q238*IFERROR(IF(ISNUMBER(INDEX(Method_2030_2050!$D$9:$D$34,MATCH(L239,Method_2030_2050!$B$9:$B$34,0))),INDEX(Method_2030_2050!$D$9:$D$34,MATCH(L239,Method_2030_2050!$B$9:$B$34,0)),1),1)</f>
        <v/>
      </c>
    </row>
    <row r="240">
      <c r="A240" t="inlineStr">
        <is>
          <t>I-JEDI</t>
        </is>
      </c>
      <c r="B240" t="inlineStr">
        <is>
          <t>Onshore wind</t>
        </is>
      </c>
      <c r="C240" t="inlineStr">
        <is>
          <t>O&amp;M</t>
        </is>
      </c>
      <c r="D240" t="inlineStr">
        <is>
          <t>Direct</t>
        </is>
      </c>
      <c r="E240" t="inlineStr">
        <is>
          <t>job/MW</t>
        </is>
      </c>
      <c r="F240" t="n">
        <v>2024</v>
      </c>
      <c r="G240" t="inlineStr">
        <is>
          <t>0.03</t>
        </is>
      </c>
      <c r="H240" t="n">
        <v>0.03</v>
      </c>
      <c r="I240" t="inlineStr">
        <is>
          <t>Original</t>
        </is>
      </c>
      <c r="J240" t="inlineStr"/>
      <c r="K240" t="inlineStr"/>
      <c r="L240" t="inlineStr"/>
      <c r="M240" t="inlineStr"/>
      <c r="N240" t="inlineStr"/>
      <c r="O240" t="n">
        <v>2024</v>
      </c>
      <c r="P240" t="n">
        <v>2024</v>
      </c>
      <c r="Q240" t="n">
        <v>0.03</v>
      </c>
    </row>
    <row r="241">
      <c r="A241" t="inlineStr">
        <is>
          <t>I-JEDI</t>
        </is>
      </c>
      <c r="B241" t="inlineStr">
        <is>
          <t>Onshore wind</t>
        </is>
      </c>
      <c r="C241" t="inlineStr">
        <is>
          <t>O&amp;M</t>
        </is>
      </c>
      <c r="D241" t="inlineStr">
        <is>
          <t>Direct</t>
        </is>
      </c>
      <c r="E241" t="inlineStr">
        <is>
          <t>job/MW</t>
        </is>
      </c>
      <c r="F241" t="n">
        <v>2030</v>
      </c>
      <c r="G241">
        <f>G240*IFERROR(IF(ISNUMBER(INDEX(Method_2030_2050!$E$9:$E$34,MATCH(L241,Method_2030_2050!$B$9:$B$34,0))),INDEX(Method_2030_2050!$E$9:$E$34,MATCH(L241,Method_2030_2050!$B$9:$B$34,0)),1),1)</f>
        <v/>
      </c>
      <c r="H241">
        <f>H240*IFERROR(IF(ISNUMBER(INDEX(Method_2030_2050!$E$9:$E$34,MATCH(L241,Method_2030_2050!$B$9:$B$34,0))),INDEX(Method_2030_2050!$E$9:$E$34,MATCH(L241,Method_2030_2050!$B$9:$B$34,0)),1),1)</f>
        <v/>
      </c>
      <c r="I241" t="inlineStr">
        <is>
          <t>CAPEX/OPEX ratio projection</t>
        </is>
      </c>
      <c r="J241" t="inlineStr"/>
      <c r="K241" t="inlineStr"/>
      <c r="L241" t="inlineStr">
        <is>
          <t>Wind Onshore</t>
        </is>
      </c>
      <c r="M241" t="inlineStr"/>
      <c r="N241" t="inlineStr">
        <is>
          <t>OPEX 2030/2024=0.9489051094890508</t>
        </is>
      </c>
      <c r="O241" t="n">
        <v>2024</v>
      </c>
      <c r="P241" t="n">
        <v>2030</v>
      </c>
      <c r="Q241">
        <f>Q240*IFERROR(IF(ISNUMBER(INDEX(Method_2030_2050!$E$9:$E$34,MATCH(L241,Method_2030_2050!$B$9:$B$34,0))),INDEX(Method_2030_2050!$E$9:$E$34,MATCH(L241,Method_2030_2050!$B$9:$B$34,0)),1),1)</f>
        <v/>
      </c>
    </row>
    <row r="242">
      <c r="A242" t="inlineStr">
        <is>
          <t>I-JEDI</t>
        </is>
      </c>
      <c r="B242" t="inlineStr">
        <is>
          <t>Onshore wind</t>
        </is>
      </c>
      <c r="C242" t="inlineStr">
        <is>
          <t>O&amp;M</t>
        </is>
      </c>
      <c r="D242" t="inlineStr">
        <is>
          <t>Direct</t>
        </is>
      </c>
      <c r="E242" t="inlineStr">
        <is>
          <t>job/MW</t>
        </is>
      </c>
      <c r="F242" t="n">
        <v>2050</v>
      </c>
      <c r="G242">
        <f>G241*IFERROR(IF(ISNUMBER(INDEX(Method_2030_2050!$F$9:$F$34,MATCH(L242,Method_2030_2050!$B$9:$B$34,0))),INDEX(Method_2030_2050!$F$9:$F$34,MATCH(L242,Method_2030_2050!$B$9:$B$34,0)),1),1)</f>
        <v/>
      </c>
      <c r="H242">
        <f>H241*IFERROR(IF(ISNUMBER(INDEX(Method_2030_2050!$F$9:$F$34,MATCH(L242,Method_2030_2050!$B$9:$B$34,0))),INDEX(Method_2030_2050!$F$9:$F$34,MATCH(L242,Method_2030_2050!$B$9:$B$34,0)),1),1)</f>
        <v/>
      </c>
      <c r="I242" t="inlineStr">
        <is>
          <t>CAPEX/OPEX ratio projection</t>
        </is>
      </c>
      <c r="J242" t="inlineStr"/>
      <c r="K242" t="inlineStr"/>
      <c r="L242" t="inlineStr">
        <is>
          <t>Wind Onshore</t>
        </is>
      </c>
      <c r="M242" t="inlineStr"/>
      <c r="N242" t="inlineStr">
        <is>
          <t>OPEX 2050/2030=0.946153846153846</t>
        </is>
      </c>
      <c r="O242" t="n">
        <v>2030</v>
      </c>
      <c r="P242" t="n">
        <v>2050</v>
      </c>
      <c r="Q242">
        <f>Q241*IFERROR(IF(ISNUMBER(INDEX(Method_2030_2050!$F$9:$F$34,MATCH(L242,Method_2030_2050!$B$9:$B$34,0))),INDEX(Method_2030_2050!$F$9:$F$34,MATCH(L242,Method_2030_2050!$B$9:$B$34,0)),1),1)</f>
        <v/>
      </c>
    </row>
    <row r="243">
      <c r="A243" t="inlineStr">
        <is>
          <t>Rutovitz 2015</t>
        </is>
      </c>
      <c r="B243" t="inlineStr">
        <is>
          <t>Onshore wind</t>
        </is>
      </c>
      <c r="C243" t="inlineStr">
        <is>
          <t>O&amp;M</t>
        </is>
      </c>
      <c r="D243" t="inlineStr">
        <is>
          <t>Direct</t>
        </is>
      </c>
      <c r="E243" t="inlineStr">
        <is>
          <t>job/MW</t>
        </is>
      </c>
      <c r="F243" t="n">
        <v>2015</v>
      </c>
      <c r="G243" t="inlineStr">
        <is>
          <t>0.6</t>
        </is>
      </c>
      <c r="H243" t="n">
        <v>0.6</v>
      </c>
      <c r="I243" t="inlineStr">
        <is>
          <t>Original</t>
        </is>
      </c>
      <c r="J243" t="inlineStr"/>
      <c r="K243" t="inlineStr"/>
      <c r="L243" t="inlineStr"/>
      <c r="M243" t="inlineStr"/>
      <c r="N243" t="inlineStr"/>
      <c r="O243" t="n">
        <v>2015</v>
      </c>
      <c r="P243" t="n">
        <v>2015</v>
      </c>
      <c r="Q243" t="n">
        <v>0.6</v>
      </c>
    </row>
    <row r="244">
      <c r="A244" t="inlineStr">
        <is>
          <t>Rutovitz 2015</t>
        </is>
      </c>
      <c r="B244" t="inlineStr">
        <is>
          <t>Onshore wind</t>
        </is>
      </c>
      <c r="C244" t="inlineStr">
        <is>
          <t>O&amp;M</t>
        </is>
      </c>
      <c r="D244" t="inlineStr">
        <is>
          <t>Direct</t>
        </is>
      </c>
      <c r="E244" t="inlineStr">
        <is>
          <t>job/MW</t>
        </is>
      </c>
      <c r="F244" t="n">
        <v>2030</v>
      </c>
      <c r="G244">
        <f>G243*K244</f>
        <v/>
      </c>
      <c r="H244">
        <f>H243*K244</f>
        <v/>
      </c>
      <c r="I244" t="inlineStr">
        <is>
          <t>Rutovitz Table 9 decline to 2030</t>
        </is>
      </c>
      <c r="J244" t="inlineStr">
        <is>
          <t>Wind onshore</t>
        </is>
      </c>
      <c r="K244">
        <f>INDEX(Mappings_Rutovitz!$D$2:$D$14,MATCH(J244,Mappings_Rutovitz!$B$2:$B$14,0))</f>
        <v/>
      </c>
      <c r="L244" t="inlineStr"/>
      <c r="M244" t="inlineStr"/>
      <c r="N244" t="inlineStr">
        <is>
          <t>Rutovitz Table 9 Latin America 2030</t>
        </is>
      </c>
      <c r="O244" t="n">
        <v>2015</v>
      </c>
      <c r="P244" t="n">
        <v>2030</v>
      </c>
      <c r="Q244">
        <f>Q243*K244</f>
        <v/>
      </c>
    </row>
    <row r="245">
      <c r="A245" t="inlineStr">
        <is>
          <t>Rutovitz 2015</t>
        </is>
      </c>
      <c r="B245" t="inlineStr">
        <is>
          <t>Onshore wind</t>
        </is>
      </c>
      <c r="C245" t="inlineStr">
        <is>
          <t>O&amp;M</t>
        </is>
      </c>
      <c r="D245" t="inlineStr">
        <is>
          <t>Direct</t>
        </is>
      </c>
      <c r="E245" t="inlineStr">
        <is>
          <t>job/MW</t>
        </is>
      </c>
      <c r="F245" t="n">
        <v>2050</v>
      </c>
      <c r="G245">
        <f>G244*IFERROR(IF(ISNUMBER(INDEX(Method_2030_2050!$F$9:$F$34,MATCH(L245,Method_2030_2050!$B$9:$B$34,0))),INDEX(Method_2030_2050!$F$9:$F$34,MATCH(L245,Method_2030_2050!$B$9:$B$34,0)),1),1)</f>
        <v/>
      </c>
      <c r="H245">
        <f>H244*IFERROR(IF(ISNUMBER(INDEX(Method_2030_2050!$F$9:$F$34,MATCH(L245,Method_2030_2050!$B$9:$B$34,0))),INDEX(Method_2030_2050!$F$9:$F$34,MATCH(L245,Method_2030_2050!$B$9:$B$34,0)),1),1)</f>
        <v/>
      </c>
      <c r="I245" t="inlineStr">
        <is>
          <t>CAPEX/OPEX ratio projection</t>
        </is>
      </c>
      <c r="J245" t="inlineStr">
        <is>
          <t>Wind onshore</t>
        </is>
      </c>
      <c r="K245" t="inlineStr"/>
      <c r="L245" t="inlineStr">
        <is>
          <t>Wind Onshore</t>
        </is>
      </c>
      <c r="M245" t="inlineStr"/>
      <c r="N245" t="inlineStr">
        <is>
          <t>OPEX 2050/2030=0.946153846153846</t>
        </is>
      </c>
      <c r="O245" t="n">
        <v>2030</v>
      </c>
      <c r="P245" t="n">
        <v>2050</v>
      </c>
      <c r="Q245">
        <f>Q244*IFERROR(IF(ISNUMBER(INDEX(Method_2030_2050!$F$9:$F$34,MATCH(L245,Method_2030_2050!$B$9:$B$34,0))),INDEX(Method_2030_2050!$F$9:$F$34,MATCH(L245,Method_2030_2050!$B$9:$B$34,0)),1),1)</f>
        <v/>
      </c>
    </row>
    <row r="246">
      <c r="A246" t="inlineStr">
        <is>
          <t>Rutovitz 2025</t>
        </is>
      </c>
      <c r="B246" t="inlineStr">
        <is>
          <t>Onshore wind</t>
        </is>
      </c>
      <c r="C246" t="inlineStr">
        <is>
          <t>O&amp;M</t>
        </is>
      </c>
      <c r="D246" t="inlineStr">
        <is>
          <t>Direct</t>
        </is>
      </c>
      <c r="E246" t="inlineStr">
        <is>
          <t>job/MW</t>
        </is>
      </c>
      <c r="F246" t="n">
        <v>2024</v>
      </c>
      <c r="G246" t="inlineStr">
        <is>
          <t>0.21</t>
        </is>
      </c>
      <c r="H246" t="n">
        <v>0.21</v>
      </c>
      <c r="I246" t="inlineStr">
        <is>
          <t>Original</t>
        </is>
      </c>
      <c r="J246" t="inlineStr"/>
      <c r="K246" t="inlineStr"/>
      <c r="L246" t="inlineStr"/>
      <c r="M246" t="inlineStr"/>
      <c r="N246" t="inlineStr"/>
      <c r="O246" t="n">
        <v>2024</v>
      </c>
      <c r="P246" t="n">
        <v>2024</v>
      </c>
      <c r="Q246" t="n">
        <v>0.21</v>
      </c>
    </row>
    <row r="247">
      <c r="A247" t="inlineStr">
        <is>
          <t>Rutovitz 2025</t>
        </is>
      </c>
      <c r="B247" t="inlineStr">
        <is>
          <t>Onshore wind</t>
        </is>
      </c>
      <c r="C247" t="inlineStr">
        <is>
          <t>O&amp;M</t>
        </is>
      </c>
      <c r="D247" t="inlineStr">
        <is>
          <t>Direct</t>
        </is>
      </c>
      <c r="E247" t="inlineStr">
        <is>
          <t>job/MW</t>
        </is>
      </c>
      <c r="F247" t="n">
        <v>2030</v>
      </c>
      <c r="G247">
        <f>G246*IFERROR(IF(ISNUMBER(INDEX(Method_2030_2050!$E$9:$E$34,MATCH(L247,Method_2030_2050!$B$9:$B$34,0))),INDEX(Method_2030_2050!$E$9:$E$34,MATCH(L247,Method_2030_2050!$B$9:$B$34,0)),1),1)</f>
        <v/>
      </c>
      <c r="H247">
        <f>H246*IFERROR(IF(ISNUMBER(INDEX(Method_2030_2050!$E$9:$E$34,MATCH(L247,Method_2030_2050!$B$9:$B$34,0))),INDEX(Method_2030_2050!$E$9:$E$34,MATCH(L247,Method_2030_2050!$B$9:$B$34,0)),1),1)</f>
        <v/>
      </c>
      <c r="I247" t="inlineStr">
        <is>
          <t>CAPEX/OPEX ratio projection</t>
        </is>
      </c>
      <c r="J247" t="inlineStr"/>
      <c r="K247" t="inlineStr"/>
      <c r="L247" t="inlineStr">
        <is>
          <t>Wind Onshore</t>
        </is>
      </c>
      <c r="M247" t="inlineStr"/>
      <c r="N247" t="inlineStr">
        <is>
          <t>OPEX 2030/2024=0.9489051094890508</t>
        </is>
      </c>
      <c r="O247" t="n">
        <v>2024</v>
      </c>
      <c r="P247" t="n">
        <v>2030</v>
      </c>
      <c r="Q247">
        <f>Q246*IFERROR(IF(ISNUMBER(INDEX(Method_2030_2050!$E$9:$E$34,MATCH(L247,Method_2030_2050!$B$9:$B$34,0))),INDEX(Method_2030_2050!$E$9:$E$34,MATCH(L247,Method_2030_2050!$B$9:$B$34,0)),1),1)</f>
        <v/>
      </c>
    </row>
    <row r="248">
      <c r="A248" t="inlineStr">
        <is>
          <t>Rutovitz 2025</t>
        </is>
      </c>
      <c r="B248" t="inlineStr">
        <is>
          <t>Onshore wind</t>
        </is>
      </c>
      <c r="C248" t="inlineStr">
        <is>
          <t>O&amp;M</t>
        </is>
      </c>
      <c r="D248" t="inlineStr">
        <is>
          <t>Direct</t>
        </is>
      </c>
      <c r="E248" t="inlineStr">
        <is>
          <t>job/MW</t>
        </is>
      </c>
      <c r="F248" t="n">
        <v>2050</v>
      </c>
      <c r="G248">
        <f>G247*IFERROR(IF(ISNUMBER(INDEX(Method_2030_2050!$F$9:$F$34,MATCH(L248,Method_2030_2050!$B$9:$B$34,0))),INDEX(Method_2030_2050!$F$9:$F$34,MATCH(L248,Method_2030_2050!$B$9:$B$34,0)),1),1)</f>
        <v/>
      </c>
      <c r="H248">
        <f>H247*IFERROR(IF(ISNUMBER(INDEX(Method_2030_2050!$F$9:$F$34,MATCH(L248,Method_2030_2050!$B$9:$B$34,0))),INDEX(Method_2030_2050!$F$9:$F$34,MATCH(L248,Method_2030_2050!$B$9:$B$34,0)),1),1)</f>
        <v/>
      </c>
      <c r="I248" t="inlineStr">
        <is>
          <t>CAPEX/OPEX ratio projection</t>
        </is>
      </c>
      <c r="J248" t="inlineStr"/>
      <c r="K248" t="inlineStr"/>
      <c r="L248" t="inlineStr">
        <is>
          <t>Wind Onshore</t>
        </is>
      </c>
      <c r="M248" t="inlineStr"/>
      <c r="N248" t="inlineStr">
        <is>
          <t>OPEX 2050/2030=0.946153846153846</t>
        </is>
      </c>
      <c r="O248" t="n">
        <v>2030</v>
      </c>
      <c r="P248" t="n">
        <v>2050</v>
      </c>
      <c r="Q248">
        <f>Q247*IFERROR(IF(ISNUMBER(INDEX(Method_2030_2050!$F$9:$F$34,MATCH(L248,Method_2030_2050!$B$9:$B$34,0))),INDEX(Method_2030_2050!$F$9:$F$34,MATCH(L248,Method_2030_2050!$B$9:$B$34,0)),1),1)</f>
        <v/>
      </c>
    </row>
    <row r="249">
      <c r="A249" t="inlineStr">
        <is>
          <t>I-JEDI</t>
        </is>
      </c>
      <c r="B249" t="inlineStr">
        <is>
          <t>Onshore wind</t>
        </is>
      </c>
      <c r="C249" t="inlineStr">
        <is>
          <t>O&amp;M</t>
        </is>
      </c>
      <c r="D249" t="inlineStr">
        <is>
          <t>Indirect</t>
        </is>
      </c>
      <c r="E249" t="inlineStr">
        <is>
          <t>job/MW</t>
        </is>
      </c>
      <c r="F249" t="n">
        <v>2024</v>
      </c>
      <c r="G249" t="inlineStr">
        <is>
          <t>0.043</t>
        </is>
      </c>
      <c r="H249" t="n">
        <v>0.043</v>
      </c>
      <c r="I249" t="inlineStr">
        <is>
          <t>Original</t>
        </is>
      </c>
      <c r="J249" t="inlineStr"/>
      <c r="K249" t="inlineStr"/>
      <c r="L249" t="inlineStr"/>
      <c r="M249" t="inlineStr"/>
      <c r="N249" t="inlineStr"/>
      <c r="O249" t="n">
        <v>2024</v>
      </c>
      <c r="P249" t="n">
        <v>2024</v>
      </c>
      <c r="Q249" t="n">
        <v>0.043</v>
      </c>
    </row>
    <row r="250">
      <c r="A250" t="inlineStr">
        <is>
          <t>I-JEDI</t>
        </is>
      </c>
      <c r="B250" t="inlineStr">
        <is>
          <t>Onshore wind</t>
        </is>
      </c>
      <c r="C250" t="inlineStr">
        <is>
          <t>O&amp;M</t>
        </is>
      </c>
      <c r="D250" t="inlineStr">
        <is>
          <t>Indirect</t>
        </is>
      </c>
      <c r="E250" t="inlineStr">
        <is>
          <t>job/MW</t>
        </is>
      </c>
      <c r="F250" t="n">
        <v>2030</v>
      </c>
      <c r="G250">
        <f>G249*IFERROR(IF(ISNUMBER(INDEX(Method_2030_2050!$E$9:$E$34,MATCH(L250,Method_2030_2050!$B$9:$B$34,0))),INDEX(Method_2030_2050!$E$9:$E$34,MATCH(L250,Method_2030_2050!$B$9:$B$34,0)),1),1)</f>
        <v/>
      </c>
      <c r="H250">
        <f>H249*IFERROR(IF(ISNUMBER(INDEX(Method_2030_2050!$E$9:$E$34,MATCH(L250,Method_2030_2050!$B$9:$B$34,0))),INDEX(Method_2030_2050!$E$9:$E$34,MATCH(L250,Method_2030_2050!$B$9:$B$34,0)),1),1)</f>
        <v/>
      </c>
      <c r="I250" t="inlineStr">
        <is>
          <t>CAPEX/OPEX ratio projection</t>
        </is>
      </c>
      <c r="J250" t="inlineStr"/>
      <c r="K250" t="inlineStr"/>
      <c r="L250" t="inlineStr">
        <is>
          <t>Wind Onshore</t>
        </is>
      </c>
      <c r="M250" t="inlineStr"/>
      <c r="N250" t="inlineStr">
        <is>
          <t>OPEX 2030/2024=0.9489051094890508</t>
        </is>
      </c>
      <c r="O250" t="n">
        <v>2024</v>
      </c>
      <c r="P250" t="n">
        <v>2030</v>
      </c>
      <c r="Q250">
        <f>Q249*IFERROR(IF(ISNUMBER(INDEX(Method_2030_2050!$E$9:$E$34,MATCH(L250,Method_2030_2050!$B$9:$B$34,0))),INDEX(Method_2030_2050!$E$9:$E$34,MATCH(L250,Method_2030_2050!$B$9:$B$34,0)),1),1)</f>
        <v/>
      </c>
    </row>
    <row r="251">
      <c r="A251" t="inlineStr">
        <is>
          <t>I-JEDI</t>
        </is>
      </c>
      <c r="B251" t="inlineStr">
        <is>
          <t>Onshore wind</t>
        </is>
      </c>
      <c r="C251" t="inlineStr">
        <is>
          <t>O&amp;M</t>
        </is>
      </c>
      <c r="D251" t="inlineStr">
        <is>
          <t>Indirect</t>
        </is>
      </c>
      <c r="E251" t="inlineStr">
        <is>
          <t>job/MW</t>
        </is>
      </c>
      <c r="F251" t="n">
        <v>2050</v>
      </c>
      <c r="G251">
        <f>G250*IFERROR(IF(ISNUMBER(INDEX(Method_2030_2050!$F$9:$F$34,MATCH(L251,Method_2030_2050!$B$9:$B$34,0))),INDEX(Method_2030_2050!$F$9:$F$34,MATCH(L251,Method_2030_2050!$B$9:$B$34,0)),1),1)</f>
        <v/>
      </c>
      <c r="H251">
        <f>H250*IFERROR(IF(ISNUMBER(INDEX(Method_2030_2050!$F$9:$F$34,MATCH(L251,Method_2030_2050!$B$9:$B$34,0))),INDEX(Method_2030_2050!$F$9:$F$34,MATCH(L251,Method_2030_2050!$B$9:$B$34,0)),1),1)</f>
        <v/>
      </c>
      <c r="I251" t="inlineStr">
        <is>
          <t>CAPEX/OPEX ratio projection</t>
        </is>
      </c>
      <c r="J251" t="inlineStr"/>
      <c r="K251" t="inlineStr"/>
      <c r="L251" t="inlineStr">
        <is>
          <t>Wind Onshore</t>
        </is>
      </c>
      <c r="M251" t="inlineStr"/>
      <c r="N251" t="inlineStr">
        <is>
          <t>OPEX 2050/2030=0.946153846153846</t>
        </is>
      </c>
      <c r="O251" t="n">
        <v>2030</v>
      </c>
      <c r="P251" t="n">
        <v>2050</v>
      </c>
      <c r="Q251">
        <f>Q250*IFERROR(IF(ISNUMBER(INDEX(Method_2030_2050!$F$9:$F$34,MATCH(L251,Method_2030_2050!$B$9:$B$34,0))),INDEX(Method_2030_2050!$F$9:$F$34,MATCH(L251,Method_2030_2050!$B$9:$B$34,0)),1),1)</f>
        <v/>
      </c>
    </row>
    <row r="252">
      <c r="A252" t="inlineStr">
        <is>
          <t>I-JEDI</t>
        </is>
      </c>
      <c r="B252" t="inlineStr">
        <is>
          <t>Onshore wind</t>
        </is>
      </c>
      <c r="C252" t="inlineStr">
        <is>
          <t>O&amp;M</t>
        </is>
      </c>
      <c r="D252" t="inlineStr">
        <is>
          <t>Induced</t>
        </is>
      </c>
      <c r="E252" t="inlineStr">
        <is>
          <t>job/MW</t>
        </is>
      </c>
      <c r="F252" t="n">
        <v>2024</v>
      </c>
      <c r="G252" t="inlineStr">
        <is>
          <t>0.0448</t>
        </is>
      </c>
      <c r="H252" t="n">
        <v>0.0448</v>
      </c>
      <c r="I252" t="inlineStr">
        <is>
          <t>Original</t>
        </is>
      </c>
      <c r="J252" t="inlineStr"/>
      <c r="K252" t="inlineStr"/>
      <c r="L252" t="inlineStr"/>
      <c r="M252" t="inlineStr"/>
      <c r="N252" t="inlineStr"/>
      <c r="O252" t="n">
        <v>2024</v>
      </c>
      <c r="P252" t="n">
        <v>2024</v>
      </c>
      <c r="Q252" t="n">
        <v>0.0448</v>
      </c>
    </row>
    <row r="253">
      <c r="A253" t="inlineStr">
        <is>
          <t>I-JEDI</t>
        </is>
      </c>
      <c r="B253" t="inlineStr">
        <is>
          <t>Onshore wind</t>
        </is>
      </c>
      <c r="C253" t="inlineStr">
        <is>
          <t>O&amp;M</t>
        </is>
      </c>
      <c r="D253" t="inlineStr">
        <is>
          <t>Induced</t>
        </is>
      </c>
      <c r="E253" t="inlineStr">
        <is>
          <t>job/MW</t>
        </is>
      </c>
      <c r="F253" t="n">
        <v>2030</v>
      </c>
      <c r="G253">
        <f>G252*IFERROR(IF(ISNUMBER(INDEX(Method_2030_2050!$E$9:$E$34,MATCH(L253,Method_2030_2050!$B$9:$B$34,0))),INDEX(Method_2030_2050!$E$9:$E$34,MATCH(L253,Method_2030_2050!$B$9:$B$34,0)),1),1)</f>
        <v/>
      </c>
      <c r="H253">
        <f>H252*IFERROR(IF(ISNUMBER(INDEX(Method_2030_2050!$E$9:$E$34,MATCH(L253,Method_2030_2050!$B$9:$B$34,0))),INDEX(Method_2030_2050!$E$9:$E$34,MATCH(L253,Method_2030_2050!$B$9:$B$34,0)),1),1)</f>
        <v/>
      </c>
      <c r="I253" t="inlineStr">
        <is>
          <t>CAPEX/OPEX ratio projection</t>
        </is>
      </c>
      <c r="J253" t="inlineStr"/>
      <c r="K253" t="inlineStr"/>
      <c r="L253" t="inlineStr">
        <is>
          <t>Wind Onshore</t>
        </is>
      </c>
      <c r="M253" t="inlineStr"/>
      <c r="N253" t="inlineStr">
        <is>
          <t>OPEX 2030/2024=0.9489051094890508</t>
        </is>
      </c>
      <c r="O253" t="n">
        <v>2024</v>
      </c>
      <c r="P253" t="n">
        <v>2030</v>
      </c>
      <c r="Q253">
        <f>Q252*IFERROR(IF(ISNUMBER(INDEX(Method_2030_2050!$E$9:$E$34,MATCH(L253,Method_2030_2050!$B$9:$B$34,0))),INDEX(Method_2030_2050!$E$9:$E$34,MATCH(L253,Method_2030_2050!$B$9:$B$34,0)),1),1)</f>
        <v/>
      </c>
    </row>
    <row r="254">
      <c r="A254" t="inlineStr">
        <is>
          <t>I-JEDI</t>
        </is>
      </c>
      <c r="B254" t="inlineStr">
        <is>
          <t>Onshore wind</t>
        </is>
      </c>
      <c r="C254" t="inlineStr">
        <is>
          <t>O&amp;M</t>
        </is>
      </c>
      <c r="D254" t="inlineStr">
        <is>
          <t>Induced</t>
        </is>
      </c>
      <c r="E254" t="inlineStr">
        <is>
          <t>job/MW</t>
        </is>
      </c>
      <c r="F254" t="n">
        <v>2050</v>
      </c>
      <c r="G254">
        <f>G253*IFERROR(IF(ISNUMBER(INDEX(Method_2030_2050!$F$9:$F$34,MATCH(L254,Method_2030_2050!$B$9:$B$34,0))),INDEX(Method_2030_2050!$F$9:$F$34,MATCH(L254,Method_2030_2050!$B$9:$B$34,0)),1),1)</f>
        <v/>
      </c>
      <c r="H254">
        <f>H253*IFERROR(IF(ISNUMBER(INDEX(Method_2030_2050!$F$9:$F$34,MATCH(L254,Method_2030_2050!$B$9:$B$34,0))),INDEX(Method_2030_2050!$F$9:$F$34,MATCH(L254,Method_2030_2050!$B$9:$B$34,0)),1),1)</f>
        <v/>
      </c>
      <c r="I254" t="inlineStr">
        <is>
          <t>CAPEX/OPEX ratio projection</t>
        </is>
      </c>
      <c r="J254" t="inlineStr"/>
      <c r="K254" t="inlineStr"/>
      <c r="L254" t="inlineStr">
        <is>
          <t>Wind Onshore</t>
        </is>
      </c>
      <c r="M254" t="inlineStr"/>
      <c r="N254" t="inlineStr">
        <is>
          <t>OPEX 2050/2030=0.946153846153846</t>
        </is>
      </c>
      <c r="O254" t="n">
        <v>2030</v>
      </c>
      <c r="P254" t="n">
        <v>2050</v>
      </c>
      <c r="Q254">
        <f>Q253*IFERROR(IF(ISNUMBER(INDEX(Method_2030_2050!$F$9:$F$34,MATCH(L254,Method_2030_2050!$B$9:$B$34,0))),INDEX(Method_2030_2050!$F$9:$F$34,MATCH(L254,Method_2030_2050!$B$9:$B$34,0)),1),1)</f>
        <v/>
      </c>
    </row>
    <row r="255">
      <c r="A255" t="inlineStr">
        <is>
          <t>Rutovitz 2025</t>
        </is>
      </c>
      <c r="B255" t="inlineStr">
        <is>
          <t>Pumped hydro storage</t>
        </is>
      </c>
      <c r="C255" t="inlineStr">
        <is>
          <t>Construction</t>
        </is>
      </c>
      <c r="D255" t="inlineStr">
        <is>
          <t>Direct</t>
        </is>
      </c>
      <c r="E255" t="inlineStr">
        <is>
          <t>job-yr/MW</t>
        </is>
      </c>
      <c r="F255" t="n">
        <v>2024</v>
      </c>
      <c r="G255" t="inlineStr">
        <is>
          <t>7.18</t>
        </is>
      </c>
      <c r="H255" t="n">
        <v>7.18</v>
      </c>
      <c r="I255" t="inlineStr">
        <is>
          <t>Original</t>
        </is>
      </c>
      <c r="J255" t="inlineStr"/>
      <c r="K255" t="inlineStr"/>
      <c r="L255" t="inlineStr"/>
      <c r="M255" t="inlineStr"/>
      <c r="N255" t="inlineStr"/>
      <c r="O255" t="n">
        <v>2024</v>
      </c>
      <c r="P255" t="n">
        <v>2024</v>
      </c>
      <c r="Q255" t="n">
        <v>7.18</v>
      </c>
    </row>
    <row r="256">
      <c r="A256" t="inlineStr">
        <is>
          <t>Rutovitz 2025</t>
        </is>
      </c>
      <c r="B256" t="inlineStr">
        <is>
          <t>Pumped hydro storage</t>
        </is>
      </c>
      <c r="C256" t="inlineStr">
        <is>
          <t>Construction</t>
        </is>
      </c>
      <c r="D256" t="inlineStr">
        <is>
          <t>Direct</t>
        </is>
      </c>
      <c r="E256" t="inlineStr">
        <is>
          <t>job-yr/MW</t>
        </is>
      </c>
      <c r="F256" t="n">
        <v>2030</v>
      </c>
      <c r="G256">
        <f>G255*IFERROR(IF(ISNUMBER(INDEX(Method_2030_2050!$C$9:$C$34,MATCH(L256,Method_2030_2050!$B$9:$B$34,0))),INDEX(Method_2030_2050!$C$9:$C$34,MATCH(L256,Method_2030_2050!$B$9:$B$34,0)),1),1)</f>
        <v/>
      </c>
      <c r="H256">
        <f>H255*IFERROR(IF(ISNUMBER(INDEX(Method_2030_2050!$C$9:$C$34,MATCH(L256,Method_2030_2050!$B$9:$B$34,0))),INDEX(Method_2030_2050!$C$9:$C$34,MATCH(L256,Method_2030_2050!$B$9:$B$34,0)),1),1)</f>
        <v/>
      </c>
      <c r="I256" t="inlineStr">
        <is>
          <t>CAPEX/OPEX ratio projection</t>
        </is>
      </c>
      <c r="J256" t="inlineStr"/>
      <c r="K256" t="inlineStr"/>
      <c r="L256" t="inlineStr">
        <is>
          <t>Hydro pumped storage</t>
        </is>
      </c>
      <c r="M256" t="inlineStr"/>
      <c r="N256" t="inlineStr">
        <is>
          <t>CAPEX 2030/2024=0.998209354851183</t>
        </is>
      </c>
      <c r="O256" t="n">
        <v>2024</v>
      </c>
      <c r="P256" t="n">
        <v>2030</v>
      </c>
      <c r="Q256">
        <f>Q255*IFERROR(IF(ISNUMBER(INDEX(Method_2030_2050!$C$9:$C$34,MATCH(L256,Method_2030_2050!$B$9:$B$34,0))),INDEX(Method_2030_2050!$C$9:$C$34,MATCH(L256,Method_2030_2050!$B$9:$B$34,0)),1),1)</f>
        <v/>
      </c>
    </row>
    <row r="257">
      <c r="A257" t="inlineStr">
        <is>
          <t>Rutovitz 2025</t>
        </is>
      </c>
      <c r="B257" t="inlineStr">
        <is>
          <t>Pumped hydro storage</t>
        </is>
      </c>
      <c r="C257" t="inlineStr">
        <is>
          <t>Construction</t>
        </is>
      </c>
      <c r="D257" t="inlineStr">
        <is>
          <t>Direct</t>
        </is>
      </c>
      <c r="E257" t="inlineStr">
        <is>
          <t>job-yr/MW</t>
        </is>
      </c>
      <c r="F257" t="n">
        <v>2050</v>
      </c>
      <c r="G257">
        <f>G256*IFERROR(IF(ISNUMBER(INDEX(Method_2030_2050!$D$9:$D$34,MATCH(L257,Method_2030_2050!$B$9:$B$34,0))),INDEX(Method_2030_2050!$D$9:$D$34,MATCH(L257,Method_2030_2050!$B$9:$B$34,0)),1),1)</f>
        <v/>
      </c>
      <c r="H257">
        <f>H256*IFERROR(IF(ISNUMBER(INDEX(Method_2030_2050!$D$9:$D$34,MATCH(L257,Method_2030_2050!$B$9:$B$34,0))),INDEX(Method_2030_2050!$D$9:$D$34,MATCH(L257,Method_2030_2050!$B$9:$B$34,0)),1),1)</f>
        <v/>
      </c>
      <c r="I257" t="inlineStr">
        <is>
          <t>CAPEX/OPEX ratio projection</t>
        </is>
      </c>
      <c r="J257" t="inlineStr"/>
      <c r="K257" t="inlineStr"/>
      <c r="L257" t="inlineStr">
        <is>
          <t>Hydro pumped storage</t>
        </is>
      </c>
      <c r="M257" t="inlineStr"/>
      <c r="N257" t="inlineStr">
        <is>
          <t>CAPEX 2050/2030=0.994910686684318</t>
        </is>
      </c>
      <c r="O257" t="n">
        <v>2030</v>
      </c>
      <c r="P257" t="n">
        <v>2050</v>
      </c>
      <c r="Q257">
        <f>Q256*IFERROR(IF(ISNUMBER(INDEX(Method_2030_2050!$D$9:$D$34,MATCH(L257,Method_2030_2050!$B$9:$B$34,0))),INDEX(Method_2030_2050!$D$9:$D$34,MATCH(L257,Method_2030_2050!$B$9:$B$34,0)),1),1)</f>
        <v/>
      </c>
    </row>
    <row r="258">
      <c r="A258" t="inlineStr">
        <is>
          <t>Rutovitz 2025</t>
        </is>
      </c>
      <c r="B258" t="inlineStr">
        <is>
          <t>Pumped hydro storage</t>
        </is>
      </c>
      <c r="C258" t="inlineStr">
        <is>
          <t>Manufacturing</t>
        </is>
      </c>
      <c r="D258" t="inlineStr">
        <is>
          <t>Direct</t>
        </is>
      </c>
      <c r="E258" t="inlineStr">
        <is>
          <t>job-yr/MW</t>
        </is>
      </c>
      <c r="F258" t="n">
        <v>2024</v>
      </c>
      <c r="G258" t="inlineStr">
        <is>
          <t>6.4</t>
        </is>
      </c>
      <c r="H258" t="n">
        <v>6.4</v>
      </c>
      <c r="I258" t="inlineStr">
        <is>
          <t>Original</t>
        </is>
      </c>
      <c r="J258" t="inlineStr"/>
      <c r="K258" t="inlineStr"/>
      <c r="L258" t="inlineStr"/>
      <c r="M258" t="inlineStr"/>
      <c r="N258" t="inlineStr"/>
      <c r="O258" t="n">
        <v>2024</v>
      </c>
      <c r="P258" t="n">
        <v>2024</v>
      </c>
      <c r="Q258" t="n">
        <v>6.4</v>
      </c>
    </row>
    <row r="259">
      <c r="A259" t="inlineStr">
        <is>
          <t>Rutovitz 2025</t>
        </is>
      </c>
      <c r="B259" t="inlineStr">
        <is>
          <t>Pumped hydro storage</t>
        </is>
      </c>
      <c r="C259" t="inlineStr">
        <is>
          <t>Manufacturing</t>
        </is>
      </c>
      <c r="D259" t="inlineStr">
        <is>
          <t>Direct</t>
        </is>
      </c>
      <c r="E259" t="inlineStr">
        <is>
          <t>job-yr/MW</t>
        </is>
      </c>
      <c r="F259" t="n">
        <v>2030</v>
      </c>
      <c r="G259">
        <f>G258*IFERROR(IF(ISNUMBER(INDEX(Method_2030_2050!$C$9:$C$34,MATCH(L259,Method_2030_2050!$B$9:$B$34,0))),INDEX(Method_2030_2050!$C$9:$C$34,MATCH(L259,Method_2030_2050!$B$9:$B$34,0)),1),1)</f>
        <v/>
      </c>
      <c r="H259">
        <f>H258*IFERROR(IF(ISNUMBER(INDEX(Method_2030_2050!$C$9:$C$34,MATCH(L259,Method_2030_2050!$B$9:$B$34,0))),INDEX(Method_2030_2050!$C$9:$C$34,MATCH(L259,Method_2030_2050!$B$9:$B$34,0)),1),1)</f>
        <v/>
      </c>
      <c r="I259" t="inlineStr">
        <is>
          <t>CAPEX/OPEX ratio projection</t>
        </is>
      </c>
      <c r="J259" t="inlineStr"/>
      <c r="K259" t="inlineStr"/>
      <c r="L259" t="inlineStr">
        <is>
          <t>Hydro pumped storage</t>
        </is>
      </c>
      <c r="M259" t="inlineStr"/>
      <c r="N259" t="inlineStr">
        <is>
          <t>CAPEX 2030/2024=0.998209354851183</t>
        </is>
      </c>
      <c r="O259" t="n">
        <v>2024</v>
      </c>
      <c r="P259" t="n">
        <v>2030</v>
      </c>
      <c r="Q259">
        <f>Q258*IFERROR(IF(ISNUMBER(INDEX(Method_2030_2050!$C$9:$C$34,MATCH(L259,Method_2030_2050!$B$9:$B$34,0))),INDEX(Method_2030_2050!$C$9:$C$34,MATCH(L259,Method_2030_2050!$B$9:$B$34,0)),1),1)</f>
        <v/>
      </c>
    </row>
    <row r="260">
      <c r="A260" t="inlineStr">
        <is>
          <t>Rutovitz 2025</t>
        </is>
      </c>
      <c r="B260" t="inlineStr">
        <is>
          <t>Pumped hydro storage</t>
        </is>
      </c>
      <c r="C260" t="inlineStr">
        <is>
          <t>Manufacturing</t>
        </is>
      </c>
      <c r="D260" t="inlineStr">
        <is>
          <t>Direct</t>
        </is>
      </c>
      <c r="E260" t="inlineStr">
        <is>
          <t>job-yr/MW</t>
        </is>
      </c>
      <c r="F260" t="n">
        <v>2050</v>
      </c>
      <c r="G260">
        <f>G259*IFERROR(IF(ISNUMBER(INDEX(Method_2030_2050!$D$9:$D$34,MATCH(L260,Method_2030_2050!$B$9:$B$34,0))),INDEX(Method_2030_2050!$D$9:$D$34,MATCH(L260,Method_2030_2050!$B$9:$B$34,0)),1),1)</f>
        <v/>
      </c>
      <c r="H260">
        <f>H259*IFERROR(IF(ISNUMBER(INDEX(Method_2030_2050!$D$9:$D$34,MATCH(L260,Method_2030_2050!$B$9:$B$34,0))),INDEX(Method_2030_2050!$D$9:$D$34,MATCH(L260,Method_2030_2050!$B$9:$B$34,0)),1),1)</f>
        <v/>
      </c>
      <c r="I260" t="inlineStr">
        <is>
          <t>CAPEX/OPEX ratio projection</t>
        </is>
      </c>
      <c r="J260" t="inlineStr"/>
      <c r="K260" t="inlineStr"/>
      <c r="L260" t="inlineStr">
        <is>
          <t>Hydro pumped storage</t>
        </is>
      </c>
      <c r="M260" t="inlineStr"/>
      <c r="N260" t="inlineStr">
        <is>
          <t>CAPEX 2050/2030=0.994910686684318</t>
        </is>
      </c>
      <c r="O260" t="n">
        <v>2030</v>
      </c>
      <c r="P260" t="n">
        <v>2050</v>
      </c>
      <c r="Q260">
        <f>Q259*IFERROR(IF(ISNUMBER(INDEX(Method_2030_2050!$D$9:$D$34,MATCH(L260,Method_2030_2050!$B$9:$B$34,0))),INDEX(Method_2030_2050!$D$9:$D$34,MATCH(L260,Method_2030_2050!$B$9:$B$34,0)),1),1)</f>
        <v/>
      </c>
    </row>
    <row r="261">
      <c r="A261" t="inlineStr">
        <is>
          <t>Rutovitz 2025</t>
        </is>
      </c>
      <c r="B261" t="inlineStr">
        <is>
          <t>Pumped hydro storage</t>
        </is>
      </c>
      <c r="C261" t="inlineStr">
        <is>
          <t>O&amp;M</t>
        </is>
      </c>
      <c r="D261" t="inlineStr">
        <is>
          <t>Direct</t>
        </is>
      </c>
      <c r="E261" t="inlineStr">
        <is>
          <t>job/MW</t>
        </is>
      </c>
      <c r="F261" t="n">
        <v>2024</v>
      </c>
      <c r="G261" t="inlineStr">
        <is>
          <t>0.08</t>
        </is>
      </c>
      <c r="H261" t="n">
        <v>0.08</v>
      </c>
      <c r="I261" t="inlineStr">
        <is>
          <t>Original</t>
        </is>
      </c>
      <c r="J261" t="inlineStr"/>
      <c r="K261" t="inlineStr"/>
      <c r="L261" t="inlineStr"/>
      <c r="M261" t="inlineStr"/>
      <c r="N261" t="inlineStr"/>
      <c r="O261" t="n">
        <v>2024</v>
      </c>
      <c r="P261" t="n">
        <v>2024</v>
      </c>
      <c r="Q261" t="n">
        <v>0.08</v>
      </c>
    </row>
    <row r="262">
      <c r="A262" t="inlineStr">
        <is>
          <t>Rutovitz 2025</t>
        </is>
      </c>
      <c r="B262" t="inlineStr">
        <is>
          <t>Pumped hydro storage</t>
        </is>
      </c>
      <c r="C262" t="inlineStr">
        <is>
          <t>O&amp;M</t>
        </is>
      </c>
      <c r="D262" t="inlineStr">
        <is>
          <t>Direct</t>
        </is>
      </c>
      <c r="E262" t="inlineStr">
        <is>
          <t>job/MW</t>
        </is>
      </c>
      <c r="F262" t="n">
        <v>2030</v>
      </c>
      <c r="G262">
        <f>G261*IFERROR(IF(ISNUMBER(INDEX(Method_2030_2050!$E$9:$E$34,MATCH(L262,Method_2030_2050!$B$9:$B$34,0))),INDEX(Method_2030_2050!$E$9:$E$34,MATCH(L262,Method_2030_2050!$B$9:$B$34,0)),1),1)</f>
        <v/>
      </c>
      <c r="H262">
        <f>H261*IFERROR(IF(ISNUMBER(INDEX(Method_2030_2050!$E$9:$E$34,MATCH(L262,Method_2030_2050!$B$9:$B$34,0))),INDEX(Method_2030_2050!$E$9:$E$34,MATCH(L262,Method_2030_2050!$B$9:$B$34,0)),1),1)</f>
        <v/>
      </c>
      <c r="I262" t="inlineStr">
        <is>
          <t>CAPEX/OPEX ratio projection</t>
        </is>
      </c>
      <c r="J262" t="inlineStr"/>
      <c r="K262" t="inlineStr"/>
      <c r="L262" t="inlineStr">
        <is>
          <t>Hydro pumped storage</t>
        </is>
      </c>
      <c r="M262" t="inlineStr"/>
      <c r="N262" t="inlineStr">
        <is>
          <t>OPEX 2030/2024=1.0</t>
        </is>
      </c>
      <c r="O262" t="n">
        <v>2024</v>
      </c>
      <c r="P262" t="n">
        <v>2030</v>
      </c>
      <c r="Q262">
        <f>Q261*IFERROR(IF(ISNUMBER(INDEX(Method_2030_2050!$E$9:$E$34,MATCH(L262,Method_2030_2050!$B$9:$B$34,0))),INDEX(Method_2030_2050!$E$9:$E$34,MATCH(L262,Method_2030_2050!$B$9:$B$34,0)),1),1)</f>
        <v/>
      </c>
    </row>
    <row r="263">
      <c r="A263" t="inlineStr">
        <is>
          <t>Rutovitz 2025</t>
        </is>
      </c>
      <c r="B263" t="inlineStr">
        <is>
          <t>Pumped hydro storage</t>
        </is>
      </c>
      <c r="C263" t="inlineStr">
        <is>
          <t>O&amp;M</t>
        </is>
      </c>
      <c r="D263" t="inlineStr">
        <is>
          <t>Direct</t>
        </is>
      </c>
      <c r="E263" t="inlineStr">
        <is>
          <t>job/MW</t>
        </is>
      </c>
      <c r="F263" t="n">
        <v>2050</v>
      </c>
      <c r="G263">
        <f>G262*IFERROR(IF(ISNUMBER(INDEX(Method_2030_2050!$F$9:$F$34,MATCH(L263,Method_2030_2050!$B$9:$B$34,0))),INDEX(Method_2030_2050!$F$9:$F$34,MATCH(L263,Method_2030_2050!$B$9:$B$34,0)),1),1)</f>
        <v/>
      </c>
      <c r="H263">
        <f>H262*IFERROR(IF(ISNUMBER(INDEX(Method_2030_2050!$F$9:$F$34,MATCH(L263,Method_2030_2050!$B$9:$B$34,0))),INDEX(Method_2030_2050!$F$9:$F$34,MATCH(L263,Method_2030_2050!$B$9:$B$34,0)),1),1)</f>
        <v/>
      </c>
      <c r="I263" t="inlineStr">
        <is>
          <t>CAPEX/OPEX ratio projection</t>
        </is>
      </c>
      <c r="J263" t="inlineStr"/>
      <c r="K263" t="inlineStr"/>
      <c r="L263" t="inlineStr">
        <is>
          <t>Hydro pumped storage</t>
        </is>
      </c>
      <c r="M263" t="inlineStr"/>
      <c r="N263" t="inlineStr">
        <is>
          <t>OPEX 2050/2030=0.9916666666666668</t>
        </is>
      </c>
      <c r="O263" t="n">
        <v>2030</v>
      </c>
      <c r="P263" t="n">
        <v>2050</v>
      </c>
      <c r="Q263">
        <f>Q262*IFERROR(IF(ISNUMBER(INDEX(Method_2030_2050!$F$9:$F$34,MATCH(L263,Method_2030_2050!$B$9:$B$34,0))),INDEX(Method_2030_2050!$F$9:$F$34,MATCH(L263,Method_2030_2050!$B$9:$B$34,0)),1),1)</f>
        <v/>
      </c>
    </row>
    <row r="264">
      <c r="A264" t="inlineStr">
        <is>
          <t>Rutovitz 2025</t>
        </is>
      </c>
      <c r="B264" t="inlineStr">
        <is>
          <t>Rooftop solar PV</t>
        </is>
      </c>
      <c r="C264" t="inlineStr">
        <is>
          <t>Construction</t>
        </is>
      </c>
      <c r="D264" t="inlineStr">
        <is>
          <t>Direct</t>
        </is>
      </c>
      <c r="E264" t="inlineStr">
        <is>
          <t>job-yr/MW</t>
        </is>
      </c>
      <c r="F264" t="n">
        <v>2024</v>
      </c>
      <c r="G264" t="inlineStr">
        <is>
          <t>4.19</t>
        </is>
      </c>
      <c r="H264" t="n">
        <v>4.19</v>
      </c>
      <c r="I264" t="inlineStr">
        <is>
          <t>Original</t>
        </is>
      </c>
      <c r="J264" t="inlineStr"/>
      <c r="K264" t="inlineStr"/>
      <c r="L264" t="inlineStr"/>
      <c r="M264" t="inlineStr"/>
      <c r="N264" t="inlineStr"/>
      <c r="O264" t="n">
        <v>2024</v>
      </c>
      <c r="P264" t="n">
        <v>2024</v>
      </c>
      <c r="Q264" t="n">
        <v>4.19</v>
      </c>
    </row>
    <row r="265">
      <c r="A265" t="inlineStr">
        <is>
          <t>Rutovitz 2025</t>
        </is>
      </c>
      <c r="B265" t="inlineStr">
        <is>
          <t>Rooftop solar PV</t>
        </is>
      </c>
      <c r="C265" t="inlineStr">
        <is>
          <t>Construction</t>
        </is>
      </c>
      <c r="D265" t="inlineStr">
        <is>
          <t>Direct</t>
        </is>
      </c>
      <c r="E265" t="inlineStr">
        <is>
          <t>job-yr/MW</t>
        </is>
      </c>
      <c r="F265" t="n">
        <v>2030</v>
      </c>
      <c r="G265">
        <f>G264*IFERROR(IF(ISNUMBER(INDEX(Method_2030_2050!$C$9:$C$34,MATCH(L265,Method_2030_2050!$B$9:$B$34,0))),INDEX(Method_2030_2050!$C$9:$C$34,MATCH(L265,Method_2030_2050!$B$9:$B$34,0)),1),1)</f>
        <v/>
      </c>
      <c r="H265">
        <f>H264*IFERROR(IF(ISNUMBER(INDEX(Method_2030_2050!$C$9:$C$34,MATCH(L265,Method_2030_2050!$B$9:$B$34,0))),INDEX(Method_2030_2050!$C$9:$C$34,MATCH(L265,Method_2030_2050!$B$9:$B$34,0)),1),1)</f>
        <v/>
      </c>
      <c r="I265" t="inlineStr">
        <is>
          <t>CAPEX/OPEX ratio projection</t>
        </is>
      </c>
      <c r="J265" t="inlineStr"/>
      <c r="K265" t="inlineStr"/>
      <c r="L265" t="inlineStr">
        <is>
          <t>Residential PV (rooftop)</t>
        </is>
      </c>
      <c r="M265" t="inlineStr"/>
      <c r="N265" t="inlineStr">
        <is>
          <t>CAPEX 2030/2024=0.6897748795362156</t>
        </is>
      </c>
      <c r="O265" t="n">
        <v>2024</v>
      </c>
      <c r="P265" t="n">
        <v>2030</v>
      </c>
      <c r="Q265">
        <f>Q264*IFERROR(IF(ISNUMBER(INDEX(Method_2030_2050!$C$9:$C$34,MATCH(L265,Method_2030_2050!$B$9:$B$34,0))),INDEX(Method_2030_2050!$C$9:$C$34,MATCH(L265,Method_2030_2050!$B$9:$B$34,0)),1),1)</f>
        <v/>
      </c>
    </row>
    <row r="266">
      <c r="A266" t="inlineStr">
        <is>
          <t>Rutovitz 2025</t>
        </is>
      </c>
      <c r="B266" t="inlineStr">
        <is>
          <t>Rooftop solar PV</t>
        </is>
      </c>
      <c r="C266" t="inlineStr">
        <is>
          <t>Construction</t>
        </is>
      </c>
      <c r="D266" t="inlineStr">
        <is>
          <t>Direct</t>
        </is>
      </c>
      <c r="E266" t="inlineStr">
        <is>
          <t>job-yr/MW</t>
        </is>
      </c>
      <c r="F266" t="n">
        <v>2050</v>
      </c>
      <c r="G266">
        <f>G265*IFERROR(IF(ISNUMBER(INDEX(Method_2030_2050!$D$9:$D$34,MATCH(L266,Method_2030_2050!$B$9:$B$34,0))),INDEX(Method_2030_2050!$D$9:$D$34,MATCH(L266,Method_2030_2050!$B$9:$B$34,0)),1),1)</f>
        <v/>
      </c>
      <c r="H266">
        <f>H265*IFERROR(IF(ISNUMBER(INDEX(Method_2030_2050!$D$9:$D$34,MATCH(L266,Method_2030_2050!$B$9:$B$34,0))),INDEX(Method_2030_2050!$D$9:$D$34,MATCH(L266,Method_2030_2050!$B$9:$B$34,0)),1),1)</f>
        <v/>
      </c>
      <c r="I266" t="inlineStr">
        <is>
          <t>CAPEX/OPEX ratio projection</t>
        </is>
      </c>
      <c r="J266" t="inlineStr"/>
      <c r="K266" t="inlineStr"/>
      <c r="L266" t="inlineStr">
        <is>
          <t>Residential PV (rooftop)</t>
        </is>
      </c>
      <c r="M266" t="inlineStr"/>
      <c r="N266" t="inlineStr">
        <is>
          <t>CAPEX 2050/2030=0.6714972458666703</t>
        </is>
      </c>
      <c r="O266" t="n">
        <v>2030</v>
      </c>
      <c r="P266" t="n">
        <v>2050</v>
      </c>
      <c r="Q266">
        <f>Q265*IFERROR(IF(ISNUMBER(INDEX(Method_2030_2050!$D$9:$D$34,MATCH(L266,Method_2030_2050!$B$9:$B$34,0))),INDEX(Method_2030_2050!$D$9:$D$34,MATCH(L266,Method_2030_2050!$B$9:$B$34,0)),1),1)</f>
        <v/>
      </c>
    </row>
    <row r="267">
      <c r="A267" t="inlineStr">
        <is>
          <t>JEDI-US</t>
        </is>
      </c>
      <c r="B267" t="inlineStr">
        <is>
          <t>Rooftop solar PV</t>
        </is>
      </c>
      <c r="C267" t="inlineStr">
        <is>
          <t>Construction&amp;Manufacturing</t>
        </is>
      </c>
      <c r="D267" t="inlineStr">
        <is>
          <t>Direct</t>
        </is>
      </c>
      <c r="E267" t="inlineStr">
        <is>
          <t>job-yr/MW</t>
        </is>
      </c>
      <c r="F267" t="n">
        <v>2024</v>
      </c>
      <c r="G267" t="inlineStr">
        <is>
          <t>9328</t>
        </is>
      </c>
      <c r="H267" t="n">
        <v>9.327999999999999</v>
      </c>
      <c r="I267" t="inlineStr">
        <is>
          <t>Original</t>
        </is>
      </c>
      <c r="J267" t="inlineStr"/>
      <c r="K267" t="inlineStr"/>
      <c r="L267" t="inlineStr"/>
      <c r="M267" t="inlineStr"/>
      <c r="N267" t="inlineStr"/>
      <c r="O267" t="n">
        <v>2024</v>
      </c>
      <c r="P267" t="n">
        <v>2024</v>
      </c>
      <c r="Q267" t="n">
        <v>9.327999999999999</v>
      </c>
    </row>
    <row r="268">
      <c r="A268" t="inlineStr">
        <is>
          <t>JEDI-US</t>
        </is>
      </c>
      <c r="B268" t="inlineStr">
        <is>
          <t>Rooftop solar PV</t>
        </is>
      </c>
      <c r="C268" t="inlineStr">
        <is>
          <t>Construction&amp;Manufacturing</t>
        </is>
      </c>
      <c r="D268" t="inlineStr">
        <is>
          <t>Direct</t>
        </is>
      </c>
      <c r="E268" t="inlineStr">
        <is>
          <t>job-yr/MW</t>
        </is>
      </c>
      <c r="F268" t="n">
        <v>2030</v>
      </c>
      <c r="G268">
        <f>G267*IFERROR(IF(ISNUMBER(INDEX(Method_2030_2050!$C$9:$C$34,MATCH(L268,Method_2030_2050!$B$9:$B$34,0))),INDEX(Method_2030_2050!$C$9:$C$34,MATCH(L268,Method_2030_2050!$B$9:$B$34,0)),1),1)</f>
        <v/>
      </c>
      <c r="H268">
        <f>H267*IFERROR(IF(ISNUMBER(INDEX(Method_2030_2050!$C$9:$C$34,MATCH(L268,Method_2030_2050!$B$9:$B$34,0))),INDEX(Method_2030_2050!$C$9:$C$34,MATCH(L268,Method_2030_2050!$B$9:$B$34,0)),1),1)</f>
        <v/>
      </c>
      <c r="I268" t="inlineStr">
        <is>
          <t>CAPEX/OPEX ratio projection</t>
        </is>
      </c>
      <c r="J268" t="inlineStr"/>
      <c r="K268" t="inlineStr"/>
      <c r="L268" t="inlineStr">
        <is>
          <t>Residential PV (rooftop)</t>
        </is>
      </c>
      <c r="M268" t="inlineStr"/>
      <c r="N268" t="inlineStr">
        <is>
          <t>CAPEX 2030/2024=0.6897748795362156</t>
        </is>
      </c>
      <c r="O268" t="n">
        <v>2024</v>
      </c>
      <c r="P268" t="n">
        <v>2030</v>
      </c>
      <c r="Q268">
        <f>Q267*IFERROR(IF(ISNUMBER(INDEX(Method_2030_2050!$C$9:$C$34,MATCH(L268,Method_2030_2050!$B$9:$B$34,0))),INDEX(Method_2030_2050!$C$9:$C$34,MATCH(L268,Method_2030_2050!$B$9:$B$34,0)),1),1)</f>
        <v/>
      </c>
    </row>
    <row r="269">
      <c r="A269" t="inlineStr">
        <is>
          <t>JEDI-US</t>
        </is>
      </c>
      <c r="B269" t="inlineStr">
        <is>
          <t>Rooftop solar PV</t>
        </is>
      </c>
      <c r="C269" t="inlineStr">
        <is>
          <t>Construction&amp;Manufacturing</t>
        </is>
      </c>
      <c r="D269" t="inlineStr">
        <is>
          <t>Direct</t>
        </is>
      </c>
      <c r="E269" t="inlineStr">
        <is>
          <t>job-yr/MW</t>
        </is>
      </c>
      <c r="F269" t="n">
        <v>2050</v>
      </c>
      <c r="G269">
        <f>G268*IFERROR(IF(ISNUMBER(INDEX(Method_2030_2050!$D$9:$D$34,MATCH(L269,Method_2030_2050!$B$9:$B$34,0))),INDEX(Method_2030_2050!$D$9:$D$34,MATCH(L269,Method_2030_2050!$B$9:$B$34,0)),1),1)</f>
        <v/>
      </c>
      <c r="H269">
        <f>H268*IFERROR(IF(ISNUMBER(INDEX(Method_2030_2050!$D$9:$D$34,MATCH(L269,Method_2030_2050!$B$9:$B$34,0))),INDEX(Method_2030_2050!$D$9:$D$34,MATCH(L269,Method_2030_2050!$B$9:$B$34,0)),1),1)</f>
        <v/>
      </c>
      <c r="I269" t="inlineStr">
        <is>
          <t>CAPEX/OPEX ratio projection</t>
        </is>
      </c>
      <c r="J269" t="inlineStr"/>
      <c r="K269" t="inlineStr"/>
      <c r="L269" t="inlineStr">
        <is>
          <t>Residential PV (rooftop)</t>
        </is>
      </c>
      <c r="M269" t="inlineStr"/>
      <c r="N269" t="inlineStr">
        <is>
          <t>CAPEX 2050/2030=0.6714972458666703</t>
        </is>
      </c>
      <c r="O269" t="n">
        <v>2030</v>
      </c>
      <c r="P269" t="n">
        <v>2050</v>
      </c>
      <c r="Q269">
        <f>Q268*IFERROR(IF(ISNUMBER(INDEX(Method_2030_2050!$D$9:$D$34,MATCH(L269,Method_2030_2050!$B$9:$B$34,0))),INDEX(Method_2030_2050!$D$9:$D$34,MATCH(L269,Method_2030_2050!$B$9:$B$34,0)),1),1)</f>
        <v/>
      </c>
    </row>
    <row r="270">
      <c r="A270" t="inlineStr">
        <is>
          <t>JEDI-US</t>
        </is>
      </c>
      <c r="B270" t="inlineStr">
        <is>
          <t>Rooftop solar PV</t>
        </is>
      </c>
      <c r="C270" t="inlineStr">
        <is>
          <t>Construction&amp;Manufacturing</t>
        </is>
      </c>
      <c r="D270" t="inlineStr">
        <is>
          <t>Indirect</t>
        </is>
      </c>
      <c r="E270" t="inlineStr">
        <is>
          <t>job-yr/MW</t>
        </is>
      </c>
      <c r="F270" t="n">
        <v>2024</v>
      </c>
      <c r="G270" t="inlineStr">
        <is>
          <t>10.8</t>
        </is>
      </c>
      <c r="H270" t="n">
        <v>10.8</v>
      </c>
      <c r="I270" t="inlineStr">
        <is>
          <t>Original</t>
        </is>
      </c>
      <c r="J270" t="inlineStr"/>
      <c r="K270" t="inlineStr"/>
      <c r="L270" t="inlineStr"/>
      <c r="M270" t="inlineStr"/>
      <c r="N270" t="inlineStr"/>
      <c r="O270" t="n">
        <v>2024</v>
      </c>
      <c r="P270" t="n">
        <v>2024</v>
      </c>
      <c r="Q270" t="n">
        <v>10.8</v>
      </c>
    </row>
    <row r="271">
      <c r="A271" t="inlineStr">
        <is>
          <t>JEDI-US</t>
        </is>
      </c>
      <c r="B271" t="inlineStr">
        <is>
          <t>Rooftop solar PV</t>
        </is>
      </c>
      <c r="C271" t="inlineStr">
        <is>
          <t>Construction&amp;Manufacturing</t>
        </is>
      </c>
      <c r="D271" t="inlineStr">
        <is>
          <t>Indirect</t>
        </is>
      </c>
      <c r="E271" t="inlineStr">
        <is>
          <t>job-yr/MW</t>
        </is>
      </c>
      <c r="F271" t="n">
        <v>2030</v>
      </c>
      <c r="G271">
        <f>G270*IFERROR(IF(ISNUMBER(INDEX(Method_2030_2050!$C$9:$C$34,MATCH(L271,Method_2030_2050!$B$9:$B$34,0))),INDEX(Method_2030_2050!$C$9:$C$34,MATCH(L271,Method_2030_2050!$B$9:$B$34,0)),1),1)</f>
        <v/>
      </c>
      <c r="H271">
        <f>H270*IFERROR(IF(ISNUMBER(INDEX(Method_2030_2050!$C$9:$C$34,MATCH(L271,Method_2030_2050!$B$9:$B$34,0))),INDEX(Method_2030_2050!$C$9:$C$34,MATCH(L271,Method_2030_2050!$B$9:$B$34,0)),1),1)</f>
        <v/>
      </c>
      <c r="I271" t="inlineStr">
        <is>
          <t>CAPEX/OPEX ratio projection</t>
        </is>
      </c>
      <c r="J271" t="inlineStr"/>
      <c r="K271" t="inlineStr"/>
      <c r="L271" t="inlineStr">
        <is>
          <t>Residential PV (rooftop)</t>
        </is>
      </c>
      <c r="M271" t="inlineStr"/>
      <c r="N271" t="inlineStr">
        <is>
          <t>CAPEX 2030/2024=0.6897748795362156</t>
        </is>
      </c>
      <c r="O271" t="n">
        <v>2024</v>
      </c>
      <c r="P271" t="n">
        <v>2030</v>
      </c>
      <c r="Q271">
        <f>Q270*IFERROR(IF(ISNUMBER(INDEX(Method_2030_2050!$C$9:$C$34,MATCH(L271,Method_2030_2050!$B$9:$B$34,0))),INDEX(Method_2030_2050!$C$9:$C$34,MATCH(L271,Method_2030_2050!$B$9:$B$34,0)),1),1)</f>
        <v/>
      </c>
    </row>
    <row r="272">
      <c r="A272" t="inlineStr">
        <is>
          <t>JEDI-US</t>
        </is>
      </c>
      <c r="B272" t="inlineStr">
        <is>
          <t>Rooftop solar PV</t>
        </is>
      </c>
      <c r="C272" t="inlineStr">
        <is>
          <t>Construction&amp;Manufacturing</t>
        </is>
      </c>
      <c r="D272" t="inlineStr">
        <is>
          <t>Indirect</t>
        </is>
      </c>
      <c r="E272" t="inlineStr">
        <is>
          <t>job-yr/MW</t>
        </is>
      </c>
      <c r="F272" t="n">
        <v>2050</v>
      </c>
      <c r="G272">
        <f>G271*IFERROR(IF(ISNUMBER(INDEX(Method_2030_2050!$D$9:$D$34,MATCH(L272,Method_2030_2050!$B$9:$B$34,0))),INDEX(Method_2030_2050!$D$9:$D$34,MATCH(L272,Method_2030_2050!$B$9:$B$34,0)),1),1)</f>
        <v/>
      </c>
      <c r="H272">
        <f>H271*IFERROR(IF(ISNUMBER(INDEX(Method_2030_2050!$D$9:$D$34,MATCH(L272,Method_2030_2050!$B$9:$B$34,0))),INDEX(Method_2030_2050!$D$9:$D$34,MATCH(L272,Method_2030_2050!$B$9:$B$34,0)),1),1)</f>
        <v/>
      </c>
      <c r="I272" t="inlineStr">
        <is>
          <t>CAPEX/OPEX ratio projection</t>
        </is>
      </c>
      <c r="J272" t="inlineStr"/>
      <c r="K272" t="inlineStr"/>
      <c r="L272" t="inlineStr">
        <is>
          <t>Residential PV (rooftop)</t>
        </is>
      </c>
      <c r="M272" t="inlineStr"/>
      <c r="N272" t="inlineStr">
        <is>
          <t>CAPEX 2050/2030=0.6714972458666703</t>
        </is>
      </c>
      <c r="O272" t="n">
        <v>2030</v>
      </c>
      <c r="P272" t="n">
        <v>2050</v>
      </c>
      <c r="Q272">
        <f>Q271*IFERROR(IF(ISNUMBER(INDEX(Method_2030_2050!$D$9:$D$34,MATCH(L272,Method_2030_2050!$B$9:$B$34,0))),INDEX(Method_2030_2050!$D$9:$D$34,MATCH(L272,Method_2030_2050!$B$9:$B$34,0)),1),1)</f>
        <v/>
      </c>
    </row>
    <row r="273">
      <c r="A273" t="inlineStr">
        <is>
          <t>JEDI-US</t>
        </is>
      </c>
      <c r="B273" t="inlineStr">
        <is>
          <t>Rooftop solar PV</t>
        </is>
      </c>
      <c r="C273" t="inlineStr">
        <is>
          <t>Construction&amp;Manufacturing</t>
        </is>
      </c>
      <c r="D273" t="inlineStr">
        <is>
          <t>Induced</t>
        </is>
      </c>
      <c r="E273" t="inlineStr">
        <is>
          <t>job-yr/MW</t>
        </is>
      </c>
      <c r="F273" t="n">
        <v>2024</v>
      </c>
      <c r="G273" t="inlineStr">
        <is>
          <t>10</t>
        </is>
      </c>
      <c r="H273" t="n">
        <v>10</v>
      </c>
      <c r="I273" t="inlineStr">
        <is>
          <t>Original</t>
        </is>
      </c>
      <c r="J273" t="inlineStr"/>
      <c r="K273" t="inlineStr"/>
      <c r="L273" t="inlineStr"/>
      <c r="M273" t="inlineStr"/>
      <c r="N273" t="inlineStr"/>
      <c r="O273" t="n">
        <v>2024</v>
      </c>
      <c r="P273" t="n">
        <v>2024</v>
      </c>
      <c r="Q273" t="n">
        <v>10</v>
      </c>
    </row>
    <row r="274">
      <c r="A274" t="inlineStr">
        <is>
          <t>JEDI-US</t>
        </is>
      </c>
      <c r="B274" t="inlineStr">
        <is>
          <t>Rooftop solar PV</t>
        </is>
      </c>
      <c r="C274" t="inlineStr">
        <is>
          <t>Construction&amp;Manufacturing</t>
        </is>
      </c>
      <c r="D274" t="inlineStr">
        <is>
          <t>Induced</t>
        </is>
      </c>
      <c r="E274" t="inlineStr">
        <is>
          <t>job-yr/MW</t>
        </is>
      </c>
      <c r="F274" t="n">
        <v>2030</v>
      </c>
      <c r="G274">
        <f>G273*IFERROR(IF(ISNUMBER(INDEX(Method_2030_2050!$C$9:$C$34,MATCH(L274,Method_2030_2050!$B$9:$B$34,0))),INDEX(Method_2030_2050!$C$9:$C$34,MATCH(L274,Method_2030_2050!$B$9:$B$34,0)),1),1)</f>
        <v/>
      </c>
      <c r="H274">
        <f>H273*IFERROR(IF(ISNUMBER(INDEX(Method_2030_2050!$C$9:$C$34,MATCH(L274,Method_2030_2050!$B$9:$B$34,0))),INDEX(Method_2030_2050!$C$9:$C$34,MATCH(L274,Method_2030_2050!$B$9:$B$34,0)),1),1)</f>
        <v/>
      </c>
      <c r="I274" t="inlineStr">
        <is>
          <t>CAPEX/OPEX ratio projection</t>
        </is>
      </c>
      <c r="J274" t="inlineStr"/>
      <c r="K274" t="inlineStr"/>
      <c r="L274" t="inlineStr">
        <is>
          <t>Residential PV (rooftop)</t>
        </is>
      </c>
      <c r="M274" t="inlineStr"/>
      <c r="N274" t="inlineStr">
        <is>
          <t>CAPEX 2030/2024=0.6897748795362156</t>
        </is>
      </c>
      <c r="O274" t="n">
        <v>2024</v>
      </c>
      <c r="P274" t="n">
        <v>2030</v>
      </c>
      <c r="Q274">
        <f>Q273*IFERROR(IF(ISNUMBER(INDEX(Method_2030_2050!$C$9:$C$34,MATCH(L274,Method_2030_2050!$B$9:$B$34,0))),INDEX(Method_2030_2050!$C$9:$C$34,MATCH(L274,Method_2030_2050!$B$9:$B$34,0)),1),1)</f>
        <v/>
      </c>
    </row>
    <row r="275">
      <c r="A275" t="inlineStr">
        <is>
          <t>JEDI-US</t>
        </is>
      </c>
      <c r="B275" t="inlineStr">
        <is>
          <t>Rooftop solar PV</t>
        </is>
      </c>
      <c r="C275" t="inlineStr">
        <is>
          <t>Construction&amp;Manufacturing</t>
        </is>
      </c>
      <c r="D275" t="inlineStr">
        <is>
          <t>Induced</t>
        </is>
      </c>
      <c r="E275" t="inlineStr">
        <is>
          <t>job-yr/MW</t>
        </is>
      </c>
      <c r="F275" t="n">
        <v>2050</v>
      </c>
      <c r="G275">
        <f>G274*IFERROR(IF(ISNUMBER(INDEX(Method_2030_2050!$D$9:$D$34,MATCH(L275,Method_2030_2050!$B$9:$B$34,0))),INDEX(Method_2030_2050!$D$9:$D$34,MATCH(L275,Method_2030_2050!$B$9:$B$34,0)),1),1)</f>
        <v/>
      </c>
      <c r="H275">
        <f>H274*IFERROR(IF(ISNUMBER(INDEX(Method_2030_2050!$D$9:$D$34,MATCH(L275,Method_2030_2050!$B$9:$B$34,0))),INDEX(Method_2030_2050!$D$9:$D$34,MATCH(L275,Method_2030_2050!$B$9:$B$34,0)),1),1)</f>
        <v/>
      </c>
      <c r="I275" t="inlineStr">
        <is>
          <t>CAPEX/OPEX ratio projection</t>
        </is>
      </c>
      <c r="J275" t="inlineStr"/>
      <c r="K275" t="inlineStr"/>
      <c r="L275" t="inlineStr">
        <is>
          <t>Residential PV (rooftop)</t>
        </is>
      </c>
      <c r="M275" t="inlineStr"/>
      <c r="N275" t="inlineStr">
        <is>
          <t>CAPEX 2050/2030=0.6714972458666703</t>
        </is>
      </c>
      <c r="O275" t="n">
        <v>2030</v>
      </c>
      <c r="P275" t="n">
        <v>2050</v>
      </c>
      <c r="Q275">
        <f>Q274*IFERROR(IF(ISNUMBER(INDEX(Method_2030_2050!$D$9:$D$34,MATCH(L275,Method_2030_2050!$B$9:$B$34,0))),INDEX(Method_2030_2050!$D$9:$D$34,MATCH(L275,Method_2030_2050!$B$9:$B$34,0)),1),1)</f>
        <v/>
      </c>
    </row>
    <row r="276">
      <c r="A276" t="inlineStr">
        <is>
          <t>Rutovitz 2025</t>
        </is>
      </c>
      <c r="B276" t="inlineStr">
        <is>
          <t>Rooftop solar PV</t>
        </is>
      </c>
      <c r="C276" t="inlineStr">
        <is>
          <t>Manufacturing</t>
        </is>
      </c>
      <c r="D276" t="inlineStr">
        <is>
          <t>Direct</t>
        </is>
      </c>
      <c r="E276" t="inlineStr">
        <is>
          <t>job-yr/MW</t>
        </is>
      </c>
      <c r="F276" t="n">
        <v>2024</v>
      </c>
      <c r="G276" t="inlineStr">
        <is>
          <t>2.86</t>
        </is>
      </c>
      <c r="H276" t="n">
        <v>2.86</v>
      </c>
      <c r="I276" t="inlineStr">
        <is>
          <t>Original</t>
        </is>
      </c>
      <c r="J276" t="inlineStr"/>
      <c r="K276" t="inlineStr"/>
      <c r="L276" t="inlineStr"/>
      <c r="M276" t="inlineStr"/>
      <c r="N276" t="inlineStr"/>
      <c r="O276" t="n">
        <v>2024</v>
      </c>
      <c r="P276" t="n">
        <v>2024</v>
      </c>
      <c r="Q276" t="n">
        <v>2.86</v>
      </c>
    </row>
    <row r="277">
      <c r="A277" t="inlineStr">
        <is>
          <t>Rutovitz 2025</t>
        </is>
      </c>
      <c r="B277" t="inlineStr">
        <is>
          <t>Rooftop solar PV</t>
        </is>
      </c>
      <c r="C277" t="inlineStr">
        <is>
          <t>Manufacturing</t>
        </is>
      </c>
      <c r="D277" t="inlineStr">
        <is>
          <t>Direct</t>
        </is>
      </c>
      <c r="E277" t="inlineStr">
        <is>
          <t>job-yr/MW</t>
        </is>
      </c>
      <c r="F277" t="n">
        <v>2030</v>
      </c>
      <c r="G277">
        <f>G276*IFERROR(IF(ISNUMBER(INDEX(Method_2030_2050!$C$9:$C$34,MATCH(L277,Method_2030_2050!$B$9:$B$34,0))),INDEX(Method_2030_2050!$C$9:$C$34,MATCH(L277,Method_2030_2050!$B$9:$B$34,0)),1),1)</f>
        <v/>
      </c>
      <c r="H277">
        <f>H276*IFERROR(IF(ISNUMBER(INDEX(Method_2030_2050!$C$9:$C$34,MATCH(L277,Method_2030_2050!$B$9:$B$34,0))),INDEX(Method_2030_2050!$C$9:$C$34,MATCH(L277,Method_2030_2050!$B$9:$B$34,0)),1),1)</f>
        <v/>
      </c>
      <c r="I277" t="inlineStr">
        <is>
          <t>CAPEX/OPEX ratio projection</t>
        </is>
      </c>
      <c r="J277" t="inlineStr"/>
      <c r="K277" t="inlineStr"/>
      <c r="L277" t="inlineStr">
        <is>
          <t>Residential PV (rooftop)</t>
        </is>
      </c>
      <c r="M277" t="inlineStr"/>
      <c r="N277" t="inlineStr">
        <is>
          <t>CAPEX 2030/2024=0.6897748795362156</t>
        </is>
      </c>
      <c r="O277" t="n">
        <v>2024</v>
      </c>
      <c r="P277" t="n">
        <v>2030</v>
      </c>
      <c r="Q277">
        <f>Q276*IFERROR(IF(ISNUMBER(INDEX(Method_2030_2050!$C$9:$C$34,MATCH(L277,Method_2030_2050!$B$9:$B$34,0))),INDEX(Method_2030_2050!$C$9:$C$34,MATCH(L277,Method_2030_2050!$B$9:$B$34,0)),1),1)</f>
        <v/>
      </c>
    </row>
    <row r="278">
      <c r="A278" t="inlineStr">
        <is>
          <t>Rutovitz 2025</t>
        </is>
      </c>
      <c r="B278" t="inlineStr">
        <is>
          <t>Rooftop solar PV</t>
        </is>
      </c>
      <c r="C278" t="inlineStr">
        <is>
          <t>Manufacturing</t>
        </is>
      </c>
      <c r="D278" t="inlineStr">
        <is>
          <t>Direct</t>
        </is>
      </c>
      <c r="E278" t="inlineStr">
        <is>
          <t>job-yr/MW</t>
        </is>
      </c>
      <c r="F278" t="n">
        <v>2050</v>
      </c>
      <c r="G278">
        <f>G277*IFERROR(IF(ISNUMBER(INDEX(Method_2030_2050!$D$9:$D$34,MATCH(L278,Method_2030_2050!$B$9:$B$34,0))),INDEX(Method_2030_2050!$D$9:$D$34,MATCH(L278,Method_2030_2050!$B$9:$B$34,0)),1),1)</f>
        <v/>
      </c>
      <c r="H278">
        <f>H277*IFERROR(IF(ISNUMBER(INDEX(Method_2030_2050!$D$9:$D$34,MATCH(L278,Method_2030_2050!$B$9:$B$34,0))),INDEX(Method_2030_2050!$D$9:$D$34,MATCH(L278,Method_2030_2050!$B$9:$B$34,0)),1),1)</f>
        <v/>
      </c>
      <c r="I278" t="inlineStr">
        <is>
          <t>CAPEX/OPEX ratio projection</t>
        </is>
      </c>
      <c r="J278" t="inlineStr"/>
      <c r="K278" t="inlineStr"/>
      <c r="L278" t="inlineStr">
        <is>
          <t>Residential PV (rooftop)</t>
        </is>
      </c>
      <c r="M278" t="inlineStr"/>
      <c r="N278" t="inlineStr">
        <is>
          <t>CAPEX 2050/2030=0.6714972458666703</t>
        </is>
      </c>
      <c r="O278" t="n">
        <v>2030</v>
      </c>
      <c r="P278" t="n">
        <v>2050</v>
      </c>
      <c r="Q278">
        <f>Q277*IFERROR(IF(ISNUMBER(INDEX(Method_2030_2050!$D$9:$D$34,MATCH(L278,Method_2030_2050!$B$9:$B$34,0))),INDEX(Method_2030_2050!$D$9:$D$34,MATCH(L278,Method_2030_2050!$B$9:$B$34,0)),1),1)</f>
        <v/>
      </c>
    </row>
    <row r="279">
      <c r="A279" t="inlineStr">
        <is>
          <t>JEDI-US</t>
        </is>
      </c>
      <c r="B279" t="inlineStr">
        <is>
          <t>Rooftop solar PV</t>
        </is>
      </c>
      <c r="C279" t="inlineStr">
        <is>
          <t>O&amp;M</t>
        </is>
      </c>
      <c r="D279" t="inlineStr">
        <is>
          <t>Direct</t>
        </is>
      </c>
      <c r="E279" t="inlineStr">
        <is>
          <t>job/MW</t>
        </is>
      </c>
      <c r="F279" t="n">
        <v>2024</v>
      </c>
      <c r="G279" t="inlineStr">
        <is>
          <t>0.3</t>
        </is>
      </c>
      <c r="H279" t="n">
        <v>0.3</v>
      </c>
      <c r="I279" t="inlineStr">
        <is>
          <t>Original</t>
        </is>
      </c>
      <c r="J279" t="inlineStr"/>
      <c r="K279" t="inlineStr"/>
      <c r="L279" t="inlineStr"/>
      <c r="M279" t="inlineStr"/>
      <c r="N279" t="inlineStr"/>
      <c r="O279" t="n">
        <v>2024</v>
      </c>
      <c r="P279" t="n">
        <v>2024</v>
      </c>
      <c r="Q279" t="n">
        <v>0.3</v>
      </c>
    </row>
    <row r="280">
      <c r="A280" t="inlineStr">
        <is>
          <t>JEDI-US</t>
        </is>
      </c>
      <c r="B280" t="inlineStr">
        <is>
          <t>Rooftop solar PV</t>
        </is>
      </c>
      <c r="C280" t="inlineStr">
        <is>
          <t>O&amp;M</t>
        </is>
      </c>
      <c r="D280" t="inlineStr">
        <is>
          <t>Direct</t>
        </is>
      </c>
      <c r="E280" t="inlineStr">
        <is>
          <t>job/MW</t>
        </is>
      </c>
      <c r="F280" t="n">
        <v>2030</v>
      </c>
      <c r="G280">
        <f>G279*IFERROR(IF(ISNUMBER(INDEX(Method_2030_2050!$E$9:$E$34,MATCH(L280,Method_2030_2050!$B$9:$B$34,0))),INDEX(Method_2030_2050!$E$9:$E$34,MATCH(L280,Method_2030_2050!$B$9:$B$34,0)),1),1)</f>
        <v/>
      </c>
      <c r="H280">
        <f>H279*IFERROR(IF(ISNUMBER(INDEX(Method_2030_2050!$E$9:$E$34,MATCH(L280,Method_2030_2050!$B$9:$B$34,0))),INDEX(Method_2030_2050!$E$9:$E$34,MATCH(L280,Method_2030_2050!$B$9:$B$34,0)),1),1)</f>
        <v/>
      </c>
      <c r="I280" t="inlineStr">
        <is>
          <t>CAPEX/OPEX ratio projection</t>
        </is>
      </c>
      <c r="J280" t="inlineStr"/>
      <c r="K280" t="inlineStr"/>
      <c r="L280" t="inlineStr">
        <is>
          <t>Residential PV (rooftop)</t>
        </is>
      </c>
      <c r="M280" t="inlineStr"/>
      <c r="N280" t="inlineStr">
        <is>
          <t>OPEX 2030/2024=0.8588235294117647</t>
        </is>
      </c>
      <c r="O280" t="n">
        <v>2024</v>
      </c>
      <c r="P280" t="n">
        <v>2030</v>
      </c>
      <c r="Q280">
        <f>Q279*IFERROR(IF(ISNUMBER(INDEX(Method_2030_2050!$E$9:$E$34,MATCH(L280,Method_2030_2050!$B$9:$B$34,0))),INDEX(Method_2030_2050!$E$9:$E$34,MATCH(L280,Method_2030_2050!$B$9:$B$34,0)),1),1)</f>
        <v/>
      </c>
    </row>
    <row r="281">
      <c r="A281" t="inlineStr">
        <is>
          <t>JEDI-US</t>
        </is>
      </c>
      <c r="B281" t="inlineStr">
        <is>
          <t>Rooftop solar PV</t>
        </is>
      </c>
      <c r="C281" t="inlineStr">
        <is>
          <t>O&amp;M</t>
        </is>
      </c>
      <c r="D281" t="inlineStr">
        <is>
          <t>Direct</t>
        </is>
      </c>
      <c r="E281" t="inlineStr">
        <is>
          <t>job/MW</t>
        </is>
      </c>
      <c r="F281" t="n">
        <v>2050</v>
      </c>
      <c r="G281">
        <f>G280*IFERROR(IF(ISNUMBER(INDEX(Method_2030_2050!$F$9:$F$34,MATCH(L281,Method_2030_2050!$B$9:$B$34,0))),INDEX(Method_2030_2050!$F$9:$F$34,MATCH(L281,Method_2030_2050!$B$9:$B$34,0)),1),1)</f>
        <v/>
      </c>
      <c r="H281">
        <f>H280*IFERROR(IF(ISNUMBER(INDEX(Method_2030_2050!$F$9:$F$34,MATCH(L281,Method_2030_2050!$B$9:$B$34,0))),INDEX(Method_2030_2050!$F$9:$F$34,MATCH(L281,Method_2030_2050!$B$9:$B$34,0)),1),1)</f>
        <v/>
      </c>
      <c r="I281" t="inlineStr">
        <is>
          <t>CAPEX/OPEX ratio projection</t>
        </is>
      </c>
      <c r="J281" t="inlineStr"/>
      <c r="K281" t="inlineStr"/>
      <c r="L281" t="inlineStr">
        <is>
          <t>Residential PV (rooftop)</t>
        </is>
      </c>
      <c r="M281" t="inlineStr"/>
      <c r="N281" t="inlineStr">
        <is>
          <t>OPEX 2050/2030=0.8424657534246576</t>
        </is>
      </c>
      <c r="O281" t="n">
        <v>2030</v>
      </c>
      <c r="P281" t="n">
        <v>2050</v>
      </c>
      <c r="Q281">
        <f>Q280*IFERROR(IF(ISNUMBER(INDEX(Method_2030_2050!$F$9:$F$34,MATCH(L281,Method_2030_2050!$B$9:$B$34,0))),INDEX(Method_2030_2050!$F$9:$F$34,MATCH(L281,Method_2030_2050!$B$9:$B$34,0)),1),1)</f>
        <v/>
      </c>
    </row>
    <row r="282">
      <c r="A282" t="inlineStr">
        <is>
          <t>Rutovitz 2025</t>
        </is>
      </c>
      <c r="B282" t="inlineStr">
        <is>
          <t>Rooftop solar PV</t>
        </is>
      </c>
      <c r="C282" t="inlineStr">
        <is>
          <t>O&amp;M</t>
        </is>
      </c>
      <c r="D282" t="inlineStr">
        <is>
          <t>Direct</t>
        </is>
      </c>
      <c r="E282" t="inlineStr">
        <is>
          <t>job/MW</t>
        </is>
      </c>
      <c r="F282" t="n">
        <v>2024</v>
      </c>
      <c r="G282" t="inlineStr">
        <is>
          <t>0.13</t>
        </is>
      </c>
      <c r="H282" t="n">
        <v>0.13</v>
      </c>
      <c r="I282" t="inlineStr">
        <is>
          <t>Original</t>
        </is>
      </c>
      <c r="J282" t="inlineStr"/>
      <c r="K282" t="inlineStr"/>
      <c r="L282" t="inlineStr"/>
      <c r="M282" t="inlineStr"/>
      <c r="N282" t="inlineStr"/>
      <c r="O282" t="n">
        <v>2024</v>
      </c>
      <c r="P282" t="n">
        <v>2024</v>
      </c>
      <c r="Q282" t="n">
        <v>0.13</v>
      </c>
    </row>
    <row r="283">
      <c r="A283" t="inlineStr">
        <is>
          <t>Rutovitz 2025</t>
        </is>
      </c>
      <c r="B283" t="inlineStr">
        <is>
          <t>Rooftop solar PV</t>
        </is>
      </c>
      <c r="C283" t="inlineStr">
        <is>
          <t>O&amp;M</t>
        </is>
      </c>
      <c r="D283" t="inlineStr">
        <is>
          <t>Direct</t>
        </is>
      </c>
      <c r="E283" t="inlineStr">
        <is>
          <t>job/MW</t>
        </is>
      </c>
      <c r="F283" t="n">
        <v>2030</v>
      </c>
      <c r="G283">
        <f>G282*IFERROR(IF(ISNUMBER(INDEX(Method_2030_2050!$E$9:$E$34,MATCH(L283,Method_2030_2050!$B$9:$B$34,0))),INDEX(Method_2030_2050!$E$9:$E$34,MATCH(L283,Method_2030_2050!$B$9:$B$34,0)),1),1)</f>
        <v/>
      </c>
      <c r="H283">
        <f>H282*IFERROR(IF(ISNUMBER(INDEX(Method_2030_2050!$E$9:$E$34,MATCH(L283,Method_2030_2050!$B$9:$B$34,0))),INDEX(Method_2030_2050!$E$9:$E$34,MATCH(L283,Method_2030_2050!$B$9:$B$34,0)),1),1)</f>
        <v/>
      </c>
      <c r="I283" t="inlineStr">
        <is>
          <t>CAPEX/OPEX ratio projection</t>
        </is>
      </c>
      <c r="J283" t="inlineStr"/>
      <c r="K283" t="inlineStr"/>
      <c r="L283" t="inlineStr">
        <is>
          <t>Residential PV (rooftop)</t>
        </is>
      </c>
      <c r="M283" t="inlineStr"/>
      <c r="N283" t="inlineStr">
        <is>
          <t>OPEX 2030/2024=0.8588235294117647</t>
        </is>
      </c>
      <c r="O283" t="n">
        <v>2024</v>
      </c>
      <c r="P283" t="n">
        <v>2030</v>
      </c>
      <c r="Q283">
        <f>Q282*IFERROR(IF(ISNUMBER(INDEX(Method_2030_2050!$E$9:$E$34,MATCH(L283,Method_2030_2050!$B$9:$B$34,0))),INDEX(Method_2030_2050!$E$9:$E$34,MATCH(L283,Method_2030_2050!$B$9:$B$34,0)),1),1)</f>
        <v/>
      </c>
    </row>
    <row r="284">
      <c r="A284" t="inlineStr">
        <is>
          <t>Rutovitz 2025</t>
        </is>
      </c>
      <c r="B284" t="inlineStr">
        <is>
          <t>Rooftop solar PV</t>
        </is>
      </c>
      <c r="C284" t="inlineStr">
        <is>
          <t>O&amp;M</t>
        </is>
      </c>
      <c r="D284" t="inlineStr">
        <is>
          <t>Direct</t>
        </is>
      </c>
      <c r="E284" t="inlineStr">
        <is>
          <t>job/MW</t>
        </is>
      </c>
      <c r="F284" t="n">
        <v>2050</v>
      </c>
      <c r="G284">
        <f>G283*IFERROR(IF(ISNUMBER(INDEX(Method_2030_2050!$F$9:$F$34,MATCH(L284,Method_2030_2050!$B$9:$B$34,0))),INDEX(Method_2030_2050!$F$9:$F$34,MATCH(L284,Method_2030_2050!$B$9:$B$34,0)),1),1)</f>
        <v/>
      </c>
      <c r="H284">
        <f>H283*IFERROR(IF(ISNUMBER(INDEX(Method_2030_2050!$F$9:$F$34,MATCH(L284,Method_2030_2050!$B$9:$B$34,0))),INDEX(Method_2030_2050!$F$9:$F$34,MATCH(L284,Method_2030_2050!$B$9:$B$34,0)),1),1)</f>
        <v/>
      </c>
      <c r="I284" t="inlineStr">
        <is>
          <t>CAPEX/OPEX ratio projection</t>
        </is>
      </c>
      <c r="J284" t="inlineStr"/>
      <c r="K284" t="inlineStr"/>
      <c r="L284" t="inlineStr">
        <is>
          <t>Residential PV (rooftop)</t>
        </is>
      </c>
      <c r="M284" t="inlineStr"/>
      <c r="N284" t="inlineStr">
        <is>
          <t>OPEX 2050/2030=0.8424657534246576</t>
        </is>
      </c>
      <c r="O284" t="n">
        <v>2030</v>
      </c>
      <c r="P284" t="n">
        <v>2050</v>
      </c>
      <c r="Q284">
        <f>Q283*IFERROR(IF(ISNUMBER(INDEX(Method_2030_2050!$F$9:$F$34,MATCH(L284,Method_2030_2050!$B$9:$B$34,0))),INDEX(Method_2030_2050!$F$9:$F$34,MATCH(L284,Method_2030_2050!$B$9:$B$34,0)),1),1)</f>
        <v/>
      </c>
    </row>
    <row r="285">
      <c r="A285" t="inlineStr">
        <is>
          <t>JEDI-US</t>
        </is>
      </c>
      <c r="B285" t="inlineStr">
        <is>
          <t>Rooftop solar PV</t>
        </is>
      </c>
      <c r="C285" t="inlineStr">
        <is>
          <t>O&amp;M</t>
        </is>
      </c>
      <c r="D285" t="inlineStr">
        <is>
          <t>Indirect</t>
        </is>
      </c>
      <c r="E285" t="inlineStr">
        <is>
          <t>job/MW</t>
        </is>
      </c>
      <c r="F285" t="n">
        <v>2024</v>
      </c>
      <c r="G285" t="inlineStr">
        <is>
          <t>0.105</t>
        </is>
      </c>
      <c r="H285" t="n">
        <v>0.105</v>
      </c>
      <c r="I285" t="inlineStr">
        <is>
          <t>Original</t>
        </is>
      </c>
      <c r="J285" t="inlineStr"/>
      <c r="K285" t="inlineStr"/>
      <c r="L285" t="inlineStr"/>
      <c r="M285" t="inlineStr"/>
      <c r="N285" t="inlineStr"/>
      <c r="O285" t="n">
        <v>2024</v>
      </c>
      <c r="P285" t="n">
        <v>2024</v>
      </c>
      <c r="Q285" t="n">
        <v>0.105</v>
      </c>
    </row>
    <row r="286">
      <c r="A286" t="inlineStr">
        <is>
          <t>JEDI-US</t>
        </is>
      </c>
      <c r="B286" t="inlineStr">
        <is>
          <t>Rooftop solar PV</t>
        </is>
      </c>
      <c r="C286" t="inlineStr">
        <is>
          <t>O&amp;M</t>
        </is>
      </c>
      <c r="D286" t="inlineStr">
        <is>
          <t>Indirect</t>
        </is>
      </c>
      <c r="E286" t="inlineStr">
        <is>
          <t>job/MW</t>
        </is>
      </c>
      <c r="F286" t="n">
        <v>2030</v>
      </c>
      <c r="G286">
        <f>G285*IFERROR(IF(ISNUMBER(INDEX(Method_2030_2050!$E$9:$E$34,MATCH(L286,Method_2030_2050!$B$9:$B$34,0))),INDEX(Method_2030_2050!$E$9:$E$34,MATCH(L286,Method_2030_2050!$B$9:$B$34,0)),1),1)</f>
        <v/>
      </c>
      <c r="H286">
        <f>H285*IFERROR(IF(ISNUMBER(INDEX(Method_2030_2050!$E$9:$E$34,MATCH(L286,Method_2030_2050!$B$9:$B$34,0))),INDEX(Method_2030_2050!$E$9:$E$34,MATCH(L286,Method_2030_2050!$B$9:$B$34,0)),1),1)</f>
        <v/>
      </c>
      <c r="I286" t="inlineStr">
        <is>
          <t>CAPEX/OPEX ratio projection</t>
        </is>
      </c>
      <c r="J286" t="inlineStr"/>
      <c r="K286" t="inlineStr"/>
      <c r="L286" t="inlineStr">
        <is>
          <t>Residential PV (rooftop)</t>
        </is>
      </c>
      <c r="M286" t="inlineStr"/>
      <c r="N286" t="inlineStr">
        <is>
          <t>OPEX 2030/2024=0.8588235294117647</t>
        </is>
      </c>
      <c r="O286" t="n">
        <v>2024</v>
      </c>
      <c r="P286" t="n">
        <v>2030</v>
      </c>
      <c r="Q286">
        <f>Q285*IFERROR(IF(ISNUMBER(INDEX(Method_2030_2050!$E$9:$E$34,MATCH(L286,Method_2030_2050!$B$9:$B$34,0))),INDEX(Method_2030_2050!$E$9:$E$34,MATCH(L286,Method_2030_2050!$B$9:$B$34,0)),1),1)</f>
        <v/>
      </c>
    </row>
    <row r="287">
      <c r="A287" t="inlineStr">
        <is>
          <t>JEDI-US</t>
        </is>
      </c>
      <c r="B287" t="inlineStr">
        <is>
          <t>Rooftop solar PV</t>
        </is>
      </c>
      <c r="C287" t="inlineStr">
        <is>
          <t>O&amp;M</t>
        </is>
      </c>
      <c r="D287" t="inlineStr">
        <is>
          <t>Indirect</t>
        </is>
      </c>
      <c r="E287" t="inlineStr">
        <is>
          <t>job/MW</t>
        </is>
      </c>
      <c r="F287" t="n">
        <v>2050</v>
      </c>
      <c r="G287">
        <f>G286*IFERROR(IF(ISNUMBER(INDEX(Method_2030_2050!$F$9:$F$34,MATCH(L287,Method_2030_2050!$B$9:$B$34,0))),INDEX(Method_2030_2050!$F$9:$F$34,MATCH(L287,Method_2030_2050!$B$9:$B$34,0)),1),1)</f>
        <v/>
      </c>
      <c r="H287">
        <f>H286*IFERROR(IF(ISNUMBER(INDEX(Method_2030_2050!$F$9:$F$34,MATCH(L287,Method_2030_2050!$B$9:$B$34,0))),INDEX(Method_2030_2050!$F$9:$F$34,MATCH(L287,Method_2030_2050!$B$9:$B$34,0)),1),1)</f>
        <v/>
      </c>
      <c r="I287" t="inlineStr">
        <is>
          <t>CAPEX/OPEX ratio projection</t>
        </is>
      </c>
      <c r="J287" t="inlineStr"/>
      <c r="K287" t="inlineStr"/>
      <c r="L287" t="inlineStr">
        <is>
          <t>Residential PV (rooftop)</t>
        </is>
      </c>
      <c r="M287" t="inlineStr"/>
      <c r="N287" t="inlineStr">
        <is>
          <t>OPEX 2050/2030=0.8424657534246576</t>
        </is>
      </c>
      <c r="O287" t="n">
        <v>2030</v>
      </c>
      <c r="P287" t="n">
        <v>2050</v>
      </c>
      <c r="Q287">
        <f>Q286*IFERROR(IF(ISNUMBER(INDEX(Method_2030_2050!$F$9:$F$34,MATCH(L287,Method_2030_2050!$B$9:$B$34,0))),INDEX(Method_2030_2050!$F$9:$F$34,MATCH(L287,Method_2030_2050!$B$9:$B$34,0)),1),1)</f>
        <v/>
      </c>
    </row>
    <row r="288">
      <c r="A288" t="inlineStr">
        <is>
          <t>JEDI-US</t>
        </is>
      </c>
      <c r="B288" t="inlineStr">
        <is>
          <t>Rooftop solar PV</t>
        </is>
      </c>
      <c r="C288" t="inlineStr">
        <is>
          <t>O&amp;M</t>
        </is>
      </c>
      <c r="D288" t="inlineStr">
        <is>
          <t>Induced</t>
        </is>
      </c>
      <c r="E288" t="inlineStr">
        <is>
          <t>job/MW</t>
        </is>
      </c>
      <c r="F288" t="n">
        <v>2024</v>
      </c>
      <c r="G288" t="inlineStr">
        <is>
          <t>0.101</t>
        </is>
      </c>
      <c r="H288" t="n">
        <v>0.101</v>
      </c>
      <c r="I288" t="inlineStr">
        <is>
          <t>Original</t>
        </is>
      </c>
      <c r="J288" t="inlineStr"/>
      <c r="K288" t="inlineStr"/>
      <c r="L288" t="inlineStr"/>
      <c r="M288" t="inlineStr"/>
      <c r="N288" t="inlineStr"/>
      <c r="O288" t="n">
        <v>2024</v>
      </c>
      <c r="P288" t="n">
        <v>2024</v>
      </c>
      <c r="Q288" t="n">
        <v>0.101</v>
      </c>
    </row>
    <row r="289">
      <c r="A289" t="inlineStr">
        <is>
          <t>JEDI-US</t>
        </is>
      </c>
      <c r="B289" t="inlineStr">
        <is>
          <t>Rooftop solar PV</t>
        </is>
      </c>
      <c r="C289" t="inlineStr">
        <is>
          <t>O&amp;M</t>
        </is>
      </c>
      <c r="D289" t="inlineStr">
        <is>
          <t>Induced</t>
        </is>
      </c>
      <c r="E289" t="inlineStr">
        <is>
          <t>job/MW</t>
        </is>
      </c>
      <c r="F289" t="n">
        <v>2030</v>
      </c>
      <c r="G289">
        <f>G288*IFERROR(IF(ISNUMBER(INDEX(Method_2030_2050!$E$9:$E$34,MATCH(L289,Method_2030_2050!$B$9:$B$34,0))),INDEX(Method_2030_2050!$E$9:$E$34,MATCH(L289,Method_2030_2050!$B$9:$B$34,0)),1),1)</f>
        <v/>
      </c>
      <c r="H289">
        <f>H288*IFERROR(IF(ISNUMBER(INDEX(Method_2030_2050!$E$9:$E$34,MATCH(L289,Method_2030_2050!$B$9:$B$34,0))),INDEX(Method_2030_2050!$E$9:$E$34,MATCH(L289,Method_2030_2050!$B$9:$B$34,0)),1),1)</f>
        <v/>
      </c>
      <c r="I289" t="inlineStr">
        <is>
          <t>CAPEX/OPEX ratio projection</t>
        </is>
      </c>
      <c r="J289" t="inlineStr"/>
      <c r="K289" t="inlineStr"/>
      <c r="L289" t="inlineStr">
        <is>
          <t>Residential PV (rooftop)</t>
        </is>
      </c>
      <c r="M289" t="inlineStr"/>
      <c r="N289" t="inlineStr">
        <is>
          <t>OPEX 2030/2024=0.8588235294117647</t>
        </is>
      </c>
      <c r="O289" t="n">
        <v>2024</v>
      </c>
      <c r="P289" t="n">
        <v>2030</v>
      </c>
      <c r="Q289">
        <f>Q288*IFERROR(IF(ISNUMBER(INDEX(Method_2030_2050!$E$9:$E$34,MATCH(L289,Method_2030_2050!$B$9:$B$34,0))),INDEX(Method_2030_2050!$E$9:$E$34,MATCH(L289,Method_2030_2050!$B$9:$B$34,0)),1),1)</f>
        <v/>
      </c>
    </row>
    <row r="290">
      <c r="A290" t="inlineStr">
        <is>
          <t>JEDI-US</t>
        </is>
      </c>
      <c r="B290" t="inlineStr">
        <is>
          <t>Rooftop solar PV</t>
        </is>
      </c>
      <c r="C290" t="inlineStr">
        <is>
          <t>O&amp;M</t>
        </is>
      </c>
      <c r="D290" t="inlineStr">
        <is>
          <t>Induced</t>
        </is>
      </c>
      <c r="E290" t="inlineStr">
        <is>
          <t>job/MW</t>
        </is>
      </c>
      <c r="F290" t="n">
        <v>2050</v>
      </c>
      <c r="G290">
        <f>G289*IFERROR(IF(ISNUMBER(INDEX(Method_2030_2050!$F$9:$F$34,MATCH(L290,Method_2030_2050!$B$9:$B$34,0))),INDEX(Method_2030_2050!$F$9:$F$34,MATCH(L290,Method_2030_2050!$B$9:$B$34,0)),1),1)</f>
        <v/>
      </c>
      <c r="H290">
        <f>H289*IFERROR(IF(ISNUMBER(INDEX(Method_2030_2050!$F$9:$F$34,MATCH(L290,Method_2030_2050!$B$9:$B$34,0))),INDEX(Method_2030_2050!$F$9:$F$34,MATCH(L290,Method_2030_2050!$B$9:$B$34,0)),1),1)</f>
        <v/>
      </c>
      <c r="I290" t="inlineStr">
        <is>
          <t>CAPEX/OPEX ratio projection</t>
        </is>
      </c>
      <c r="J290" t="inlineStr"/>
      <c r="K290" t="inlineStr"/>
      <c r="L290" t="inlineStr">
        <is>
          <t>Residential PV (rooftop)</t>
        </is>
      </c>
      <c r="M290" t="inlineStr"/>
      <c r="N290" t="inlineStr">
        <is>
          <t>OPEX 2050/2030=0.8424657534246576</t>
        </is>
      </c>
      <c r="O290" t="n">
        <v>2030</v>
      </c>
      <c r="P290" t="n">
        <v>2050</v>
      </c>
      <c r="Q290">
        <f>Q289*IFERROR(IF(ISNUMBER(INDEX(Method_2030_2050!$F$9:$F$34,MATCH(L290,Method_2030_2050!$B$9:$B$34,0))),INDEX(Method_2030_2050!$F$9:$F$34,MATCH(L290,Method_2030_2050!$B$9:$B$34,0)),1),1)</f>
        <v/>
      </c>
    </row>
    <row r="291">
      <c r="A291" t="inlineStr">
        <is>
          <t>Rutovitz 2015</t>
        </is>
      </c>
      <c r="B291" t="inlineStr">
        <is>
          <t>Solar thermal (CSP)</t>
        </is>
      </c>
      <c r="C291" t="inlineStr">
        <is>
          <t>Construction</t>
        </is>
      </c>
      <c r="D291" t="inlineStr">
        <is>
          <t>Direct</t>
        </is>
      </c>
      <c r="E291" t="inlineStr">
        <is>
          <t>job-yr/MW</t>
        </is>
      </c>
      <c r="F291" t="n">
        <v>2015</v>
      </c>
      <c r="G291" t="inlineStr">
        <is>
          <t>8</t>
        </is>
      </c>
      <c r="H291" t="n">
        <v>8</v>
      </c>
      <c r="I291" t="inlineStr">
        <is>
          <t>Original</t>
        </is>
      </c>
      <c r="J291" t="inlineStr"/>
      <c r="K291" t="inlineStr"/>
      <c r="L291" t="inlineStr"/>
      <c r="M291" t="inlineStr"/>
      <c r="N291" t="inlineStr"/>
      <c r="O291" t="n">
        <v>2015</v>
      </c>
      <c r="P291" t="n">
        <v>2015</v>
      </c>
      <c r="Q291" t="n">
        <v>8</v>
      </c>
    </row>
    <row r="292">
      <c r="A292" t="inlineStr">
        <is>
          <t>Rutovitz 2015</t>
        </is>
      </c>
      <c r="B292" t="inlineStr">
        <is>
          <t>Solar thermal (CSP)</t>
        </is>
      </c>
      <c r="C292" t="inlineStr">
        <is>
          <t>Construction</t>
        </is>
      </c>
      <c r="D292" t="inlineStr">
        <is>
          <t>Direct</t>
        </is>
      </c>
      <c r="E292" t="inlineStr">
        <is>
          <t>job-yr/MW</t>
        </is>
      </c>
      <c r="F292" t="n">
        <v>2030</v>
      </c>
      <c r="G292">
        <f>G291*K292</f>
        <v/>
      </c>
      <c r="H292">
        <f>H291*K292</f>
        <v/>
      </c>
      <c r="I292" t="inlineStr">
        <is>
          <t>Rutovitz Table 9 decline to 2030</t>
        </is>
      </c>
      <c r="J292" t="inlineStr">
        <is>
          <t>Solar thermal power</t>
        </is>
      </c>
      <c r="K292">
        <f>INDEX(Mappings_Rutovitz!$D$2:$D$14,MATCH(J292,Mappings_Rutovitz!$B$2:$B$14,0))</f>
        <v/>
      </c>
      <c r="L292" t="inlineStr"/>
      <c r="M292" t="inlineStr"/>
      <c r="N292" t="inlineStr">
        <is>
          <t>Rutovitz Table 9 Latin America 2030</t>
        </is>
      </c>
      <c r="O292" t="n">
        <v>2015</v>
      </c>
      <c r="P292" t="n">
        <v>2030</v>
      </c>
      <c r="Q292">
        <f>Q291*K292</f>
        <v/>
      </c>
    </row>
    <row r="293">
      <c r="A293" t="inlineStr">
        <is>
          <t>Rutovitz 2015</t>
        </is>
      </c>
      <c r="B293" t="inlineStr">
        <is>
          <t>Solar thermal (CSP)</t>
        </is>
      </c>
      <c r="C293" t="inlineStr">
        <is>
          <t>Construction</t>
        </is>
      </c>
      <c r="D293" t="inlineStr">
        <is>
          <t>Direct</t>
        </is>
      </c>
      <c r="E293" t="inlineStr">
        <is>
          <t>job-yr/MW</t>
        </is>
      </c>
      <c r="F293" t="n">
        <v>2050</v>
      </c>
      <c r="G293">
        <f>G292*1</f>
        <v/>
      </c>
      <c r="H293">
        <f>H292*1</f>
        <v/>
      </c>
      <c r="I293" t="inlineStr">
        <is>
          <t>Constant projection for unmapped catalogue ratio</t>
        </is>
      </c>
      <c r="J293" t="inlineStr">
        <is>
          <t>Solar thermal power</t>
        </is>
      </c>
      <c r="K293" t="inlineStr"/>
      <c r="L293" t="inlineStr"/>
      <c r="M293" t="inlineStr"/>
      <c r="N293" t="inlineStr">
        <is>
          <t>No catalogue ratio mapping; value held constant</t>
        </is>
      </c>
      <c r="O293" t="n">
        <v>2030</v>
      </c>
      <c r="P293" t="n">
        <v>2050</v>
      </c>
      <c r="Q293">
        <f>Q292*1</f>
        <v/>
      </c>
    </row>
    <row r="294">
      <c r="A294" t="inlineStr">
        <is>
          <t>Rutovitz 2015</t>
        </is>
      </c>
      <c r="B294" t="inlineStr">
        <is>
          <t>Solar thermal (CSP)</t>
        </is>
      </c>
      <c r="C294" t="inlineStr">
        <is>
          <t>Manufacturing</t>
        </is>
      </c>
      <c r="D294" t="inlineStr">
        <is>
          <t>Direct</t>
        </is>
      </c>
      <c r="E294" t="inlineStr">
        <is>
          <t>job-yr/MW</t>
        </is>
      </c>
      <c r="F294" t="n">
        <v>2015</v>
      </c>
      <c r="G294" t="inlineStr">
        <is>
          <t>4</t>
        </is>
      </c>
      <c r="H294" t="n">
        <v>4</v>
      </c>
      <c r="I294" t="inlineStr">
        <is>
          <t>Original</t>
        </is>
      </c>
      <c r="J294" t="inlineStr"/>
      <c r="K294" t="inlineStr"/>
      <c r="L294" t="inlineStr"/>
      <c r="M294" t="inlineStr"/>
      <c r="N294" t="inlineStr"/>
      <c r="O294" t="n">
        <v>2015</v>
      </c>
      <c r="P294" t="n">
        <v>2015</v>
      </c>
      <c r="Q294" t="n">
        <v>4</v>
      </c>
    </row>
    <row r="295">
      <c r="A295" t="inlineStr">
        <is>
          <t>Rutovitz 2015</t>
        </is>
      </c>
      <c r="B295" t="inlineStr">
        <is>
          <t>Solar thermal (CSP)</t>
        </is>
      </c>
      <c r="C295" t="inlineStr">
        <is>
          <t>Manufacturing</t>
        </is>
      </c>
      <c r="D295" t="inlineStr">
        <is>
          <t>Direct</t>
        </is>
      </c>
      <c r="E295" t="inlineStr">
        <is>
          <t>job-yr/MW</t>
        </is>
      </c>
      <c r="F295" t="n">
        <v>2030</v>
      </c>
      <c r="G295">
        <f>G294*K295</f>
        <v/>
      </c>
      <c r="H295">
        <f>H294*K295</f>
        <v/>
      </c>
      <c r="I295" t="inlineStr">
        <is>
          <t>Rutovitz Table 9 decline to 2030</t>
        </is>
      </c>
      <c r="J295" t="inlineStr">
        <is>
          <t>Solar thermal power</t>
        </is>
      </c>
      <c r="K295">
        <f>INDEX(Mappings_Rutovitz!$D$2:$D$14,MATCH(J295,Mappings_Rutovitz!$B$2:$B$14,0))</f>
        <v/>
      </c>
      <c r="L295" t="inlineStr"/>
      <c r="M295" t="inlineStr"/>
      <c r="N295" t="inlineStr">
        <is>
          <t>Rutovitz Table 9 Latin America 2030</t>
        </is>
      </c>
      <c r="O295" t="n">
        <v>2015</v>
      </c>
      <c r="P295" t="n">
        <v>2030</v>
      </c>
      <c r="Q295">
        <f>Q294*K295</f>
        <v/>
      </c>
    </row>
    <row r="296">
      <c r="A296" t="inlineStr">
        <is>
          <t>Rutovitz 2015</t>
        </is>
      </c>
      <c r="B296" t="inlineStr">
        <is>
          <t>Solar thermal (CSP)</t>
        </is>
      </c>
      <c r="C296" t="inlineStr">
        <is>
          <t>Manufacturing</t>
        </is>
      </c>
      <c r="D296" t="inlineStr">
        <is>
          <t>Direct</t>
        </is>
      </c>
      <c r="E296" t="inlineStr">
        <is>
          <t>job-yr/MW</t>
        </is>
      </c>
      <c r="F296" t="n">
        <v>2050</v>
      </c>
      <c r="G296">
        <f>G295*1</f>
        <v/>
      </c>
      <c r="H296">
        <f>H295*1</f>
        <v/>
      </c>
      <c r="I296" t="inlineStr">
        <is>
          <t>Constant projection for unmapped catalogue ratio</t>
        </is>
      </c>
      <c r="J296" t="inlineStr">
        <is>
          <t>Solar thermal power</t>
        </is>
      </c>
      <c r="K296" t="inlineStr"/>
      <c r="L296" t="inlineStr"/>
      <c r="M296" t="inlineStr"/>
      <c r="N296" t="inlineStr">
        <is>
          <t>No catalogue ratio mapping; value held constant</t>
        </is>
      </c>
      <c r="O296" t="n">
        <v>2030</v>
      </c>
      <c r="P296" t="n">
        <v>2050</v>
      </c>
      <c r="Q296">
        <f>Q295*1</f>
        <v/>
      </c>
    </row>
    <row r="297">
      <c r="A297" t="inlineStr">
        <is>
          <t>Rutovitz 2015</t>
        </is>
      </c>
      <c r="B297" t="inlineStr">
        <is>
          <t>Solar thermal (CSP)</t>
        </is>
      </c>
      <c r="C297" t="inlineStr">
        <is>
          <t>O&amp;M</t>
        </is>
      </c>
      <c r="D297" t="inlineStr">
        <is>
          <t>Direct</t>
        </is>
      </c>
      <c r="E297" t="inlineStr">
        <is>
          <t>job/MW</t>
        </is>
      </c>
      <c r="F297" t="n">
        <v>2015</v>
      </c>
      <c r="G297" t="inlineStr">
        <is>
          <t>0.6</t>
        </is>
      </c>
      <c r="H297" t="n">
        <v>0.6</v>
      </c>
      <c r="I297" t="inlineStr">
        <is>
          <t>Original</t>
        </is>
      </c>
      <c r="J297" t="inlineStr"/>
      <c r="K297" t="inlineStr"/>
      <c r="L297" t="inlineStr"/>
      <c r="M297" t="inlineStr"/>
      <c r="N297" t="inlineStr"/>
      <c r="O297" t="n">
        <v>2015</v>
      </c>
      <c r="P297" t="n">
        <v>2015</v>
      </c>
      <c r="Q297" t="n">
        <v>0.6</v>
      </c>
    </row>
    <row r="298">
      <c r="A298" t="inlineStr">
        <is>
          <t>Rutovitz 2015</t>
        </is>
      </c>
      <c r="B298" t="inlineStr">
        <is>
          <t>Solar thermal (CSP)</t>
        </is>
      </c>
      <c r="C298" t="inlineStr">
        <is>
          <t>O&amp;M</t>
        </is>
      </c>
      <c r="D298" t="inlineStr">
        <is>
          <t>Direct</t>
        </is>
      </c>
      <c r="E298" t="inlineStr">
        <is>
          <t>job/MW</t>
        </is>
      </c>
      <c r="F298" t="n">
        <v>2030</v>
      </c>
      <c r="G298">
        <f>G297*K298</f>
        <v/>
      </c>
      <c r="H298">
        <f>H297*K298</f>
        <v/>
      </c>
      <c r="I298" t="inlineStr">
        <is>
          <t>Rutovitz Table 9 decline to 2030</t>
        </is>
      </c>
      <c r="J298" t="inlineStr">
        <is>
          <t>Solar thermal power</t>
        </is>
      </c>
      <c r="K298">
        <f>INDEX(Mappings_Rutovitz!$D$2:$D$14,MATCH(J298,Mappings_Rutovitz!$B$2:$B$14,0))</f>
        <v/>
      </c>
      <c r="L298" t="inlineStr"/>
      <c r="M298" t="inlineStr"/>
      <c r="N298" t="inlineStr">
        <is>
          <t>Rutovitz Table 9 Latin America 2030</t>
        </is>
      </c>
      <c r="O298" t="n">
        <v>2015</v>
      </c>
      <c r="P298" t="n">
        <v>2030</v>
      </c>
      <c r="Q298">
        <f>Q297*K298</f>
        <v/>
      </c>
    </row>
    <row r="299">
      <c r="A299" t="inlineStr">
        <is>
          <t>Rutovitz 2015</t>
        </is>
      </c>
      <c r="B299" t="inlineStr">
        <is>
          <t>Solar thermal (CSP)</t>
        </is>
      </c>
      <c r="C299" t="inlineStr">
        <is>
          <t>O&amp;M</t>
        </is>
      </c>
      <c r="D299" t="inlineStr">
        <is>
          <t>Direct</t>
        </is>
      </c>
      <c r="E299" t="inlineStr">
        <is>
          <t>job/MW</t>
        </is>
      </c>
      <c r="F299" t="n">
        <v>2050</v>
      </c>
      <c r="G299">
        <f>G298*1</f>
        <v/>
      </c>
      <c r="H299">
        <f>H298*1</f>
        <v/>
      </c>
      <c r="I299" t="inlineStr">
        <is>
          <t>Constant projection for unmapped catalogue ratio</t>
        </is>
      </c>
      <c r="J299" t="inlineStr">
        <is>
          <t>Solar thermal power</t>
        </is>
      </c>
      <c r="K299" t="inlineStr"/>
      <c r="L299" t="inlineStr"/>
      <c r="M299" t="inlineStr"/>
      <c r="N299" t="inlineStr">
        <is>
          <t>No catalogue ratio mapping; value held constant</t>
        </is>
      </c>
      <c r="O299" t="n">
        <v>2030</v>
      </c>
      <c r="P299" t="n">
        <v>2050</v>
      </c>
      <c r="Q299">
        <f>Q298*1</f>
        <v/>
      </c>
    </row>
    <row r="300">
      <c r="A300" t="inlineStr">
        <is>
          <t>Rutovitz 2025</t>
        </is>
      </c>
      <c r="B300" t="inlineStr">
        <is>
          <t>Transmission (double circuit)</t>
        </is>
      </c>
      <c r="C300" t="inlineStr">
        <is>
          <t>Construction</t>
        </is>
      </c>
      <c r="D300" t="inlineStr">
        <is>
          <t>Direct</t>
        </is>
      </c>
      <c r="E300" t="inlineStr">
        <is>
          <t>job-yr/km</t>
        </is>
      </c>
      <c r="F300" t="n">
        <v>2024</v>
      </c>
      <c r="G300" t="inlineStr">
        <is>
          <t>3.7</t>
        </is>
      </c>
      <c r="H300" t="n">
        <v>3.7</v>
      </c>
      <c r="I300" t="inlineStr">
        <is>
          <t>Original</t>
        </is>
      </c>
      <c r="J300" t="inlineStr"/>
      <c r="K300" t="inlineStr"/>
      <c r="L300" t="inlineStr"/>
      <c r="M300" t="inlineStr"/>
      <c r="N300" t="inlineStr"/>
      <c r="O300" t="n">
        <v>2024</v>
      </c>
      <c r="P300" t="n">
        <v>2024</v>
      </c>
      <c r="Q300" t="n">
        <v>3.7</v>
      </c>
    </row>
    <row r="301">
      <c r="A301" t="inlineStr">
        <is>
          <t>Rutovitz 2025</t>
        </is>
      </c>
      <c r="B301" t="inlineStr">
        <is>
          <t>Transmission (double circuit)</t>
        </is>
      </c>
      <c r="C301" t="inlineStr">
        <is>
          <t>Construction</t>
        </is>
      </c>
      <c r="D301" t="inlineStr">
        <is>
          <t>Direct</t>
        </is>
      </c>
      <c r="E301" t="inlineStr">
        <is>
          <t>job-yr/km</t>
        </is>
      </c>
      <c r="F301" t="n">
        <v>2030</v>
      </c>
      <c r="G301">
        <f>G300*1</f>
        <v/>
      </c>
      <c r="H301">
        <f>H300*1</f>
        <v/>
      </c>
      <c r="I301" t="inlineStr">
        <is>
          <t>Constant projection for unmapped catalogue ratio</t>
        </is>
      </c>
      <c r="J301" t="inlineStr"/>
      <c r="K301" t="inlineStr"/>
      <c r="L301" t="inlineStr"/>
      <c r="M301" t="inlineStr"/>
      <c r="N301" t="inlineStr">
        <is>
          <t>No catalogue ratio mapping; value held constant</t>
        </is>
      </c>
      <c r="O301" t="n">
        <v>2024</v>
      </c>
      <c r="P301" t="n">
        <v>2030</v>
      </c>
      <c r="Q301">
        <f>Q300*1</f>
        <v/>
      </c>
    </row>
    <row r="302">
      <c r="A302" t="inlineStr">
        <is>
          <t>Rutovitz 2025</t>
        </is>
      </c>
      <c r="B302" t="inlineStr">
        <is>
          <t>Transmission (double circuit)</t>
        </is>
      </c>
      <c r="C302" t="inlineStr">
        <is>
          <t>Construction</t>
        </is>
      </c>
      <c r="D302" t="inlineStr">
        <is>
          <t>Direct</t>
        </is>
      </c>
      <c r="E302" t="inlineStr">
        <is>
          <t>job-yr/km</t>
        </is>
      </c>
      <c r="F302" t="n">
        <v>2050</v>
      </c>
      <c r="G302">
        <f>G301*1</f>
        <v/>
      </c>
      <c r="H302">
        <f>H301*1</f>
        <v/>
      </c>
      <c r="I302" t="inlineStr">
        <is>
          <t>Constant projection for unmapped catalogue ratio</t>
        </is>
      </c>
      <c r="J302" t="inlineStr"/>
      <c r="K302" t="inlineStr"/>
      <c r="L302" t="inlineStr"/>
      <c r="M302" t="inlineStr"/>
      <c r="N302" t="inlineStr">
        <is>
          <t>No catalogue ratio mapping; value held constant</t>
        </is>
      </c>
      <c r="O302" t="n">
        <v>2030</v>
      </c>
      <c r="P302" t="n">
        <v>2050</v>
      </c>
      <c r="Q302">
        <f>Q301*1</f>
        <v/>
      </c>
    </row>
    <row r="303">
      <c r="A303" t="inlineStr">
        <is>
          <t>Rutovitz 2025</t>
        </is>
      </c>
      <c r="B303" t="inlineStr">
        <is>
          <t>Transmission (other)</t>
        </is>
      </c>
      <c r="C303" t="inlineStr">
        <is>
          <t>Construction</t>
        </is>
      </c>
      <c r="D303" t="inlineStr">
        <is>
          <t>Direct</t>
        </is>
      </c>
      <c r="E303" t="inlineStr">
        <is>
          <t>job-yr/MUSD</t>
        </is>
      </c>
      <c r="F303" t="n">
        <v>2024</v>
      </c>
      <c r="G303" t="inlineStr">
        <is>
          <t>1.9</t>
        </is>
      </c>
      <c r="H303" t="n">
        <v>1.9</v>
      </c>
      <c r="I303" t="inlineStr">
        <is>
          <t>Original</t>
        </is>
      </c>
      <c r="J303" t="inlineStr"/>
      <c r="K303" t="inlineStr"/>
      <c r="L303" t="inlineStr"/>
      <c r="M303" t="inlineStr"/>
      <c r="N303" t="inlineStr"/>
      <c r="O303" t="n">
        <v>2024</v>
      </c>
      <c r="P303" t="n">
        <v>2024</v>
      </c>
      <c r="Q303" t="n">
        <v>1.9</v>
      </c>
    </row>
    <row r="304">
      <c r="A304" t="inlineStr">
        <is>
          <t>Rutovitz 2025</t>
        </is>
      </c>
      <c r="B304" t="inlineStr">
        <is>
          <t>Transmission (other)</t>
        </is>
      </c>
      <c r="C304" t="inlineStr">
        <is>
          <t>Construction</t>
        </is>
      </c>
      <c r="D304" t="inlineStr">
        <is>
          <t>Direct</t>
        </is>
      </c>
      <c r="E304" t="inlineStr">
        <is>
          <t>job-yr/MUSD</t>
        </is>
      </c>
      <c r="F304" t="n">
        <v>2030</v>
      </c>
      <c r="G304">
        <f>G303*1</f>
        <v/>
      </c>
      <c r="H304">
        <f>H303*1</f>
        <v/>
      </c>
      <c r="I304" t="inlineStr">
        <is>
          <t>Constant projection for unmapped catalogue ratio</t>
        </is>
      </c>
      <c r="J304" t="inlineStr"/>
      <c r="K304" t="inlineStr"/>
      <c r="L304" t="inlineStr"/>
      <c r="M304" t="inlineStr"/>
      <c r="N304" t="inlineStr">
        <is>
          <t>No catalogue ratio mapping; value held constant</t>
        </is>
      </c>
      <c r="O304" t="n">
        <v>2024</v>
      </c>
      <c r="P304" t="n">
        <v>2030</v>
      </c>
      <c r="Q304">
        <f>Q303*1</f>
        <v/>
      </c>
    </row>
    <row r="305">
      <c r="A305" t="inlineStr">
        <is>
          <t>Rutovitz 2025</t>
        </is>
      </c>
      <c r="B305" t="inlineStr">
        <is>
          <t>Transmission (other)</t>
        </is>
      </c>
      <c r="C305" t="inlineStr">
        <is>
          <t>Construction</t>
        </is>
      </c>
      <c r="D305" t="inlineStr">
        <is>
          <t>Direct</t>
        </is>
      </c>
      <c r="E305" t="inlineStr">
        <is>
          <t>job-yr/MUSD</t>
        </is>
      </c>
      <c r="F305" t="n">
        <v>2050</v>
      </c>
      <c r="G305">
        <f>G304*1</f>
        <v/>
      </c>
      <c r="H305">
        <f>H304*1</f>
        <v/>
      </c>
      <c r="I305" t="inlineStr">
        <is>
          <t>Constant projection for unmapped catalogue ratio</t>
        </is>
      </c>
      <c r="J305" t="inlineStr"/>
      <c r="K305" t="inlineStr"/>
      <c r="L305" t="inlineStr"/>
      <c r="M305" t="inlineStr"/>
      <c r="N305" t="inlineStr">
        <is>
          <t>No catalogue ratio mapping; value held constant</t>
        </is>
      </c>
      <c r="O305" t="n">
        <v>2030</v>
      </c>
      <c r="P305" t="n">
        <v>2050</v>
      </c>
      <c r="Q305">
        <f>Q304*1</f>
        <v/>
      </c>
    </row>
    <row r="306">
      <c r="A306" t="inlineStr">
        <is>
          <t>Rutovitz 2025</t>
        </is>
      </c>
      <c r="B306" t="inlineStr">
        <is>
          <t>Transmission (single circuit)</t>
        </is>
      </c>
      <c r="C306" t="inlineStr">
        <is>
          <t>Construction</t>
        </is>
      </c>
      <c r="D306" t="inlineStr">
        <is>
          <t>Direct</t>
        </is>
      </c>
      <c r="E306" t="inlineStr">
        <is>
          <t>job-yr/km</t>
        </is>
      </c>
      <c r="F306" t="n">
        <v>2024</v>
      </c>
      <c r="G306" t="inlineStr">
        <is>
          <t>0.7</t>
        </is>
      </c>
      <c r="H306" t="n">
        <v>0.7</v>
      </c>
      <c r="I306" t="inlineStr">
        <is>
          <t>Original</t>
        </is>
      </c>
      <c r="J306" t="inlineStr"/>
      <c r="K306" t="inlineStr"/>
      <c r="L306" t="inlineStr"/>
      <c r="M306" t="inlineStr"/>
      <c r="N306" t="inlineStr"/>
      <c r="O306" t="n">
        <v>2024</v>
      </c>
      <c r="P306" t="n">
        <v>2024</v>
      </c>
      <c r="Q306" t="n">
        <v>0.7</v>
      </c>
    </row>
    <row r="307">
      <c r="A307" t="inlineStr">
        <is>
          <t>Rutovitz 2025</t>
        </is>
      </c>
      <c r="B307" t="inlineStr">
        <is>
          <t>Transmission (single circuit)</t>
        </is>
      </c>
      <c r="C307" t="inlineStr">
        <is>
          <t>Construction</t>
        </is>
      </c>
      <c r="D307" t="inlineStr">
        <is>
          <t>Direct</t>
        </is>
      </c>
      <c r="E307" t="inlineStr">
        <is>
          <t>job-yr/km</t>
        </is>
      </c>
      <c r="F307" t="n">
        <v>2030</v>
      </c>
      <c r="G307">
        <f>G306*1</f>
        <v/>
      </c>
      <c r="H307">
        <f>H306*1</f>
        <v/>
      </c>
      <c r="I307" t="inlineStr">
        <is>
          <t>Constant projection for unmapped catalogue ratio</t>
        </is>
      </c>
      <c r="J307" t="inlineStr"/>
      <c r="K307" t="inlineStr"/>
      <c r="L307" t="inlineStr"/>
      <c r="M307" t="inlineStr"/>
      <c r="N307" t="inlineStr">
        <is>
          <t>No catalogue ratio mapping; value held constant</t>
        </is>
      </c>
      <c r="O307" t="n">
        <v>2024</v>
      </c>
      <c r="P307" t="n">
        <v>2030</v>
      </c>
      <c r="Q307">
        <f>Q306*1</f>
        <v/>
      </c>
    </row>
    <row r="308">
      <c r="A308" t="inlineStr">
        <is>
          <t>Rutovitz 2025</t>
        </is>
      </c>
      <c r="B308" t="inlineStr">
        <is>
          <t>Transmission (single circuit)</t>
        </is>
      </c>
      <c r="C308" t="inlineStr">
        <is>
          <t>Construction</t>
        </is>
      </c>
      <c r="D308" t="inlineStr">
        <is>
          <t>Direct</t>
        </is>
      </c>
      <c r="E308" t="inlineStr">
        <is>
          <t>job-yr/km</t>
        </is>
      </c>
      <c r="F308" t="n">
        <v>2050</v>
      </c>
      <c r="G308">
        <f>G307*1</f>
        <v/>
      </c>
      <c r="H308">
        <f>H307*1</f>
        <v/>
      </c>
      <c r="I308" t="inlineStr">
        <is>
          <t>Constant projection for unmapped catalogue ratio</t>
        </is>
      </c>
      <c r="J308" t="inlineStr"/>
      <c r="K308" t="inlineStr"/>
      <c r="L308" t="inlineStr"/>
      <c r="M308" t="inlineStr"/>
      <c r="N308" t="inlineStr">
        <is>
          <t>No catalogue ratio mapping; value held constant</t>
        </is>
      </c>
      <c r="O308" t="n">
        <v>2030</v>
      </c>
      <c r="P308" t="n">
        <v>2050</v>
      </c>
      <c r="Q308">
        <f>Q307*1</f>
        <v/>
      </c>
    </row>
    <row r="309">
      <c r="A309" t="inlineStr">
        <is>
          <t>JEDI-US</t>
        </is>
      </c>
      <c r="B309" t="inlineStr">
        <is>
          <t>Transmission (single circuit)</t>
        </is>
      </c>
      <c r="C309" t="inlineStr">
        <is>
          <t>Construction&amp;Manufacturing</t>
        </is>
      </c>
      <c r="D309" t="inlineStr">
        <is>
          <t>Direct</t>
        </is>
      </c>
      <c r="E309" t="inlineStr">
        <is>
          <t>job-yr/mile</t>
        </is>
      </c>
      <c r="F309" t="n">
        <v>2024</v>
      </c>
      <c r="G309" t="inlineStr">
        <is>
          <t>0.12</t>
        </is>
      </c>
      <c r="H309" t="n">
        <v>0.12</v>
      </c>
      <c r="I309" t="inlineStr">
        <is>
          <t>Original</t>
        </is>
      </c>
      <c r="J309" t="inlineStr"/>
      <c r="K309" t="inlineStr"/>
      <c r="L309" t="inlineStr"/>
      <c r="M309" t="inlineStr"/>
      <c r="N309" t="inlineStr"/>
      <c r="O309" t="n">
        <v>2024</v>
      </c>
      <c r="P309" t="n">
        <v>2024</v>
      </c>
      <c r="Q309" t="n">
        <v>0.12</v>
      </c>
    </row>
    <row r="310">
      <c r="A310" t="inlineStr">
        <is>
          <t>JEDI-US</t>
        </is>
      </c>
      <c r="B310" t="inlineStr">
        <is>
          <t>Transmission (single circuit)</t>
        </is>
      </c>
      <c r="C310" t="inlineStr">
        <is>
          <t>Construction&amp;Manufacturing</t>
        </is>
      </c>
      <c r="D310" t="inlineStr">
        <is>
          <t>Direct</t>
        </is>
      </c>
      <c r="E310" t="inlineStr">
        <is>
          <t>job-yr/mile</t>
        </is>
      </c>
      <c r="F310" t="n">
        <v>2030</v>
      </c>
      <c r="G310">
        <f>G309*1</f>
        <v/>
      </c>
      <c r="H310">
        <f>H309*1</f>
        <v/>
      </c>
      <c r="I310" t="inlineStr">
        <is>
          <t>Constant projection for unmapped catalogue ratio</t>
        </is>
      </c>
      <c r="J310" t="inlineStr"/>
      <c r="K310" t="inlineStr"/>
      <c r="L310" t="inlineStr"/>
      <c r="M310" t="inlineStr"/>
      <c r="N310" t="inlineStr">
        <is>
          <t>No catalogue ratio mapping; value held constant</t>
        </is>
      </c>
      <c r="O310" t="n">
        <v>2024</v>
      </c>
      <c r="P310" t="n">
        <v>2030</v>
      </c>
      <c r="Q310">
        <f>Q309*1</f>
        <v/>
      </c>
    </row>
    <row r="311">
      <c r="A311" t="inlineStr">
        <is>
          <t>JEDI-US</t>
        </is>
      </c>
      <c r="B311" t="inlineStr">
        <is>
          <t>Transmission (single circuit)</t>
        </is>
      </c>
      <c r="C311" t="inlineStr">
        <is>
          <t>Construction&amp;Manufacturing</t>
        </is>
      </c>
      <c r="D311" t="inlineStr">
        <is>
          <t>Direct</t>
        </is>
      </c>
      <c r="E311" t="inlineStr">
        <is>
          <t>job-yr/mile</t>
        </is>
      </c>
      <c r="F311" t="n">
        <v>2050</v>
      </c>
      <c r="G311">
        <f>G310*1</f>
        <v/>
      </c>
      <c r="H311">
        <f>H310*1</f>
        <v/>
      </c>
      <c r="I311" t="inlineStr">
        <is>
          <t>Constant projection for unmapped catalogue ratio</t>
        </is>
      </c>
      <c r="J311" t="inlineStr"/>
      <c r="K311" t="inlineStr"/>
      <c r="L311" t="inlineStr"/>
      <c r="M311" t="inlineStr"/>
      <c r="N311" t="inlineStr">
        <is>
          <t>No catalogue ratio mapping; value held constant</t>
        </is>
      </c>
      <c r="O311" t="n">
        <v>2030</v>
      </c>
      <c r="P311" t="n">
        <v>2050</v>
      </c>
      <c r="Q311">
        <f>Q310*1</f>
        <v/>
      </c>
    </row>
    <row r="312">
      <c r="A312" t="inlineStr">
        <is>
          <t>JEDI-US</t>
        </is>
      </c>
      <c r="B312" t="inlineStr">
        <is>
          <t>Transmission (single circuit)</t>
        </is>
      </c>
      <c r="C312" t="inlineStr">
        <is>
          <t>Construction&amp;Manufacturing</t>
        </is>
      </c>
      <c r="D312" t="inlineStr">
        <is>
          <t>Indirect</t>
        </is>
      </c>
      <c r="E312" t="inlineStr">
        <is>
          <t>job-yr/mile</t>
        </is>
      </c>
      <c r="F312" t="n">
        <v>2024</v>
      </c>
      <c r="G312" t="inlineStr">
        <is>
          <t>0.3</t>
        </is>
      </c>
      <c r="H312" t="n">
        <v>0.3</v>
      </c>
      <c r="I312" t="inlineStr">
        <is>
          <t>Original</t>
        </is>
      </c>
      <c r="J312" t="inlineStr"/>
      <c r="K312" t="inlineStr"/>
      <c r="L312" t="inlineStr"/>
      <c r="M312" t="inlineStr"/>
      <c r="N312" t="inlineStr"/>
      <c r="O312" t="n">
        <v>2024</v>
      </c>
      <c r="P312" t="n">
        <v>2024</v>
      </c>
      <c r="Q312" t="n">
        <v>0.3</v>
      </c>
    </row>
    <row r="313">
      <c r="A313" t="inlineStr">
        <is>
          <t>JEDI-US</t>
        </is>
      </c>
      <c r="B313" t="inlineStr">
        <is>
          <t>Transmission (single circuit)</t>
        </is>
      </c>
      <c r="C313" t="inlineStr">
        <is>
          <t>Construction&amp;Manufacturing</t>
        </is>
      </c>
      <c r="D313" t="inlineStr">
        <is>
          <t>Indirect</t>
        </is>
      </c>
      <c r="E313" t="inlineStr">
        <is>
          <t>job-yr/mile</t>
        </is>
      </c>
      <c r="F313" t="n">
        <v>2030</v>
      </c>
      <c r="G313">
        <f>G312*1</f>
        <v/>
      </c>
      <c r="H313">
        <f>H312*1</f>
        <v/>
      </c>
      <c r="I313" t="inlineStr">
        <is>
          <t>Constant projection for unmapped catalogue ratio</t>
        </is>
      </c>
      <c r="J313" t="inlineStr"/>
      <c r="K313" t="inlineStr"/>
      <c r="L313" t="inlineStr"/>
      <c r="M313" t="inlineStr"/>
      <c r="N313" t="inlineStr">
        <is>
          <t>No catalogue ratio mapping; value held constant</t>
        </is>
      </c>
      <c r="O313" t="n">
        <v>2024</v>
      </c>
      <c r="P313" t="n">
        <v>2030</v>
      </c>
      <c r="Q313">
        <f>Q312*1</f>
        <v/>
      </c>
    </row>
    <row r="314">
      <c r="A314" t="inlineStr">
        <is>
          <t>JEDI-US</t>
        </is>
      </c>
      <c r="B314" t="inlineStr">
        <is>
          <t>Transmission (single circuit)</t>
        </is>
      </c>
      <c r="C314" t="inlineStr">
        <is>
          <t>Construction&amp;Manufacturing</t>
        </is>
      </c>
      <c r="D314" t="inlineStr">
        <is>
          <t>Indirect</t>
        </is>
      </c>
      <c r="E314" t="inlineStr">
        <is>
          <t>job-yr/mile</t>
        </is>
      </c>
      <c r="F314" t="n">
        <v>2050</v>
      </c>
      <c r="G314">
        <f>G313*1</f>
        <v/>
      </c>
      <c r="H314">
        <f>H313*1</f>
        <v/>
      </c>
      <c r="I314" t="inlineStr">
        <is>
          <t>Constant projection for unmapped catalogue ratio</t>
        </is>
      </c>
      <c r="J314" t="inlineStr"/>
      <c r="K314" t="inlineStr"/>
      <c r="L314" t="inlineStr"/>
      <c r="M314" t="inlineStr"/>
      <c r="N314" t="inlineStr">
        <is>
          <t>No catalogue ratio mapping; value held constant</t>
        </is>
      </c>
      <c r="O314" t="n">
        <v>2030</v>
      </c>
      <c r="P314" t="n">
        <v>2050</v>
      </c>
      <c r="Q314">
        <f>Q313*1</f>
        <v/>
      </c>
    </row>
    <row r="315">
      <c r="A315" t="inlineStr">
        <is>
          <t>JEDI-US</t>
        </is>
      </c>
      <c r="B315" t="inlineStr">
        <is>
          <t>Transmission (single circuit)</t>
        </is>
      </c>
      <c r="C315" t="inlineStr">
        <is>
          <t>Construction&amp;Manufacturing</t>
        </is>
      </c>
      <c r="D315" t="inlineStr">
        <is>
          <t>Induced</t>
        </is>
      </c>
      <c r="E315" t="inlineStr">
        <is>
          <t>job-yr/mile</t>
        </is>
      </c>
      <c r="F315" t="n">
        <v>2024</v>
      </c>
      <c r="G315" t="inlineStr">
        <is>
          <t>0.24</t>
        </is>
      </c>
      <c r="H315" t="n">
        <v>0.24</v>
      </c>
      <c r="I315" t="inlineStr">
        <is>
          <t>Original</t>
        </is>
      </c>
      <c r="J315" t="inlineStr"/>
      <c r="K315" t="inlineStr"/>
      <c r="L315" t="inlineStr"/>
      <c r="M315" t="inlineStr"/>
      <c r="N315" t="inlineStr"/>
      <c r="O315" t="n">
        <v>2024</v>
      </c>
      <c r="P315" t="n">
        <v>2024</v>
      </c>
      <c r="Q315" t="n">
        <v>0.24</v>
      </c>
    </row>
    <row r="316">
      <c r="A316" t="inlineStr">
        <is>
          <t>JEDI-US</t>
        </is>
      </c>
      <c r="B316" t="inlineStr">
        <is>
          <t>Transmission (single circuit)</t>
        </is>
      </c>
      <c r="C316" t="inlineStr">
        <is>
          <t>Construction&amp;Manufacturing</t>
        </is>
      </c>
      <c r="D316" t="inlineStr">
        <is>
          <t>Induced</t>
        </is>
      </c>
      <c r="E316" t="inlineStr">
        <is>
          <t>job-yr/mile</t>
        </is>
      </c>
      <c r="F316" t="n">
        <v>2030</v>
      </c>
      <c r="G316">
        <f>G315*1</f>
        <v/>
      </c>
      <c r="H316">
        <f>H315*1</f>
        <v/>
      </c>
      <c r="I316" t="inlineStr">
        <is>
          <t>Constant projection for unmapped catalogue ratio</t>
        </is>
      </c>
      <c r="J316" t="inlineStr"/>
      <c r="K316" t="inlineStr"/>
      <c r="L316" t="inlineStr"/>
      <c r="M316" t="inlineStr"/>
      <c r="N316" t="inlineStr">
        <is>
          <t>No catalogue ratio mapping; value held constant</t>
        </is>
      </c>
      <c r="O316" t="n">
        <v>2024</v>
      </c>
      <c r="P316" t="n">
        <v>2030</v>
      </c>
      <c r="Q316">
        <f>Q315*1</f>
        <v/>
      </c>
    </row>
    <row r="317">
      <c r="A317" t="inlineStr">
        <is>
          <t>JEDI-US</t>
        </is>
      </c>
      <c r="B317" t="inlineStr">
        <is>
          <t>Transmission (single circuit)</t>
        </is>
      </c>
      <c r="C317" t="inlineStr">
        <is>
          <t>Construction&amp;Manufacturing</t>
        </is>
      </c>
      <c r="D317" t="inlineStr">
        <is>
          <t>Induced</t>
        </is>
      </c>
      <c r="E317" t="inlineStr">
        <is>
          <t>job-yr/mile</t>
        </is>
      </c>
      <c r="F317" t="n">
        <v>2050</v>
      </c>
      <c r="G317">
        <f>G316*1</f>
        <v/>
      </c>
      <c r="H317">
        <f>H316*1</f>
        <v/>
      </c>
      <c r="I317" t="inlineStr">
        <is>
          <t>Constant projection for unmapped catalogue ratio</t>
        </is>
      </c>
      <c r="J317" t="inlineStr"/>
      <c r="K317" t="inlineStr"/>
      <c r="L317" t="inlineStr"/>
      <c r="M317" t="inlineStr"/>
      <c r="N317" t="inlineStr">
        <is>
          <t>No catalogue ratio mapping; value held constant</t>
        </is>
      </c>
      <c r="O317" t="n">
        <v>2030</v>
      </c>
      <c r="P317" t="n">
        <v>2050</v>
      </c>
      <c r="Q317">
        <f>Q316*1</f>
        <v/>
      </c>
    </row>
    <row r="318">
      <c r="A318" t="inlineStr">
        <is>
          <t>JEDI-US</t>
        </is>
      </c>
      <c r="B318" t="inlineStr">
        <is>
          <t>Transmission (single circuit)</t>
        </is>
      </c>
      <c r="C318" t="inlineStr">
        <is>
          <t>O&amp;M</t>
        </is>
      </c>
      <c r="D318" t="inlineStr">
        <is>
          <t>Direct</t>
        </is>
      </c>
      <c r="E318" t="inlineStr">
        <is>
          <t>job/mile</t>
        </is>
      </c>
      <c r="F318" t="n">
        <v>2024</v>
      </c>
      <c r="G318" t="inlineStr">
        <is>
          <t>0</t>
        </is>
      </c>
      <c r="H318" t="n">
        <v>0</v>
      </c>
      <c r="I318" t="inlineStr">
        <is>
          <t>Original</t>
        </is>
      </c>
      <c r="J318" t="inlineStr"/>
      <c r="K318" t="inlineStr"/>
      <c r="L318" t="inlineStr"/>
      <c r="M318" t="inlineStr"/>
      <c r="N318" t="inlineStr"/>
      <c r="O318" t="n">
        <v>2024</v>
      </c>
      <c r="P318" t="n">
        <v>2024</v>
      </c>
      <c r="Q318" t="n">
        <v>0</v>
      </c>
    </row>
    <row r="319">
      <c r="A319" t="inlineStr">
        <is>
          <t>JEDI-US</t>
        </is>
      </c>
      <c r="B319" t="inlineStr">
        <is>
          <t>Transmission (single circuit)</t>
        </is>
      </c>
      <c r="C319" t="inlineStr">
        <is>
          <t>O&amp;M</t>
        </is>
      </c>
      <c r="D319" t="inlineStr">
        <is>
          <t>Direct</t>
        </is>
      </c>
      <c r="E319" t="inlineStr">
        <is>
          <t>job/mile</t>
        </is>
      </c>
      <c r="F319" t="n">
        <v>2030</v>
      </c>
      <c r="G319">
        <f>G318*1</f>
        <v/>
      </c>
      <c r="H319">
        <f>H318*1</f>
        <v/>
      </c>
      <c r="I319" t="inlineStr">
        <is>
          <t>Constant projection for unmapped catalogue ratio</t>
        </is>
      </c>
      <c r="J319" t="inlineStr"/>
      <c r="K319" t="inlineStr"/>
      <c r="L319" t="inlineStr"/>
      <c r="M319" t="inlineStr"/>
      <c r="N319" t="inlineStr">
        <is>
          <t>No catalogue ratio mapping; value held constant</t>
        </is>
      </c>
      <c r="O319" t="n">
        <v>2024</v>
      </c>
      <c r="P319" t="n">
        <v>2030</v>
      </c>
      <c r="Q319">
        <f>Q318*1</f>
        <v/>
      </c>
    </row>
    <row r="320">
      <c r="A320" t="inlineStr">
        <is>
          <t>JEDI-US</t>
        </is>
      </c>
      <c r="B320" t="inlineStr">
        <is>
          <t>Transmission (single circuit)</t>
        </is>
      </c>
      <c r="C320" t="inlineStr">
        <is>
          <t>O&amp;M</t>
        </is>
      </c>
      <c r="D320" t="inlineStr">
        <is>
          <t>Direct</t>
        </is>
      </c>
      <c r="E320" t="inlineStr">
        <is>
          <t>job/mile</t>
        </is>
      </c>
      <c r="F320" t="n">
        <v>2050</v>
      </c>
      <c r="G320">
        <f>G319*1</f>
        <v/>
      </c>
      <c r="H320">
        <f>H319*1</f>
        <v/>
      </c>
      <c r="I320" t="inlineStr">
        <is>
          <t>Constant projection for unmapped catalogue ratio</t>
        </is>
      </c>
      <c r="J320" t="inlineStr"/>
      <c r="K320" t="inlineStr"/>
      <c r="L320" t="inlineStr"/>
      <c r="M320" t="inlineStr"/>
      <c r="N320" t="inlineStr">
        <is>
          <t>No catalogue ratio mapping; value held constant</t>
        </is>
      </c>
      <c r="O320" t="n">
        <v>2030</v>
      </c>
      <c r="P320" t="n">
        <v>2050</v>
      </c>
      <c r="Q320">
        <f>Q319*1</f>
        <v/>
      </c>
    </row>
    <row r="321">
      <c r="A321" t="inlineStr">
        <is>
          <t>JEDI-US</t>
        </is>
      </c>
      <c r="B321" t="inlineStr">
        <is>
          <t>Transmission (single circuit)</t>
        </is>
      </c>
      <c r="C321" t="inlineStr">
        <is>
          <t>O&amp;M</t>
        </is>
      </c>
      <c r="D321" t="inlineStr">
        <is>
          <t>Indirect</t>
        </is>
      </c>
      <c r="E321" t="inlineStr">
        <is>
          <t>job/mile</t>
        </is>
      </c>
      <c r="F321" t="n">
        <v>2024</v>
      </c>
      <c r="G321" t="inlineStr">
        <is>
          <t>0.026</t>
        </is>
      </c>
      <c r="H321" t="n">
        <v>0.026</v>
      </c>
      <c r="I321" t="inlineStr">
        <is>
          <t>Original</t>
        </is>
      </c>
      <c r="J321" t="inlineStr"/>
      <c r="K321" t="inlineStr"/>
      <c r="L321" t="inlineStr"/>
      <c r="M321" t="inlineStr"/>
      <c r="N321" t="inlineStr"/>
      <c r="O321" t="n">
        <v>2024</v>
      </c>
      <c r="P321" t="n">
        <v>2024</v>
      </c>
      <c r="Q321" t="n">
        <v>0.026</v>
      </c>
    </row>
    <row r="322">
      <c r="A322" t="inlineStr">
        <is>
          <t>JEDI-US</t>
        </is>
      </c>
      <c r="B322" t="inlineStr">
        <is>
          <t>Transmission (single circuit)</t>
        </is>
      </c>
      <c r="C322" t="inlineStr">
        <is>
          <t>O&amp;M</t>
        </is>
      </c>
      <c r="D322" t="inlineStr">
        <is>
          <t>Indirect</t>
        </is>
      </c>
      <c r="E322" t="inlineStr">
        <is>
          <t>job/mile</t>
        </is>
      </c>
      <c r="F322" t="n">
        <v>2030</v>
      </c>
      <c r="G322">
        <f>G321*1</f>
        <v/>
      </c>
      <c r="H322">
        <f>H321*1</f>
        <v/>
      </c>
      <c r="I322" t="inlineStr">
        <is>
          <t>Constant projection for unmapped catalogue ratio</t>
        </is>
      </c>
      <c r="J322" t="inlineStr"/>
      <c r="K322" t="inlineStr"/>
      <c r="L322" t="inlineStr"/>
      <c r="M322" t="inlineStr"/>
      <c r="N322" t="inlineStr">
        <is>
          <t>No catalogue ratio mapping; value held constant</t>
        </is>
      </c>
      <c r="O322" t="n">
        <v>2024</v>
      </c>
      <c r="P322" t="n">
        <v>2030</v>
      </c>
      <c r="Q322">
        <f>Q321*1</f>
        <v/>
      </c>
    </row>
    <row r="323">
      <c r="A323" t="inlineStr">
        <is>
          <t>JEDI-US</t>
        </is>
      </c>
      <c r="B323" t="inlineStr">
        <is>
          <t>Transmission (single circuit)</t>
        </is>
      </c>
      <c r="C323" t="inlineStr">
        <is>
          <t>O&amp;M</t>
        </is>
      </c>
      <c r="D323" t="inlineStr">
        <is>
          <t>Indirect</t>
        </is>
      </c>
      <c r="E323" t="inlineStr">
        <is>
          <t>job/mile</t>
        </is>
      </c>
      <c r="F323" t="n">
        <v>2050</v>
      </c>
      <c r="G323">
        <f>G322*1</f>
        <v/>
      </c>
      <c r="H323">
        <f>H322*1</f>
        <v/>
      </c>
      <c r="I323" t="inlineStr">
        <is>
          <t>Constant projection for unmapped catalogue ratio</t>
        </is>
      </c>
      <c r="J323" t="inlineStr"/>
      <c r="K323" t="inlineStr"/>
      <c r="L323" t="inlineStr"/>
      <c r="M323" t="inlineStr"/>
      <c r="N323" t="inlineStr">
        <is>
          <t>No catalogue ratio mapping; value held constant</t>
        </is>
      </c>
      <c r="O323" t="n">
        <v>2030</v>
      </c>
      <c r="P323" t="n">
        <v>2050</v>
      </c>
      <c r="Q323">
        <f>Q322*1</f>
        <v/>
      </c>
    </row>
    <row r="324">
      <c r="A324" t="inlineStr">
        <is>
          <t>JEDI-US</t>
        </is>
      </c>
      <c r="B324" t="inlineStr">
        <is>
          <t>Transmission (single circuit)</t>
        </is>
      </c>
      <c r="C324" t="inlineStr">
        <is>
          <t>O&amp;M</t>
        </is>
      </c>
      <c r="D324" t="inlineStr">
        <is>
          <t>Induced</t>
        </is>
      </c>
      <c r="E324" t="inlineStr">
        <is>
          <t>job/mile</t>
        </is>
      </c>
      <c r="F324" t="n">
        <v>2024</v>
      </c>
      <c r="G324" t="inlineStr">
        <is>
          <t>0.013</t>
        </is>
      </c>
      <c r="H324" t="n">
        <v>0.013</v>
      </c>
      <c r="I324" t="inlineStr">
        <is>
          <t>Original</t>
        </is>
      </c>
      <c r="J324" t="inlineStr"/>
      <c r="K324" t="inlineStr"/>
      <c r="L324" t="inlineStr"/>
      <c r="M324" t="inlineStr"/>
      <c r="N324" t="inlineStr"/>
      <c r="O324" t="n">
        <v>2024</v>
      </c>
      <c r="P324" t="n">
        <v>2024</v>
      </c>
      <c r="Q324" t="n">
        <v>0.013</v>
      </c>
    </row>
    <row r="325">
      <c r="A325" t="inlineStr">
        <is>
          <t>JEDI-US</t>
        </is>
      </c>
      <c r="B325" t="inlineStr">
        <is>
          <t>Transmission (single circuit)</t>
        </is>
      </c>
      <c r="C325" t="inlineStr">
        <is>
          <t>O&amp;M</t>
        </is>
      </c>
      <c r="D325" t="inlineStr">
        <is>
          <t>Induced</t>
        </is>
      </c>
      <c r="E325" t="inlineStr">
        <is>
          <t>job/mile</t>
        </is>
      </c>
      <c r="F325" t="n">
        <v>2030</v>
      </c>
      <c r="G325">
        <f>G324*1</f>
        <v/>
      </c>
      <c r="H325">
        <f>H324*1</f>
        <v/>
      </c>
      <c r="I325" t="inlineStr">
        <is>
          <t>Constant projection for unmapped catalogue ratio</t>
        </is>
      </c>
      <c r="J325" t="inlineStr"/>
      <c r="K325" t="inlineStr"/>
      <c r="L325" t="inlineStr"/>
      <c r="M325" t="inlineStr"/>
      <c r="N325" t="inlineStr">
        <is>
          <t>No catalogue ratio mapping; value held constant</t>
        </is>
      </c>
      <c r="O325" t="n">
        <v>2024</v>
      </c>
      <c r="P325" t="n">
        <v>2030</v>
      </c>
      <c r="Q325">
        <f>Q324*1</f>
        <v/>
      </c>
    </row>
    <row r="326">
      <c r="A326" t="inlineStr">
        <is>
          <t>JEDI-US</t>
        </is>
      </c>
      <c r="B326" t="inlineStr">
        <is>
          <t>Transmission (single circuit)</t>
        </is>
      </c>
      <c r="C326" t="inlineStr">
        <is>
          <t>O&amp;M</t>
        </is>
      </c>
      <c r="D326" t="inlineStr">
        <is>
          <t>Induced</t>
        </is>
      </c>
      <c r="E326" t="inlineStr">
        <is>
          <t>job/mile</t>
        </is>
      </c>
      <c r="F326" t="n">
        <v>2050</v>
      </c>
      <c r="G326">
        <f>G325*1</f>
        <v/>
      </c>
      <c r="H326">
        <f>H325*1</f>
        <v/>
      </c>
      <c r="I326" t="inlineStr">
        <is>
          <t>Constant projection for unmapped catalogue ratio</t>
        </is>
      </c>
      <c r="J326" t="inlineStr"/>
      <c r="K326" t="inlineStr"/>
      <c r="L326" t="inlineStr"/>
      <c r="M326" t="inlineStr"/>
      <c r="N326" t="inlineStr">
        <is>
          <t>No catalogue ratio mapping; value held constant</t>
        </is>
      </c>
      <c r="O326" t="n">
        <v>2030</v>
      </c>
      <c r="P326" t="n">
        <v>2050</v>
      </c>
      <c r="Q326">
        <f>Q325*1</f>
        <v/>
      </c>
    </row>
    <row r="327">
      <c r="A327" t="inlineStr">
        <is>
          <t>Rutovitz 2015</t>
        </is>
      </c>
      <c r="B327" t="inlineStr">
        <is>
          <t>Utility-scale solar PV</t>
        </is>
      </c>
      <c r="C327" t="inlineStr">
        <is>
          <t>Construction</t>
        </is>
      </c>
      <c r="D327" t="inlineStr">
        <is>
          <t>Direct</t>
        </is>
      </c>
      <c r="E327" t="inlineStr">
        <is>
          <t>job-yr/MW</t>
        </is>
      </c>
      <c r="F327" t="n">
        <v>2015</v>
      </c>
      <c r="G327" t="inlineStr">
        <is>
          <t>13</t>
        </is>
      </c>
      <c r="H327" t="n">
        <v>13</v>
      </c>
      <c r="I327" t="inlineStr">
        <is>
          <t>Original</t>
        </is>
      </c>
      <c r="J327" t="inlineStr"/>
      <c r="K327" t="inlineStr"/>
      <c r="L327" t="inlineStr"/>
      <c r="M327" t="inlineStr"/>
      <c r="N327" t="inlineStr"/>
      <c r="O327" t="n">
        <v>2015</v>
      </c>
      <c r="P327" t="n">
        <v>2015</v>
      </c>
      <c r="Q327" t="n">
        <v>13</v>
      </c>
    </row>
    <row r="328">
      <c r="A328" t="inlineStr">
        <is>
          <t>Rutovitz 2015</t>
        </is>
      </c>
      <c r="B328" t="inlineStr">
        <is>
          <t>Utility-scale solar PV</t>
        </is>
      </c>
      <c r="C328" t="inlineStr">
        <is>
          <t>Construction</t>
        </is>
      </c>
      <c r="D328" t="inlineStr">
        <is>
          <t>Direct</t>
        </is>
      </c>
      <c r="E328" t="inlineStr">
        <is>
          <t>job-yr/MW</t>
        </is>
      </c>
      <c r="F328" t="n">
        <v>2030</v>
      </c>
      <c r="G328">
        <f>G327*K328</f>
        <v/>
      </c>
      <c r="H328">
        <f>H327*K328</f>
        <v/>
      </c>
      <c r="I328" t="inlineStr">
        <is>
          <t>Rutovitz Table 9 decline to 2030</t>
        </is>
      </c>
      <c r="J328" t="inlineStr">
        <is>
          <t>PV</t>
        </is>
      </c>
      <c r="K328">
        <f>INDEX(Mappings_Rutovitz!$D$2:$D$14,MATCH(J328,Mappings_Rutovitz!$B$2:$B$14,0))</f>
        <v/>
      </c>
      <c r="L328" t="inlineStr"/>
      <c r="M328" t="inlineStr"/>
      <c r="N328" t="inlineStr">
        <is>
          <t>Rutovitz Table 9 Latin America 2030</t>
        </is>
      </c>
      <c r="O328" t="n">
        <v>2015</v>
      </c>
      <c r="P328" t="n">
        <v>2030</v>
      </c>
      <c r="Q328">
        <f>Q327*K328</f>
        <v/>
      </c>
    </row>
    <row r="329">
      <c r="A329" t="inlineStr">
        <is>
          <t>Rutovitz 2015</t>
        </is>
      </c>
      <c r="B329" t="inlineStr">
        <is>
          <t>Utility-scale solar PV</t>
        </is>
      </c>
      <c r="C329" t="inlineStr">
        <is>
          <t>Construction</t>
        </is>
      </c>
      <c r="D329" t="inlineStr">
        <is>
          <t>Direct</t>
        </is>
      </c>
      <c r="E329" t="inlineStr">
        <is>
          <t>job-yr/MW</t>
        </is>
      </c>
      <c r="F329" t="n">
        <v>2050</v>
      </c>
      <c r="G329">
        <f>G328*IFERROR(IF(ISNUMBER(INDEX(Method_2030_2050!$D$9:$D$34,MATCH(L329,Method_2030_2050!$B$9:$B$34,0))),INDEX(Method_2030_2050!$D$9:$D$34,MATCH(L329,Method_2030_2050!$B$9:$B$34,0)),1),1)</f>
        <v/>
      </c>
      <c r="H329">
        <f>H328*IFERROR(IF(ISNUMBER(INDEX(Method_2030_2050!$D$9:$D$34,MATCH(L329,Method_2030_2050!$B$9:$B$34,0))),INDEX(Method_2030_2050!$D$9:$D$34,MATCH(L329,Method_2030_2050!$B$9:$B$34,0)),1),1)</f>
        <v/>
      </c>
      <c r="I329" t="inlineStr">
        <is>
          <t>CAPEX/OPEX ratio projection</t>
        </is>
      </c>
      <c r="J329" t="inlineStr">
        <is>
          <t>PV</t>
        </is>
      </c>
      <c r="K329" t="inlineStr"/>
      <c r="L329" t="inlineStr">
        <is>
          <t>Utility scale PV(tracking)</t>
        </is>
      </c>
      <c r="M329" t="inlineStr"/>
      <c r="N329" t="inlineStr">
        <is>
          <t>CAPEX 2050/2030=0.6719044761324922</t>
        </is>
      </c>
      <c r="O329" t="n">
        <v>2030</v>
      </c>
      <c r="P329" t="n">
        <v>2050</v>
      </c>
      <c r="Q329">
        <f>Q328*IFERROR(IF(ISNUMBER(INDEX(Method_2030_2050!$D$9:$D$34,MATCH(L329,Method_2030_2050!$B$9:$B$34,0))),INDEX(Method_2030_2050!$D$9:$D$34,MATCH(L329,Method_2030_2050!$B$9:$B$34,0)),1),1)</f>
        <v/>
      </c>
    </row>
    <row r="330">
      <c r="A330" t="inlineStr">
        <is>
          <t>Rutovitz 2025</t>
        </is>
      </c>
      <c r="B330" t="inlineStr">
        <is>
          <t>Utility-scale solar PV</t>
        </is>
      </c>
      <c r="C330" t="inlineStr">
        <is>
          <t>Construction</t>
        </is>
      </c>
      <c r="D330" t="inlineStr">
        <is>
          <t>Direct</t>
        </is>
      </c>
      <c r="E330" t="inlineStr">
        <is>
          <t>job-yr/MW</t>
        </is>
      </c>
      <c r="F330" t="n">
        <v>2024</v>
      </c>
      <c r="G330" t="inlineStr">
        <is>
          <t>1.61</t>
        </is>
      </c>
      <c r="H330" t="n">
        <v>1.61</v>
      </c>
      <c r="I330" t="inlineStr">
        <is>
          <t>Original</t>
        </is>
      </c>
      <c r="J330" t="inlineStr"/>
      <c r="K330" t="inlineStr"/>
      <c r="L330" t="inlineStr"/>
      <c r="M330" t="inlineStr"/>
      <c r="N330" t="inlineStr"/>
      <c r="O330" t="n">
        <v>2024</v>
      </c>
      <c r="P330" t="n">
        <v>2024</v>
      </c>
      <c r="Q330" t="n">
        <v>1.61</v>
      </c>
    </row>
    <row r="331">
      <c r="A331" t="inlineStr">
        <is>
          <t>Rutovitz 2025</t>
        </is>
      </c>
      <c r="B331" t="inlineStr">
        <is>
          <t>Utility-scale solar PV</t>
        </is>
      </c>
      <c r="C331" t="inlineStr">
        <is>
          <t>Construction</t>
        </is>
      </c>
      <c r="D331" t="inlineStr">
        <is>
          <t>Direct</t>
        </is>
      </c>
      <c r="E331" t="inlineStr">
        <is>
          <t>job-yr/MW</t>
        </is>
      </c>
      <c r="F331" t="n">
        <v>2030</v>
      </c>
      <c r="G331">
        <f>G330*IFERROR(IF(ISNUMBER(INDEX(Method_2030_2050!$C$9:$C$34,MATCH(L331,Method_2030_2050!$B$9:$B$34,0))),INDEX(Method_2030_2050!$C$9:$C$34,MATCH(L331,Method_2030_2050!$B$9:$B$34,0)),1),1)</f>
        <v/>
      </c>
      <c r="H331">
        <f>H330*IFERROR(IF(ISNUMBER(INDEX(Method_2030_2050!$C$9:$C$34,MATCH(L331,Method_2030_2050!$B$9:$B$34,0))),INDEX(Method_2030_2050!$C$9:$C$34,MATCH(L331,Method_2030_2050!$B$9:$B$34,0)),1),1)</f>
        <v/>
      </c>
      <c r="I331" t="inlineStr">
        <is>
          <t>CAPEX/OPEX ratio projection</t>
        </is>
      </c>
      <c r="J331" t="inlineStr"/>
      <c r="K331" t="inlineStr"/>
      <c r="L331" t="inlineStr">
        <is>
          <t>Utility scale PV(tracking)</t>
        </is>
      </c>
      <c r="M331" t="inlineStr"/>
      <c r="N331" t="inlineStr">
        <is>
          <t>CAPEX 2030/2024=0.6901613393937807</t>
        </is>
      </c>
      <c r="O331" t="n">
        <v>2024</v>
      </c>
      <c r="P331" t="n">
        <v>2030</v>
      </c>
      <c r="Q331">
        <f>Q330*IFERROR(IF(ISNUMBER(INDEX(Method_2030_2050!$C$9:$C$34,MATCH(L331,Method_2030_2050!$B$9:$B$34,0))),INDEX(Method_2030_2050!$C$9:$C$34,MATCH(L331,Method_2030_2050!$B$9:$B$34,0)),1),1)</f>
        <v/>
      </c>
    </row>
    <row r="332">
      <c r="A332" t="inlineStr">
        <is>
          <t>Rutovitz 2025</t>
        </is>
      </c>
      <c r="B332" t="inlineStr">
        <is>
          <t>Utility-scale solar PV</t>
        </is>
      </c>
      <c r="C332" t="inlineStr">
        <is>
          <t>Construction</t>
        </is>
      </c>
      <c r="D332" t="inlineStr">
        <is>
          <t>Direct</t>
        </is>
      </c>
      <c r="E332" t="inlineStr">
        <is>
          <t>job-yr/MW</t>
        </is>
      </c>
      <c r="F332" t="n">
        <v>2050</v>
      </c>
      <c r="G332">
        <f>G331*IFERROR(IF(ISNUMBER(INDEX(Method_2030_2050!$D$9:$D$34,MATCH(L332,Method_2030_2050!$B$9:$B$34,0))),INDEX(Method_2030_2050!$D$9:$D$34,MATCH(L332,Method_2030_2050!$B$9:$B$34,0)),1),1)</f>
        <v/>
      </c>
      <c r="H332">
        <f>H331*IFERROR(IF(ISNUMBER(INDEX(Method_2030_2050!$D$9:$D$34,MATCH(L332,Method_2030_2050!$B$9:$B$34,0))),INDEX(Method_2030_2050!$D$9:$D$34,MATCH(L332,Method_2030_2050!$B$9:$B$34,0)),1),1)</f>
        <v/>
      </c>
      <c r="I332" t="inlineStr">
        <is>
          <t>CAPEX/OPEX ratio projection</t>
        </is>
      </c>
      <c r="J332" t="inlineStr"/>
      <c r="K332" t="inlineStr"/>
      <c r="L332" t="inlineStr">
        <is>
          <t>Utility scale PV(tracking)</t>
        </is>
      </c>
      <c r="M332" t="inlineStr"/>
      <c r="N332" t="inlineStr">
        <is>
          <t>CAPEX 2050/2030=0.6719044761324922</t>
        </is>
      </c>
      <c r="O332" t="n">
        <v>2030</v>
      </c>
      <c r="P332" t="n">
        <v>2050</v>
      </c>
      <c r="Q332">
        <f>Q331*IFERROR(IF(ISNUMBER(INDEX(Method_2030_2050!$D$9:$D$34,MATCH(L332,Method_2030_2050!$B$9:$B$34,0))),INDEX(Method_2030_2050!$D$9:$D$34,MATCH(L332,Method_2030_2050!$B$9:$B$34,0)),1),1)</f>
        <v/>
      </c>
    </row>
    <row r="333">
      <c r="A333" t="inlineStr">
        <is>
          <t>I-JEDI</t>
        </is>
      </c>
      <c r="B333" t="inlineStr">
        <is>
          <t>Utility-scale solar PV</t>
        </is>
      </c>
      <c r="C333" t="inlineStr">
        <is>
          <t>Construction&amp;Manufacturing</t>
        </is>
      </c>
      <c r="D333" t="inlineStr">
        <is>
          <t>Direct</t>
        </is>
      </c>
      <c r="E333" t="inlineStr">
        <is>
          <t>job-yr/MW</t>
        </is>
      </c>
      <c r="F333" t="n">
        <v>2024</v>
      </c>
      <c r="G333" t="inlineStr">
        <is>
          <t>9.97</t>
        </is>
      </c>
      <c r="H333" t="n">
        <v>9.970000000000001</v>
      </c>
      <c r="I333" t="inlineStr">
        <is>
          <t>Original</t>
        </is>
      </c>
      <c r="J333" t="inlineStr"/>
      <c r="K333" t="inlineStr"/>
      <c r="L333" t="inlineStr"/>
      <c r="M333" t="inlineStr"/>
      <c r="N333" t="inlineStr"/>
      <c r="O333" t="n">
        <v>2024</v>
      </c>
      <c r="P333" t="n">
        <v>2024</v>
      </c>
      <c r="Q333" t="n">
        <v>9.970000000000001</v>
      </c>
    </row>
    <row r="334">
      <c r="A334" t="inlineStr">
        <is>
          <t>I-JEDI</t>
        </is>
      </c>
      <c r="B334" t="inlineStr">
        <is>
          <t>Utility-scale solar PV</t>
        </is>
      </c>
      <c r="C334" t="inlineStr">
        <is>
          <t>Construction&amp;Manufacturing</t>
        </is>
      </c>
      <c r="D334" t="inlineStr">
        <is>
          <t>Direct</t>
        </is>
      </c>
      <c r="E334" t="inlineStr">
        <is>
          <t>job-yr/MW</t>
        </is>
      </c>
      <c r="F334" t="n">
        <v>2030</v>
      </c>
      <c r="G334">
        <f>G333*IFERROR(IF(ISNUMBER(INDEX(Method_2030_2050!$C$9:$C$34,MATCH(L334,Method_2030_2050!$B$9:$B$34,0))),INDEX(Method_2030_2050!$C$9:$C$34,MATCH(L334,Method_2030_2050!$B$9:$B$34,0)),1),1)</f>
        <v/>
      </c>
      <c r="H334">
        <f>H333*IFERROR(IF(ISNUMBER(INDEX(Method_2030_2050!$C$9:$C$34,MATCH(L334,Method_2030_2050!$B$9:$B$34,0))),INDEX(Method_2030_2050!$C$9:$C$34,MATCH(L334,Method_2030_2050!$B$9:$B$34,0)),1),1)</f>
        <v/>
      </c>
      <c r="I334" t="inlineStr">
        <is>
          <t>CAPEX/OPEX ratio projection</t>
        </is>
      </c>
      <c r="J334" t="inlineStr"/>
      <c r="K334" t="inlineStr"/>
      <c r="L334" t="inlineStr">
        <is>
          <t>Utility scale PV(tracking)</t>
        </is>
      </c>
      <c r="M334" t="inlineStr"/>
      <c r="N334" t="inlineStr">
        <is>
          <t>CAPEX 2030/2024=0.6901613393937807</t>
        </is>
      </c>
      <c r="O334" t="n">
        <v>2024</v>
      </c>
      <c r="P334" t="n">
        <v>2030</v>
      </c>
      <c r="Q334">
        <f>Q333*IFERROR(IF(ISNUMBER(INDEX(Method_2030_2050!$C$9:$C$34,MATCH(L334,Method_2030_2050!$B$9:$B$34,0))),INDEX(Method_2030_2050!$C$9:$C$34,MATCH(L334,Method_2030_2050!$B$9:$B$34,0)),1),1)</f>
        <v/>
      </c>
    </row>
    <row r="335">
      <c r="A335" t="inlineStr">
        <is>
          <t>I-JEDI</t>
        </is>
      </c>
      <c r="B335" t="inlineStr">
        <is>
          <t>Utility-scale solar PV</t>
        </is>
      </c>
      <c r="C335" t="inlineStr">
        <is>
          <t>Construction&amp;Manufacturing</t>
        </is>
      </c>
      <c r="D335" t="inlineStr">
        <is>
          <t>Direct</t>
        </is>
      </c>
      <c r="E335" t="inlineStr">
        <is>
          <t>job-yr/MW</t>
        </is>
      </c>
      <c r="F335" t="n">
        <v>2050</v>
      </c>
      <c r="G335">
        <f>G334*IFERROR(IF(ISNUMBER(INDEX(Method_2030_2050!$D$9:$D$34,MATCH(L335,Method_2030_2050!$B$9:$B$34,0))),INDEX(Method_2030_2050!$D$9:$D$34,MATCH(L335,Method_2030_2050!$B$9:$B$34,0)),1),1)</f>
        <v/>
      </c>
      <c r="H335">
        <f>H334*IFERROR(IF(ISNUMBER(INDEX(Method_2030_2050!$D$9:$D$34,MATCH(L335,Method_2030_2050!$B$9:$B$34,0))),INDEX(Method_2030_2050!$D$9:$D$34,MATCH(L335,Method_2030_2050!$B$9:$B$34,0)),1),1)</f>
        <v/>
      </c>
      <c r="I335" t="inlineStr">
        <is>
          <t>CAPEX/OPEX ratio projection</t>
        </is>
      </c>
      <c r="J335" t="inlineStr"/>
      <c r="K335" t="inlineStr"/>
      <c r="L335" t="inlineStr">
        <is>
          <t>Utility scale PV(tracking)</t>
        </is>
      </c>
      <c r="M335" t="inlineStr"/>
      <c r="N335" t="inlineStr">
        <is>
          <t>CAPEX 2050/2030=0.6719044761324922</t>
        </is>
      </c>
      <c r="O335" t="n">
        <v>2030</v>
      </c>
      <c r="P335" t="n">
        <v>2050</v>
      </c>
      <c r="Q335">
        <f>Q334*IFERROR(IF(ISNUMBER(INDEX(Method_2030_2050!$D$9:$D$34,MATCH(L335,Method_2030_2050!$B$9:$B$34,0))),INDEX(Method_2030_2050!$D$9:$D$34,MATCH(L335,Method_2030_2050!$B$9:$B$34,0)),1),1)</f>
        <v/>
      </c>
    </row>
    <row r="336">
      <c r="A336" t="inlineStr">
        <is>
          <t>I-JEDI</t>
        </is>
      </c>
      <c r="B336" t="inlineStr">
        <is>
          <t>Utility-scale solar PV</t>
        </is>
      </c>
      <c r="C336" t="inlineStr">
        <is>
          <t>Construction&amp;Manufacturing</t>
        </is>
      </c>
      <c r="D336" t="inlineStr">
        <is>
          <t>Indirect</t>
        </is>
      </c>
      <c r="E336" t="inlineStr">
        <is>
          <t>job-yr/MW</t>
        </is>
      </c>
      <c r="F336" t="n">
        <v>2024</v>
      </c>
      <c r="G336" t="inlineStr">
        <is>
          <t>6.364</t>
        </is>
      </c>
      <c r="H336" t="n">
        <v>6.364</v>
      </c>
      <c r="I336" t="inlineStr">
        <is>
          <t>Original</t>
        </is>
      </c>
      <c r="J336" t="inlineStr"/>
      <c r="K336" t="inlineStr"/>
      <c r="L336" t="inlineStr"/>
      <c r="M336" t="inlineStr"/>
      <c r="N336" t="inlineStr"/>
      <c r="O336" t="n">
        <v>2024</v>
      </c>
      <c r="P336" t="n">
        <v>2024</v>
      </c>
      <c r="Q336" t="n">
        <v>6.364</v>
      </c>
    </row>
    <row r="337">
      <c r="A337" t="inlineStr">
        <is>
          <t>I-JEDI</t>
        </is>
      </c>
      <c r="B337" t="inlineStr">
        <is>
          <t>Utility-scale solar PV</t>
        </is>
      </c>
      <c r="C337" t="inlineStr">
        <is>
          <t>Construction&amp;Manufacturing</t>
        </is>
      </c>
      <c r="D337" t="inlineStr">
        <is>
          <t>Indirect</t>
        </is>
      </c>
      <c r="E337" t="inlineStr">
        <is>
          <t>job-yr/MW</t>
        </is>
      </c>
      <c r="F337" t="n">
        <v>2030</v>
      </c>
      <c r="G337">
        <f>G336*IFERROR(IF(ISNUMBER(INDEX(Method_2030_2050!$C$9:$C$34,MATCH(L337,Method_2030_2050!$B$9:$B$34,0))),INDEX(Method_2030_2050!$C$9:$C$34,MATCH(L337,Method_2030_2050!$B$9:$B$34,0)),1),1)</f>
        <v/>
      </c>
      <c r="H337">
        <f>H336*IFERROR(IF(ISNUMBER(INDEX(Method_2030_2050!$C$9:$C$34,MATCH(L337,Method_2030_2050!$B$9:$B$34,0))),INDEX(Method_2030_2050!$C$9:$C$34,MATCH(L337,Method_2030_2050!$B$9:$B$34,0)),1),1)</f>
        <v/>
      </c>
      <c r="I337" t="inlineStr">
        <is>
          <t>CAPEX/OPEX ratio projection</t>
        </is>
      </c>
      <c r="J337" t="inlineStr"/>
      <c r="K337" t="inlineStr"/>
      <c r="L337" t="inlineStr">
        <is>
          <t>Utility scale PV(tracking)</t>
        </is>
      </c>
      <c r="M337" t="inlineStr"/>
      <c r="N337" t="inlineStr">
        <is>
          <t>CAPEX 2030/2024=0.6901613393937807</t>
        </is>
      </c>
      <c r="O337" t="n">
        <v>2024</v>
      </c>
      <c r="P337" t="n">
        <v>2030</v>
      </c>
      <c r="Q337">
        <f>Q336*IFERROR(IF(ISNUMBER(INDEX(Method_2030_2050!$C$9:$C$34,MATCH(L337,Method_2030_2050!$B$9:$B$34,0))),INDEX(Method_2030_2050!$C$9:$C$34,MATCH(L337,Method_2030_2050!$B$9:$B$34,0)),1),1)</f>
        <v/>
      </c>
    </row>
    <row r="338">
      <c r="A338" t="inlineStr">
        <is>
          <t>I-JEDI</t>
        </is>
      </c>
      <c r="B338" t="inlineStr">
        <is>
          <t>Utility-scale solar PV</t>
        </is>
      </c>
      <c r="C338" t="inlineStr">
        <is>
          <t>Construction&amp;Manufacturing</t>
        </is>
      </c>
      <c r="D338" t="inlineStr">
        <is>
          <t>Indirect</t>
        </is>
      </c>
      <c r="E338" t="inlineStr">
        <is>
          <t>job-yr/MW</t>
        </is>
      </c>
      <c r="F338" t="n">
        <v>2050</v>
      </c>
      <c r="G338">
        <f>G337*IFERROR(IF(ISNUMBER(INDEX(Method_2030_2050!$D$9:$D$34,MATCH(L338,Method_2030_2050!$B$9:$B$34,0))),INDEX(Method_2030_2050!$D$9:$D$34,MATCH(L338,Method_2030_2050!$B$9:$B$34,0)),1),1)</f>
        <v/>
      </c>
      <c r="H338">
        <f>H337*IFERROR(IF(ISNUMBER(INDEX(Method_2030_2050!$D$9:$D$34,MATCH(L338,Method_2030_2050!$B$9:$B$34,0))),INDEX(Method_2030_2050!$D$9:$D$34,MATCH(L338,Method_2030_2050!$B$9:$B$34,0)),1),1)</f>
        <v/>
      </c>
      <c r="I338" t="inlineStr">
        <is>
          <t>CAPEX/OPEX ratio projection</t>
        </is>
      </c>
      <c r="J338" t="inlineStr"/>
      <c r="K338" t="inlineStr"/>
      <c r="L338" t="inlineStr">
        <is>
          <t>Utility scale PV(tracking)</t>
        </is>
      </c>
      <c r="M338" t="inlineStr"/>
      <c r="N338" t="inlineStr">
        <is>
          <t>CAPEX 2050/2030=0.6719044761324922</t>
        </is>
      </c>
      <c r="O338" t="n">
        <v>2030</v>
      </c>
      <c r="P338" t="n">
        <v>2050</v>
      </c>
      <c r="Q338">
        <f>Q337*IFERROR(IF(ISNUMBER(INDEX(Method_2030_2050!$D$9:$D$34,MATCH(L338,Method_2030_2050!$B$9:$B$34,0))),INDEX(Method_2030_2050!$D$9:$D$34,MATCH(L338,Method_2030_2050!$B$9:$B$34,0)),1),1)</f>
        <v/>
      </c>
    </row>
    <row r="339">
      <c r="A339" t="inlineStr">
        <is>
          <t>I-JEDI</t>
        </is>
      </c>
      <c r="B339" t="inlineStr">
        <is>
          <t>Utility-scale solar PV</t>
        </is>
      </c>
      <c r="C339" t="inlineStr">
        <is>
          <t>Construction&amp;Manufacturing</t>
        </is>
      </c>
      <c r="D339" t="inlineStr">
        <is>
          <t>Induced</t>
        </is>
      </c>
      <c r="E339" t="inlineStr">
        <is>
          <t>job-yr/MW</t>
        </is>
      </c>
      <c r="F339" t="n">
        <v>2024</v>
      </c>
      <c r="G339" t="inlineStr">
        <is>
          <t>6.366</t>
        </is>
      </c>
      <c r="H339" t="n">
        <v>6.366</v>
      </c>
      <c r="I339" t="inlineStr">
        <is>
          <t>Original</t>
        </is>
      </c>
      <c r="J339" t="inlineStr"/>
      <c r="K339" t="inlineStr"/>
      <c r="L339" t="inlineStr"/>
      <c r="M339" t="inlineStr"/>
      <c r="N339" t="inlineStr"/>
      <c r="O339" t="n">
        <v>2024</v>
      </c>
      <c r="P339" t="n">
        <v>2024</v>
      </c>
      <c r="Q339" t="n">
        <v>6.366</v>
      </c>
    </row>
    <row r="340">
      <c r="A340" t="inlineStr">
        <is>
          <t>I-JEDI</t>
        </is>
      </c>
      <c r="B340" t="inlineStr">
        <is>
          <t>Utility-scale solar PV</t>
        </is>
      </c>
      <c r="C340" t="inlineStr">
        <is>
          <t>Construction&amp;Manufacturing</t>
        </is>
      </c>
      <c r="D340" t="inlineStr">
        <is>
          <t>Induced</t>
        </is>
      </c>
      <c r="E340" t="inlineStr">
        <is>
          <t>job-yr/MW</t>
        </is>
      </c>
      <c r="F340" t="n">
        <v>2030</v>
      </c>
      <c r="G340">
        <f>G339*IFERROR(IF(ISNUMBER(INDEX(Method_2030_2050!$C$9:$C$34,MATCH(L340,Method_2030_2050!$B$9:$B$34,0))),INDEX(Method_2030_2050!$C$9:$C$34,MATCH(L340,Method_2030_2050!$B$9:$B$34,0)),1),1)</f>
        <v/>
      </c>
      <c r="H340">
        <f>H339*IFERROR(IF(ISNUMBER(INDEX(Method_2030_2050!$C$9:$C$34,MATCH(L340,Method_2030_2050!$B$9:$B$34,0))),INDEX(Method_2030_2050!$C$9:$C$34,MATCH(L340,Method_2030_2050!$B$9:$B$34,0)),1),1)</f>
        <v/>
      </c>
      <c r="I340" t="inlineStr">
        <is>
          <t>CAPEX/OPEX ratio projection</t>
        </is>
      </c>
      <c r="J340" t="inlineStr"/>
      <c r="K340" t="inlineStr"/>
      <c r="L340" t="inlineStr">
        <is>
          <t>Utility scale PV(tracking)</t>
        </is>
      </c>
      <c r="M340" t="inlineStr"/>
      <c r="N340" t="inlineStr">
        <is>
          <t>CAPEX 2030/2024=0.6901613393937807</t>
        </is>
      </c>
      <c r="O340" t="n">
        <v>2024</v>
      </c>
      <c r="P340" t="n">
        <v>2030</v>
      </c>
      <c r="Q340">
        <f>Q339*IFERROR(IF(ISNUMBER(INDEX(Method_2030_2050!$C$9:$C$34,MATCH(L340,Method_2030_2050!$B$9:$B$34,0))),INDEX(Method_2030_2050!$C$9:$C$34,MATCH(L340,Method_2030_2050!$B$9:$B$34,0)),1),1)</f>
        <v/>
      </c>
    </row>
    <row r="341">
      <c r="A341" t="inlineStr">
        <is>
          <t>I-JEDI</t>
        </is>
      </c>
      <c r="B341" t="inlineStr">
        <is>
          <t>Utility-scale solar PV</t>
        </is>
      </c>
      <c r="C341" t="inlineStr">
        <is>
          <t>Construction&amp;Manufacturing</t>
        </is>
      </c>
      <c r="D341" t="inlineStr">
        <is>
          <t>Induced</t>
        </is>
      </c>
      <c r="E341" t="inlineStr">
        <is>
          <t>job-yr/MW</t>
        </is>
      </c>
      <c r="F341" t="n">
        <v>2050</v>
      </c>
      <c r="G341">
        <f>G340*IFERROR(IF(ISNUMBER(INDEX(Method_2030_2050!$D$9:$D$34,MATCH(L341,Method_2030_2050!$B$9:$B$34,0))),INDEX(Method_2030_2050!$D$9:$D$34,MATCH(L341,Method_2030_2050!$B$9:$B$34,0)),1),1)</f>
        <v/>
      </c>
      <c r="H341">
        <f>H340*IFERROR(IF(ISNUMBER(INDEX(Method_2030_2050!$D$9:$D$34,MATCH(L341,Method_2030_2050!$B$9:$B$34,0))),INDEX(Method_2030_2050!$D$9:$D$34,MATCH(L341,Method_2030_2050!$B$9:$B$34,0)),1),1)</f>
        <v/>
      </c>
      <c r="I341" t="inlineStr">
        <is>
          <t>CAPEX/OPEX ratio projection</t>
        </is>
      </c>
      <c r="J341" t="inlineStr"/>
      <c r="K341" t="inlineStr"/>
      <c r="L341" t="inlineStr">
        <is>
          <t>Utility scale PV(tracking)</t>
        </is>
      </c>
      <c r="M341" t="inlineStr"/>
      <c r="N341" t="inlineStr">
        <is>
          <t>CAPEX 2050/2030=0.6719044761324922</t>
        </is>
      </c>
      <c r="O341" t="n">
        <v>2030</v>
      </c>
      <c r="P341" t="n">
        <v>2050</v>
      </c>
      <c r="Q341">
        <f>Q340*IFERROR(IF(ISNUMBER(INDEX(Method_2030_2050!$D$9:$D$34,MATCH(L341,Method_2030_2050!$B$9:$B$34,0))),INDEX(Method_2030_2050!$D$9:$D$34,MATCH(L341,Method_2030_2050!$B$9:$B$34,0)),1),1)</f>
        <v/>
      </c>
    </row>
    <row r="342">
      <c r="A342" t="inlineStr">
        <is>
          <t>Rutovitz 2015</t>
        </is>
      </c>
      <c r="B342" t="inlineStr">
        <is>
          <t>Utility-scale solar PV</t>
        </is>
      </c>
      <c r="C342" t="inlineStr">
        <is>
          <t>Manufacturing</t>
        </is>
      </c>
      <c r="D342" t="inlineStr">
        <is>
          <t>Direct</t>
        </is>
      </c>
      <c r="E342" t="inlineStr">
        <is>
          <t>job-yr/MW</t>
        </is>
      </c>
      <c r="F342" t="n">
        <v>2015</v>
      </c>
      <c r="G342" t="inlineStr">
        <is>
          <t>6.7</t>
        </is>
      </c>
      <c r="H342" t="n">
        <v>6.7</v>
      </c>
      <c r="I342" t="inlineStr">
        <is>
          <t>Original</t>
        </is>
      </c>
      <c r="J342" t="inlineStr"/>
      <c r="K342" t="inlineStr"/>
      <c r="L342" t="inlineStr"/>
      <c r="M342" t="inlineStr"/>
      <c r="N342" t="inlineStr"/>
      <c r="O342" t="n">
        <v>2015</v>
      </c>
      <c r="P342" t="n">
        <v>2015</v>
      </c>
      <c r="Q342" t="n">
        <v>6.7</v>
      </c>
    </row>
    <row r="343">
      <c r="A343" t="inlineStr">
        <is>
          <t>Rutovitz 2015</t>
        </is>
      </c>
      <c r="B343" t="inlineStr">
        <is>
          <t>Utility-scale solar PV</t>
        </is>
      </c>
      <c r="C343" t="inlineStr">
        <is>
          <t>Manufacturing</t>
        </is>
      </c>
      <c r="D343" t="inlineStr">
        <is>
          <t>Direct</t>
        </is>
      </c>
      <c r="E343" t="inlineStr">
        <is>
          <t>job-yr/MW</t>
        </is>
      </c>
      <c r="F343" t="n">
        <v>2030</v>
      </c>
      <c r="G343">
        <f>G342*K343</f>
        <v/>
      </c>
      <c r="H343">
        <f>H342*K343</f>
        <v/>
      </c>
      <c r="I343" t="inlineStr">
        <is>
          <t>Rutovitz Table 9 decline to 2030</t>
        </is>
      </c>
      <c r="J343" t="inlineStr">
        <is>
          <t>PV</t>
        </is>
      </c>
      <c r="K343">
        <f>INDEX(Mappings_Rutovitz!$D$2:$D$14,MATCH(J343,Mappings_Rutovitz!$B$2:$B$14,0))</f>
        <v/>
      </c>
      <c r="L343" t="inlineStr"/>
      <c r="M343" t="inlineStr"/>
      <c r="N343" t="inlineStr">
        <is>
          <t>Rutovitz Table 9 Latin America 2030</t>
        </is>
      </c>
      <c r="O343" t="n">
        <v>2015</v>
      </c>
      <c r="P343" t="n">
        <v>2030</v>
      </c>
      <c r="Q343">
        <f>Q342*K343</f>
        <v/>
      </c>
    </row>
    <row r="344">
      <c r="A344" t="inlineStr">
        <is>
          <t>Rutovitz 2015</t>
        </is>
      </c>
      <c r="B344" t="inlineStr">
        <is>
          <t>Utility-scale solar PV</t>
        </is>
      </c>
      <c r="C344" t="inlineStr">
        <is>
          <t>Manufacturing</t>
        </is>
      </c>
      <c r="D344" t="inlineStr">
        <is>
          <t>Direct</t>
        </is>
      </c>
      <c r="E344" t="inlineStr">
        <is>
          <t>job-yr/MW</t>
        </is>
      </c>
      <c r="F344" t="n">
        <v>2050</v>
      </c>
      <c r="G344">
        <f>G343*IFERROR(IF(ISNUMBER(INDEX(Method_2030_2050!$D$9:$D$34,MATCH(L344,Method_2030_2050!$B$9:$B$34,0))),INDEX(Method_2030_2050!$D$9:$D$34,MATCH(L344,Method_2030_2050!$B$9:$B$34,0)),1),1)</f>
        <v/>
      </c>
      <c r="H344">
        <f>H343*IFERROR(IF(ISNUMBER(INDEX(Method_2030_2050!$D$9:$D$34,MATCH(L344,Method_2030_2050!$B$9:$B$34,0))),INDEX(Method_2030_2050!$D$9:$D$34,MATCH(L344,Method_2030_2050!$B$9:$B$34,0)),1),1)</f>
        <v/>
      </c>
      <c r="I344" t="inlineStr">
        <is>
          <t>CAPEX/OPEX ratio projection</t>
        </is>
      </c>
      <c r="J344" t="inlineStr">
        <is>
          <t>PV</t>
        </is>
      </c>
      <c r="K344" t="inlineStr"/>
      <c r="L344" t="inlineStr">
        <is>
          <t>Utility scale PV(tracking)</t>
        </is>
      </c>
      <c r="M344" t="inlineStr"/>
      <c r="N344" t="inlineStr">
        <is>
          <t>CAPEX 2050/2030=0.6719044761324922</t>
        </is>
      </c>
      <c r="O344" t="n">
        <v>2030</v>
      </c>
      <c r="P344" t="n">
        <v>2050</v>
      </c>
      <c r="Q344">
        <f>Q343*IFERROR(IF(ISNUMBER(INDEX(Method_2030_2050!$D$9:$D$34,MATCH(L344,Method_2030_2050!$B$9:$B$34,0))),INDEX(Method_2030_2050!$D$9:$D$34,MATCH(L344,Method_2030_2050!$B$9:$B$34,0)),1),1)</f>
        <v/>
      </c>
    </row>
    <row r="345">
      <c r="A345" t="inlineStr">
        <is>
          <t>Rutovitz 2025</t>
        </is>
      </c>
      <c r="B345" t="inlineStr">
        <is>
          <t>Utility-scale solar PV</t>
        </is>
      </c>
      <c r="C345" t="inlineStr">
        <is>
          <t>Manufacturing</t>
        </is>
      </c>
      <c r="D345" t="inlineStr">
        <is>
          <t>Direct</t>
        </is>
      </c>
      <c r="E345" t="inlineStr">
        <is>
          <t>job-yr/MW</t>
        </is>
      </c>
      <c r="F345" t="n">
        <v>2024</v>
      </c>
      <c r="G345" t="inlineStr">
        <is>
          <t>3.08</t>
        </is>
      </c>
      <c r="H345" t="n">
        <v>3.08</v>
      </c>
      <c r="I345" t="inlineStr">
        <is>
          <t>Original</t>
        </is>
      </c>
      <c r="J345" t="inlineStr"/>
      <c r="K345" t="inlineStr"/>
      <c r="L345" t="inlineStr"/>
      <c r="M345" t="inlineStr"/>
      <c r="N345" t="inlineStr"/>
      <c r="O345" t="n">
        <v>2024</v>
      </c>
      <c r="P345" t="n">
        <v>2024</v>
      </c>
      <c r="Q345" t="n">
        <v>3.08</v>
      </c>
    </row>
    <row r="346">
      <c r="A346" t="inlineStr">
        <is>
          <t>Rutovitz 2025</t>
        </is>
      </c>
      <c r="B346" t="inlineStr">
        <is>
          <t>Utility-scale solar PV</t>
        </is>
      </c>
      <c r="C346" t="inlineStr">
        <is>
          <t>Manufacturing</t>
        </is>
      </c>
      <c r="D346" t="inlineStr">
        <is>
          <t>Direct</t>
        </is>
      </c>
      <c r="E346" t="inlineStr">
        <is>
          <t>job-yr/MW</t>
        </is>
      </c>
      <c r="F346" t="n">
        <v>2030</v>
      </c>
      <c r="G346">
        <f>G345*IFERROR(IF(ISNUMBER(INDEX(Method_2030_2050!$C$9:$C$34,MATCH(L346,Method_2030_2050!$B$9:$B$34,0))),INDEX(Method_2030_2050!$C$9:$C$34,MATCH(L346,Method_2030_2050!$B$9:$B$34,0)),1),1)</f>
        <v/>
      </c>
      <c r="H346">
        <f>H345*IFERROR(IF(ISNUMBER(INDEX(Method_2030_2050!$C$9:$C$34,MATCH(L346,Method_2030_2050!$B$9:$B$34,0))),INDEX(Method_2030_2050!$C$9:$C$34,MATCH(L346,Method_2030_2050!$B$9:$B$34,0)),1),1)</f>
        <v/>
      </c>
      <c r="I346" t="inlineStr">
        <is>
          <t>CAPEX/OPEX ratio projection</t>
        </is>
      </c>
      <c r="J346" t="inlineStr"/>
      <c r="K346" t="inlineStr"/>
      <c r="L346" t="inlineStr">
        <is>
          <t>Utility scale PV(tracking)</t>
        </is>
      </c>
      <c r="M346" t="inlineStr"/>
      <c r="N346" t="inlineStr">
        <is>
          <t>CAPEX 2030/2024=0.6901613393937807</t>
        </is>
      </c>
      <c r="O346" t="n">
        <v>2024</v>
      </c>
      <c r="P346" t="n">
        <v>2030</v>
      </c>
      <c r="Q346">
        <f>Q345*IFERROR(IF(ISNUMBER(INDEX(Method_2030_2050!$C$9:$C$34,MATCH(L346,Method_2030_2050!$B$9:$B$34,0))),INDEX(Method_2030_2050!$C$9:$C$34,MATCH(L346,Method_2030_2050!$B$9:$B$34,0)),1),1)</f>
        <v/>
      </c>
    </row>
    <row r="347">
      <c r="A347" t="inlineStr">
        <is>
          <t>Rutovitz 2025</t>
        </is>
      </c>
      <c r="B347" t="inlineStr">
        <is>
          <t>Utility-scale solar PV</t>
        </is>
      </c>
      <c r="C347" t="inlineStr">
        <is>
          <t>Manufacturing</t>
        </is>
      </c>
      <c r="D347" t="inlineStr">
        <is>
          <t>Direct</t>
        </is>
      </c>
      <c r="E347" t="inlineStr">
        <is>
          <t>job-yr/MW</t>
        </is>
      </c>
      <c r="F347" t="n">
        <v>2050</v>
      </c>
      <c r="G347">
        <f>G346*IFERROR(IF(ISNUMBER(INDEX(Method_2030_2050!$D$9:$D$34,MATCH(L347,Method_2030_2050!$B$9:$B$34,0))),INDEX(Method_2030_2050!$D$9:$D$34,MATCH(L347,Method_2030_2050!$B$9:$B$34,0)),1),1)</f>
        <v/>
      </c>
      <c r="H347">
        <f>H346*IFERROR(IF(ISNUMBER(INDEX(Method_2030_2050!$D$9:$D$34,MATCH(L347,Method_2030_2050!$B$9:$B$34,0))),INDEX(Method_2030_2050!$D$9:$D$34,MATCH(L347,Method_2030_2050!$B$9:$B$34,0)),1),1)</f>
        <v/>
      </c>
      <c r="I347" t="inlineStr">
        <is>
          <t>CAPEX/OPEX ratio projection</t>
        </is>
      </c>
      <c r="J347" t="inlineStr"/>
      <c r="K347" t="inlineStr"/>
      <c r="L347" t="inlineStr">
        <is>
          <t>Utility scale PV(tracking)</t>
        </is>
      </c>
      <c r="M347" t="inlineStr"/>
      <c r="N347" t="inlineStr">
        <is>
          <t>CAPEX 2050/2030=0.6719044761324922</t>
        </is>
      </c>
      <c r="O347" t="n">
        <v>2030</v>
      </c>
      <c r="P347" t="n">
        <v>2050</v>
      </c>
      <c r="Q347">
        <f>Q346*IFERROR(IF(ISNUMBER(INDEX(Method_2030_2050!$D$9:$D$34,MATCH(L347,Method_2030_2050!$B$9:$B$34,0))),INDEX(Method_2030_2050!$D$9:$D$34,MATCH(L347,Method_2030_2050!$B$9:$B$34,0)),1),1)</f>
        <v/>
      </c>
    </row>
    <row r="348">
      <c r="A348" t="inlineStr">
        <is>
          <t>I-JEDI</t>
        </is>
      </c>
      <c r="B348" t="inlineStr">
        <is>
          <t>Utility-scale solar PV</t>
        </is>
      </c>
      <c r="C348" t="inlineStr">
        <is>
          <t>O&amp;M</t>
        </is>
      </c>
      <c r="D348" t="inlineStr">
        <is>
          <t>Direct</t>
        </is>
      </c>
      <c r="E348" t="inlineStr">
        <is>
          <t>job/MW</t>
        </is>
      </c>
      <c r="F348" t="n">
        <v>2024</v>
      </c>
      <c r="G348" t="inlineStr">
        <is>
          <t>0.0965</t>
        </is>
      </c>
      <c r="H348" t="n">
        <v>0.0965</v>
      </c>
      <c r="I348" t="inlineStr">
        <is>
          <t>Original</t>
        </is>
      </c>
      <c r="J348" t="inlineStr"/>
      <c r="K348" t="inlineStr"/>
      <c r="L348" t="inlineStr"/>
      <c r="M348" t="inlineStr"/>
      <c r="N348" t="inlineStr"/>
      <c r="O348" t="n">
        <v>2024</v>
      </c>
      <c r="P348" t="n">
        <v>2024</v>
      </c>
      <c r="Q348" t="n">
        <v>0.0965</v>
      </c>
    </row>
    <row r="349">
      <c r="A349" t="inlineStr">
        <is>
          <t>I-JEDI</t>
        </is>
      </c>
      <c r="B349" t="inlineStr">
        <is>
          <t>Utility-scale solar PV</t>
        </is>
      </c>
      <c r="C349" t="inlineStr">
        <is>
          <t>O&amp;M</t>
        </is>
      </c>
      <c r="D349" t="inlineStr">
        <is>
          <t>Direct</t>
        </is>
      </c>
      <c r="E349" t="inlineStr">
        <is>
          <t>job/MW</t>
        </is>
      </c>
      <c r="F349" t="n">
        <v>2030</v>
      </c>
      <c r="G349">
        <f>G348*IFERROR(IF(ISNUMBER(INDEX(Method_2030_2050!$E$9:$E$34,MATCH(L349,Method_2030_2050!$B$9:$B$34,0))),INDEX(Method_2030_2050!$E$9:$E$34,MATCH(L349,Method_2030_2050!$B$9:$B$34,0)),1),1)</f>
        <v/>
      </c>
      <c r="H349">
        <f>H348*IFERROR(IF(ISNUMBER(INDEX(Method_2030_2050!$E$9:$E$34,MATCH(L349,Method_2030_2050!$B$9:$B$34,0))),INDEX(Method_2030_2050!$E$9:$E$34,MATCH(L349,Method_2030_2050!$B$9:$B$34,0)),1),1)</f>
        <v/>
      </c>
      <c r="I349" t="inlineStr">
        <is>
          <t>CAPEX/OPEX ratio projection</t>
        </is>
      </c>
      <c r="J349" t="inlineStr"/>
      <c r="K349" t="inlineStr"/>
      <c r="L349" t="inlineStr">
        <is>
          <t>Utility scale PV(tracking)</t>
        </is>
      </c>
      <c r="M349" t="inlineStr"/>
      <c r="N349" t="inlineStr">
        <is>
          <t>OPEX 2030/2024=0.8513513513513513</t>
        </is>
      </c>
      <c r="O349" t="n">
        <v>2024</v>
      </c>
      <c r="P349" t="n">
        <v>2030</v>
      </c>
      <c r="Q349">
        <f>Q348*IFERROR(IF(ISNUMBER(INDEX(Method_2030_2050!$E$9:$E$34,MATCH(L349,Method_2030_2050!$B$9:$B$34,0))),INDEX(Method_2030_2050!$E$9:$E$34,MATCH(L349,Method_2030_2050!$B$9:$B$34,0)),1),1)</f>
        <v/>
      </c>
    </row>
    <row r="350">
      <c r="A350" t="inlineStr">
        <is>
          <t>I-JEDI</t>
        </is>
      </c>
      <c r="B350" t="inlineStr">
        <is>
          <t>Utility-scale solar PV</t>
        </is>
      </c>
      <c r="C350" t="inlineStr">
        <is>
          <t>O&amp;M</t>
        </is>
      </c>
      <c r="D350" t="inlineStr">
        <is>
          <t>Direct</t>
        </is>
      </c>
      <c r="E350" t="inlineStr">
        <is>
          <t>job/MW</t>
        </is>
      </c>
      <c r="F350" t="n">
        <v>2050</v>
      </c>
      <c r="G350">
        <f>G349*IFERROR(IF(ISNUMBER(INDEX(Method_2030_2050!$F$9:$F$34,MATCH(L350,Method_2030_2050!$B$9:$B$34,0))),INDEX(Method_2030_2050!$F$9:$F$34,MATCH(L350,Method_2030_2050!$B$9:$B$34,0)),1),1)</f>
        <v/>
      </c>
      <c r="H350">
        <f>H349*IFERROR(IF(ISNUMBER(INDEX(Method_2030_2050!$F$9:$F$34,MATCH(L350,Method_2030_2050!$B$9:$B$34,0))),INDEX(Method_2030_2050!$F$9:$F$34,MATCH(L350,Method_2030_2050!$B$9:$B$34,0)),1),1)</f>
        <v/>
      </c>
      <c r="I350" t="inlineStr">
        <is>
          <t>CAPEX/OPEX ratio projection</t>
        </is>
      </c>
      <c r="J350" t="inlineStr"/>
      <c r="K350" t="inlineStr"/>
      <c r="L350" t="inlineStr">
        <is>
          <t>Utility scale PV(tracking)</t>
        </is>
      </c>
      <c r="M350" t="inlineStr"/>
      <c r="N350" t="inlineStr">
        <is>
          <t>OPEX 2050/2030=0.8571428571428571</t>
        </is>
      </c>
      <c r="O350" t="n">
        <v>2030</v>
      </c>
      <c r="P350" t="n">
        <v>2050</v>
      </c>
      <c r="Q350">
        <f>Q349*IFERROR(IF(ISNUMBER(INDEX(Method_2030_2050!$F$9:$F$34,MATCH(L350,Method_2030_2050!$B$9:$B$34,0))),INDEX(Method_2030_2050!$F$9:$F$34,MATCH(L350,Method_2030_2050!$B$9:$B$34,0)),1),1)</f>
        <v/>
      </c>
    </row>
    <row r="351">
      <c r="A351" t="inlineStr">
        <is>
          <t>Rutovitz 2015</t>
        </is>
      </c>
      <c r="B351" t="inlineStr">
        <is>
          <t>Utility-scale solar PV</t>
        </is>
      </c>
      <c r="C351" t="inlineStr">
        <is>
          <t>O&amp;M</t>
        </is>
      </c>
      <c r="D351" t="inlineStr">
        <is>
          <t>Direct</t>
        </is>
      </c>
      <c r="E351" t="inlineStr">
        <is>
          <t>job/MW</t>
        </is>
      </c>
      <c r="F351" t="n">
        <v>2015</v>
      </c>
      <c r="G351" t="inlineStr">
        <is>
          <t>0.7</t>
        </is>
      </c>
      <c r="H351" t="n">
        <v>0.7</v>
      </c>
      <c r="I351" t="inlineStr">
        <is>
          <t>Original</t>
        </is>
      </c>
      <c r="J351" t="inlineStr"/>
      <c r="K351" t="inlineStr"/>
      <c r="L351" t="inlineStr"/>
      <c r="M351" t="inlineStr"/>
      <c r="N351" t="inlineStr"/>
      <c r="O351" t="n">
        <v>2015</v>
      </c>
      <c r="P351" t="n">
        <v>2015</v>
      </c>
      <c r="Q351" t="n">
        <v>0.7</v>
      </c>
    </row>
    <row r="352">
      <c r="A352" t="inlineStr">
        <is>
          <t>Rutovitz 2015</t>
        </is>
      </c>
      <c r="B352" t="inlineStr">
        <is>
          <t>Utility-scale solar PV</t>
        </is>
      </c>
      <c r="C352" t="inlineStr">
        <is>
          <t>O&amp;M</t>
        </is>
      </c>
      <c r="D352" t="inlineStr">
        <is>
          <t>Direct</t>
        </is>
      </c>
      <c r="E352" t="inlineStr">
        <is>
          <t>job/MW</t>
        </is>
      </c>
      <c r="F352" t="n">
        <v>2030</v>
      </c>
      <c r="G352">
        <f>G351*K352</f>
        <v/>
      </c>
      <c r="H352">
        <f>H351*K352</f>
        <v/>
      </c>
      <c r="I352" t="inlineStr">
        <is>
          <t>Rutovitz Table 9 decline to 2030</t>
        </is>
      </c>
      <c r="J352" t="inlineStr">
        <is>
          <t>PV</t>
        </is>
      </c>
      <c r="K352">
        <f>INDEX(Mappings_Rutovitz!$D$2:$D$14,MATCH(J352,Mappings_Rutovitz!$B$2:$B$14,0))</f>
        <v/>
      </c>
      <c r="L352" t="inlineStr"/>
      <c r="M352" t="inlineStr"/>
      <c r="N352" t="inlineStr">
        <is>
          <t>Rutovitz Table 9 Latin America 2030</t>
        </is>
      </c>
      <c r="O352" t="n">
        <v>2015</v>
      </c>
      <c r="P352" t="n">
        <v>2030</v>
      </c>
      <c r="Q352">
        <f>Q351*K352</f>
        <v/>
      </c>
    </row>
    <row r="353">
      <c r="A353" t="inlineStr">
        <is>
          <t>Rutovitz 2015</t>
        </is>
      </c>
      <c r="B353" t="inlineStr">
        <is>
          <t>Utility-scale solar PV</t>
        </is>
      </c>
      <c r="C353" t="inlineStr">
        <is>
          <t>O&amp;M</t>
        </is>
      </c>
      <c r="D353" t="inlineStr">
        <is>
          <t>Direct</t>
        </is>
      </c>
      <c r="E353" t="inlineStr">
        <is>
          <t>job/MW</t>
        </is>
      </c>
      <c r="F353" t="n">
        <v>2050</v>
      </c>
      <c r="G353">
        <f>G352*IFERROR(IF(ISNUMBER(INDEX(Method_2030_2050!$F$9:$F$34,MATCH(L353,Method_2030_2050!$B$9:$B$34,0))),INDEX(Method_2030_2050!$F$9:$F$34,MATCH(L353,Method_2030_2050!$B$9:$B$34,0)),1),1)</f>
        <v/>
      </c>
      <c r="H353">
        <f>H352*IFERROR(IF(ISNUMBER(INDEX(Method_2030_2050!$F$9:$F$34,MATCH(L353,Method_2030_2050!$B$9:$B$34,0))),INDEX(Method_2030_2050!$F$9:$F$34,MATCH(L353,Method_2030_2050!$B$9:$B$34,0)),1),1)</f>
        <v/>
      </c>
      <c r="I353" t="inlineStr">
        <is>
          <t>CAPEX/OPEX ratio projection</t>
        </is>
      </c>
      <c r="J353" t="inlineStr">
        <is>
          <t>PV</t>
        </is>
      </c>
      <c r="K353" t="inlineStr"/>
      <c r="L353" t="inlineStr">
        <is>
          <t>Utility scale PV(tracking)</t>
        </is>
      </c>
      <c r="M353" t="inlineStr"/>
      <c r="N353" t="inlineStr">
        <is>
          <t>OPEX 2050/2030=0.8571428571428571</t>
        </is>
      </c>
      <c r="O353" t="n">
        <v>2030</v>
      </c>
      <c r="P353" t="n">
        <v>2050</v>
      </c>
      <c r="Q353">
        <f>Q352*IFERROR(IF(ISNUMBER(INDEX(Method_2030_2050!$F$9:$F$34,MATCH(L353,Method_2030_2050!$B$9:$B$34,0))),INDEX(Method_2030_2050!$F$9:$F$34,MATCH(L353,Method_2030_2050!$B$9:$B$34,0)),1),1)</f>
        <v/>
      </c>
    </row>
    <row r="354">
      <c r="A354" t="inlineStr">
        <is>
          <t>Rutovitz 2025</t>
        </is>
      </c>
      <c r="B354" t="inlineStr">
        <is>
          <t>Utility-scale solar PV</t>
        </is>
      </c>
      <c r="C354" t="inlineStr">
        <is>
          <t>O&amp;M</t>
        </is>
      </c>
      <c r="D354" t="inlineStr">
        <is>
          <t>Direct</t>
        </is>
      </c>
      <c r="E354" t="inlineStr">
        <is>
          <t>job/MW</t>
        </is>
      </c>
      <c r="F354" t="n">
        <v>2024</v>
      </c>
      <c r="G354" t="inlineStr">
        <is>
          <t>0.09</t>
        </is>
      </c>
      <c r="H354" t="n">
        <v>0.09</v>
      </c>
      <c r="I354" t="inlineStr">
        <is>
          <t>Original</t>
        </is>
      </c>
      <c r="J354" t="inlineStr"/>
      <c r="K354" t="inlineStr"/>
      <c r="L354" t="inlineStr"/>
      <c r="M354" t="inlineStr"/>
      <c r="N354" t="inlineStr"/>
      <c r="O354" t="n">
        <v>2024</v>
      </c>
      <c r="P354" t="n">
        <v>2024</v>
      </c>
      <c r="Q354" t="n">
        <v>0.09</v>
      </c>
    </row>
    <row r="355">
      <c r="A355" t="inlineStr">
        <is>
          <t>Rutovitz 2025</t>
        </is>
      </c>
      <c r="B355" t="inlineStr">
        <is>
          <t>Utility-scale solar PV</t>
        </is>
      </c>
      <c r="C355" t="inlineStr">
        <is>
          <t>O&amp;M</t>
        </is>
      </c>
      <c r="D355" t="inlineStr">
        <is>
          <t>Direct</t>
        </is>
      </c>
      <c r="E355" t="inlineStr">
        <is>
          <t>job/MW</t>
        </is>
      </c>
      <c r="F355" t="n">
        <v>2030</v>
      </c>
      <c r="G355">
        <f>G354*IFERROR(IF(ISNUMBER(INDEX(Method_2030_2050!$E$9:$E$34,MATCH(L355,Method_2030_2050!$B$9:$B$34,0))),INDEX(Method_2030_2050!$E$9:$E$34,MATCH(L355,Method_2030_2050!$B$9:$B$34,0)),1),1)</f>
        <v/>
      </c>
      <c r="H355">
        <f>H354*IFERROR(IF(ISNUMBER(INDEX(Method_2030_2050!$E$9:$E$34,MATCH(L355,Method_2030_2050!$B$9:$B$34,0))),INDEX(Method_2030_2050!$E$9:$E$34,MATCH(L355,Method_2030_2050!$B$9:$B$34,0)),1),1)</f>
        <v/>
      </c>
      <c r="I355" t="inlineStr">
        <is>
          <t>CAPEX/OPEX ratio projection</t>
        </is>
      </c>
      <c r="J355" t="inlineStr"/>
      <c r="K355" t="inlineStr"/>
      <c r="L355" t="inlineStr">
        <is>
          <t>Utility scale PV(tracking)</t>
        </is>
      </c>
      <c r="M355" t="inlineStr"/>
      <c r="N355" t="inlineStr">
        <is>
          <t>OPEX 2030/2024=0.8513513513513513</t>
        </is>
      </c>
      <c r="O355" t="n">
        <v>2024</v>
      </c>
      <c r="P355" t="n">
        <v>2030</v>
      </c>
      <c r="Q355">
        <f>Q354*IFERROR(IF(ISNUMBER(INDEX(Method_2030_2050!$E$9:$E$34,MATCH(L355,Method_2030_2050!$B$9:$B$34,0))),INDEX(Method_2030_2050!$E$9:$E$34,MATCH(L355,Method_2030_2050!$B$9:$B$34,0)),1),1)</f>
        <v/>
      </c>
    </row>
    <row r="356">
      <c r="A356" t="inlineStr">
        <is>
          <t>Rutovitz 2025</t>
        </is>
      </c>
      <c r="B356" t="inlineStr">
        <is>
          <t>Utility-scale solar PV</t>
        </is>
      </c>
      <c r="C356" t="inlineStr">
        <is>
          <t>O&amp;M</t>
        </is>
      </c>
      <c r="D356" t="inlineStr">
        <is>
          <t>Direct</t>
        </is>
      </c>
      <c r="E356" t="inlineStr">
        <is>
          <t>job/MW</t>
        </is>
      </c>
      <c r="F356" t="n">
        <v>2050</v>
      </c>
      <c r="G356">
        <f>G355*IFERROR(IF(ISNUMBER(INDEX(Method_2030_2050!$F$9:$F$34,MATCH(L356,Method_2030_2050!$B$9:$B$34,0))),INDEX(Method_2030_2050!$F$9:$F$34,MATCH(L356,Method_2030_2050!$B$9:$B$34,0)),1),1)</f>
        <v/>
      </c>
      <c r="H356">
        <f>H355*IFERROR(IF(ISNUMBER(INDEX(Method_2030_2050!$F$9:$F$34,MATCH(L356,Method_2030_2050!$B$9:$B$34,0))),INDEX(Method_2030_2050!$F$9:$F$34,MATCH(L356,Method_2030_2050!$B$9:$B$34,0)),1),1)</f>
        <v/>
      </c>
      <c r="I356" t="inlineStr">
        <is>
          <t>CAPEX/OPEX ratio projection</t>
        </is>
      </c>
      <c r="J356" t="inlineStr"/>
      <c r="K356" t="inlineStr"/>
      <c r="L356" t="inlineStr">
        <is>
          <t>Utility scale PV(tracking)</t>
        </is>
      </c>
      <c r="M356" t="inlineStr"/>
      <c r="N356" t="inlineStr">
        <is>
          <t>OPEX 2050/2030=0.8571428571428571</t>
        </is>
      </c>
      <c r="O356" t="n">
        <v>2030</v>
      </c>
      <c r="P356" t="n">
        <v>2050</v>
      </c>
      <c r="Q356">
        <f>Q355*IFERROR(IF(ISNUMBER(INDEX(Method_2030_2050!$F$9:$F$34,MATCH(L356,Method_2030_2050!$B$9:$B$34,0))),INDEX(Method_2030_2050!$F$9:$F$34,MATCH(L356,Method_2030_2050!$B$9:$B$34,0)),1),1)</f>
        <v/>
      </c>
    </row>
    <row r="357">
      <c r="A357" t="inlineStr">
        <is>
          <t>I-JEDI</t>
        </is>
      </c>
      <c r="B357" t="inlineStr">
        <is>
          <t>Utility-scale solar PV</t>
        </is>
      </c>
      <c r="C357" t="inlineStr">
        <is>
          <t>O&amp;M</t>
        </is>
      </c>
      <c r="D357" t="inlineStr">
        <is>
          <t>Indirect</t>
        </is>
      </c>
      <c r="E357" t="inlineStr">
        <is>
          <t>job/MW</t>
        </is>
      </c>
      <c r="F357" t="n">
        <v>2024</v>
      </c>
      <c r="G357" t="inlineStr">
        <is>
          <t>0.066</t>
        </is>
      </c>
      <c r="H357" t="n">
        <v>0.066</v>
      </c>
      <c r="I357" t="inlineStr">
        <is>
          <t>Original</t>
        </is>
      </c>
      <c r="J357" t="inlineStr"/>
      <c r="K357" t="inlineStr"/>
      <c r="L357" t="inlineStr"/>
      <c r="M357" t="inlineStr"/>
      <c r="N357" t="inlineStr"/>
      <c r="O357" t="n">
        <v>2024</v>
      </c>
      <c r="P357" t="n">
        <v>2024</v>
      </c>
      <c r="Q357" t="n">
        <v>0.066</v>
      </c>
    </row>
    <row r="358">
      <c r="A358" t="inlineStr">
        <is>
          <t>I-JEDI</t>
        </is>
      </c>
      <c r="B358" t="inlineStr">
        <is>
          <t>Utility-scale solar PV</t>
        </is>
      </c>
      <c r="C358" t="inlineStr">
        <is>
          <t>O&amp;M</t>
        </is>
      </c>
      <c r="D358" t="inlineStr">
        <is>
          <t>Indirect</t>
        </is>
      </c>
      <c r="E358" t="inlineStr">
        <is>
          <t>job/MW</t>
        </is>
      </c>
      <c r="F358" t="n">
        <v>2030</v>
      </c>
      <c r="G358">
        <f>G357*IFERROR(IF(ISNUMBER(INDEX(Method_2030_2050!$E$9:$E$34,MATCH(L358,Method_2030_2050!$B$9:$B$34,0))),INDEX(Method_2030_2050!$E$9:$E$34,MATCH(L358,Method_2030_2050!$B$9:$B$34,0)),1),1)</f>
        <v/>
      </c>
      <c r="H358">
        <f>H357*IFERROR(IF(ISNUMBER(INDEX(Method_2030_2050!$E$9:$E$34,MATCH(L358,Method_2030_2050!$B$9:$B$34,0))),INDEX(Method_2030_2050!$E$9:$E$34,MATCH(L358,Method_2030_2050!$B$9:$B$34,0)),1),1)</f>
        <v/>
      </c>
      <c r="I358" t="inlineStr">
        <is>
          <t>CAPEX/OPEX ratio projection</t>
        </is>
      </c>
      <c r="J358" t="inlineStr"/>
      <c r="K358" t="inlineStr"/>
      <c r="L358" t="inlineStr">
        <is>
          <t>Utility scale PV(tracking)</t>
        </is>
      </c>
      <c r="M358" t="inlineStr"/>
      <c r="N358" t="inlineStr">
        <is>
          <t>OPEX 2030/2024=0.8513513513513513</t>
        </is>
      </c>
      <c r="O358" t="n">
        <v>2024</v>
      </c>
      <c r="P358" t="n">
        <v>2030</v>
      </c>
      <c r="Q358">
        <f>Q357*IFERROR(IF(ISNUMBER(INDEX(Method_2030_2050!$E$9:$E$34,MATCH(L358,Method_2030_2050!$B$9:$B$34,0))),INDEX(Method_2030_2050!$E$9:$E$34,MATCH(L358,Method_2030_2050!$B$9:$B$34,0)),1),1)</f>
        <v/>
      </c>
    </row>
    <row r="359">
      <c r="A359" t="inlineStr">
        <is>
          <t>I-JEDI</t>
        </is>
      </c>
      <c r="B359" t="inlineStr">
        <is>
          <t>Utility-scale solar PV</t>
        </is>
      </c>
      <c r="C359" t="inlineStr">
        <is>
          <t>O&amp;M</t>
        </is>
      </c>
      <c r="D359" t="inlineStr">
        <is>
          <t>Indirect</t>
        </is>
      </c>
      <c r="E359" t="inlineStr">
        <is>
          <t>job/MW</t>
        </is>
      </c>
      <c r="F359" t="n">
        <v>2050</v>
      </c>
      <c r="G359">
        <f>G358*IFERROR(IF(ISNUMBER(INDEX(Method_2030_2050!$F$9:$F$34,MATCH(L359,Method_2030_2050!$B$9:$B$34,0))),INDEX(Method_2030_2050!$F$9:$F$34,MATCH(L359,Method_2030_2050!$B$9:$B$34,0)),1),1)</f>
        <v/>
      </c>
      <c r="H359">
        <f>H358*IFERROR(IF(ISNUMBER(INDEX(Method_2030_2050!$F$9:$F$34,MATCH(L359,Method_2030_2050!$B$9:$B$34,0))),INDEX(Method_2030_2050!$F$9:$F$34,MATCH(L359,Method_2030_2050!$B$9:$B$34,0)),1),1)</f>
        <v/>
      </c>
      <c r="I359" t="inlineStr">
        <is>
          <t>CAPEX/OPEX ratio projection</t>
        </is>
      </c>
      <c r="J359" t="inlineStr"/>
      <c r="K359" t="inlineStr"/>
      <c r="L359" t="inlineStr">
        <is>
          <t>Utility scale PV(tracking)</t>
        </is>
      </c>
      <c r="M359" t="inlineStr"/>
      <c r="N359" t="inlineStr">
        <is>
          <t>OPEX 2050/2030=0.8571428571428571</t>
        </is>
      </c>
      <c r="O359" t="n">
        <v>2030</v>
      </c>
      <c r="P359" t="n">
        <v>2050</v>
      </c>
      <c r="Q359">
        <f>Q358*IFERROR(IF(ISNUMBER(INDEX(Method_2030_2050!$F$9:$F$34,MATCH(L359,Method_2030_2050!$B$9:$B$34,0))),INDEX(Method_2030_2050!$F$9:$F$34,MATCH(L359,Method_2030_2050!$B$9:$B$34,0)),1),1)</f>
        <v/>
      </c>
    </row>
    <row r="360">
      <c r="A360" t="inlineStr">
        <is>
          <t>I-JEDI</t>
        </is>
      </c>
      <c r="B360" t="inlineStr">
        <is>
          <t>Utility-scale solar PV</t>
        </is>
      </c>
      <c r="C360" t="inlineStr">
        <is>
          <t>O&amp;M</t>
        </is>
      </c>
      <c r="D360" t="inlineStr">
        <is>
          <t>Induced</t>
        </is>
      </c>
      <c r="E360" t="inlineStr">
        <is>
          <t>job/MW</t>
        </is>
      </c>
      <c r="F360" t="n">
        <v>2024</v>
      </c>
      <c r="G360" t="inlineStr">
        <is>
          <t>0.0498</t>
        </is>
      </c>
      <c r="H360" t="n">
        <v>0.0498</v>
      </c>
      <c r="I360" t="inlineStr">
        <is>
          <t>Original</t>
        </is>
      </c>
      <c r="J360" t="inlineStr"/>
      <c r="K360" t="inlineStr"/>
      <c r="L360" t="inlineStr"/>
      <c r="M360" t="inlineStr"/>
      <c r="N360" t="inlineStr"/>
      <c r="O360" t="n">
        <v>2024</v>
      </c>
      <c r="P360" t="n">
        <v>2024</v>
      </c>
      <c r="Q360" t="n">
        <v>0.0498</v>
      </c>
    </row>
    <row r="361">
      <c r="A361" t="inlineStr">
        <is>
          <t>I-JEDI</t>
        </is>
      </c>
      <c r="B361" t="inlineStr">
        <is>
          <t>Utility-scale solar PV</t>
        </is>
      </c>
      <c r="C361" t="inlineStr">
        <is>
          <t>O&amp;M</t>
        </is>
      </c>
      <c r="D361" t="inlineStr">
        <is>
          <t>Induced</t>
        </is>
      </c>
      <c r="E361" t="inlineStr">
        <is>
          <t>job/MW</t>
        </is>
      </c>
      <c r="F361" t="n">
        <v>2030</v>
      </c>
      <c r="G361">
        <f>G360*IFERROR(IF(ISNUMBER(INDEX(Method_2030_2050!$E$9:$E$34,MATCH(L361,Method_2030_2050!$B$9:$B$34,0))),INDEX(Method_2030_2050!$E$9:$E$34,MATCH(L361,Method_2030_2050!$B$9:$B$34,0)),1),1)</f>
        <v/>
      </c>
      <c r="H361">
        <f>H360*IFERROR(IF(ISNUMBER(INDEX(Method_2030_2050!$E$9:$E$34,MATCH(L361,Method_2030_2050!$B$9:$B$34,0))),INDEX(Method_2030_2050!$E$9:$E$34,MATCH(L361,Method_2030_2050!$B$9:$B$34,0)),1),1)</f>
        <v/>
      </c>
      <c r="I361" t="inlineStr">
        <is>
          <t>CAPEX/OPEX ratio projection</t>
        </is>
      </c>
      <c r="J361" t="inlineStr"/>
      <c r="K361" t="inlineStr"/>
      <c r="L361" t="inlineStr">
        <is>
          <t>Utility scale PV(tracking)</t>
        </is>
      </c>
      <c r="M361" t="inlineStr"/>
      <c r="N361" t="inlineStr">
        <is>
          <t>OPEX 2030/2024=0.8513513513513513</t>
        </is>
      </c>
      <c r="O361" t="n">
        <v>2024</v>
      </c>
      <c r="P361" t="n">
        <v>2030</v>
      </c>
      <c r="Q361">
        <f>Q360*IFERROR(IF(ISNUMBER(INDEX(Method_2030_2050!$E$9:$E$34,MATCH(L361,Method_2030_2050!$B$9:$B$34,0))),INDEX(Method_2030_2050!$E$9:$E$34,MATCH(L361,Method_2030_2050!$B$9:$B$34,0)),1),1)</f>
        <v/>
      </c>
    </row>
    <row r="362">
      <c r="A362" t="inlineStr">
        <is>
          <t>I-JEDI</t>
        </is>
      </c>
      <c r="B362" t="inlineStr">
        <is>
          <t>Utility-scale solar PV</t>
        </is>
      </c>
      <c r="C362" t="inlineStr">
        <is>
          <t>O&amp;M</t>
        </is>
      </c>
      <c r="D362" t="inlineStr">
        <is>
          <t>Induced</t>
        </is>
      </c>
      <c r="E362" t="inlineStr">
        <is>
          <t>job/MW</t>
        </is>
      </c>
      <c r="F362" t="n">
        <v>2050</v>
      </c>
      <c r="G362">
        <f>G361*IFERROR(IF(ISNUMBER(INDEX(Method_2030_2050!$F$9:$F$34,MATCH(L362,Method_2030_2050!$B$9:$B$34,0))),INDEX(Method_2030_2050!$F$9:$F$34,MATCH(L362,Method_2030_2050!$B$9:$B$34,0)),1),1)</f>
        <v/>
      </c>
      <c r="H362">
        <f>H361*IFERROR(IF(ISNUMBER(INDEX(Method_2030_2050!$F$9:$F$34,MATCH(L362,Method_2030_2050!$B$9:$B$34,0))),INDEX(Method_2030_2050!$F$9:$F$34,MATCH(L362,Method_2030_2050!$B$9:$B$34,0)),1),1)</f>
        <v/>
      </c>
      <c r="I362" t="inlineStr">
        <is>
          <t>CAPEX/OPEX ratio projection</t>
        </is>
      </c>
      <c r="J362" t="inlineStr"/>
      <c r="K362" t="inlineStr"/>
      <c r="L362" t="inlineStr">
        <is>
          <t>Utility scale PV(tracking)</t>
        </is>
      </c>
      <c r="M362" t="inlineStr"/>
      <c r="N362" t="inlineStr">
        <is>
          <t>OPEX 2050/2030=0.8571428571428571</t>
        </is>
      </c>
      <c r="O362" t="n">
        <v>2030</v>
      </c>
      <c r="P362" t="n">
        <v>2050</v>
      </c>
      <c r="Q362">
        <f>Q361*IFERROR(IF(ISNUMBER(INDEX(Method_2030_2050!$F$9:$F$34,MATCH(L362,Method_2030_2050!$B$9:$B$34,0))),INDEX(Method_2030_2050!$F$9:$F$34,MATCH(L362,Method_2030_2050!$B$9:$B$34,0)),1),1)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2026-07-10T09:55:53Z</dcterms:created>
  <dcterms:modified xsi:type="dcterms:W3CDTF">2026-07-10T09:55:53Z</dcterms:modified>
</cp:coreProperties>
</file>