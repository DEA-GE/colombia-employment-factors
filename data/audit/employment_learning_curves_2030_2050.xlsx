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H17" headerRowCount="1">
  <autoFilter ref="A1:H17"/>
  <tableColumns count="8">
    <tableColumn id="1" name="Technology"/>
    <tableColumn id="2" name="Catalogue_Tech"/>
    <tableColumn id="3" name="Learning_rate_or_rule"/>
    <tableColumn id="4" name="Method"/>
    <tableColumn id="5" name="STEPS_ratio_2030"/>
    <tableColumn id="6" name="STEPS_ratio_2050"/>
    <tableColumn id="7" name="CAPEX_ratio_2030"/>
    <tableColumn id="8" name="CAPEX_ratio_20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213" headerRowCount="1">
  <autoFilter ref="A1:Q213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Learning rates and STEPS ratios</t>
        </is>
      </c>
      <c r="E5" t="inlineStr">
        <is>
          <t>Capacity-ratio or CAPEX fallback method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5" customWidth="1" min="2" max="2"/>
    <col width="23" customWidth="1" min="3" max="3"/>
    <col width="19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Learning_rate_or_rule</t>
        </is>
      </c>
      <c r="D1" s="1" t="inlineStr">
        <is>
          <t>Method</t>
        </is>
      </c>
      <c r="E1" s="1" t="inlineStr">
        <is>
          <t>STEPS_ratio_2030</t>
        </is>
      </c>
      <c r="F1" s="1" t="inlineStr">
        <is>
          <t>STEPS_ratio_2050</t>
        </is>
      </c>
      <c r="G1" s="1" t="inlineStr">
        <is>
          <t>CAPEX_ratio_2030</t>
        </is>
      </c>
      <c r="H1" s="1" t="inlineStr">
        <is>
          <t>CAPEX_ratio_2050</t>
        </is>
      </c>
    </row>
    <row r="2">
      <c r="A2" t="inlineStr">
        <is>
          <t>Solar PV</t>
        </is>
      </c>
      <c r="B2" t="inlineStr">
        <is>
          <t>Solar PV</t>
        </is>
      </c>
      <c r="C2" t="n">
        <v>0.2</v>
      </c>
      <c r="D2" t="inlineStr">
        <is>
          <t>capacity_ratio</t>
        </is>
      </c>
      <c r="E2" t="n">
        <v>2.4</v>
      </c>
      <c r="F2" t="n">
        <v>6.5</v>
      </c>
      <c r="G2" t="n">
        <v/>
      </c>
      <c r="H2" t="n">
        <v/>
      </c>
    </row>
    <row r="3">
      <c r="A3" t="inlineStr">
        <is>
          <t>Onshore wind</t>
        </is>
      </c>
      <c r="B3" t="inlineStr">
        <is>
          <t>Wind onshore</t>
        </is>
      </c>
      <c r="C3" t="n">
        <v>0.05</v>
      </c>
      <c r="D3" t="inlineStr">
        <is>
          <t>capacity_ratio</t>
        </is>
      </c>
      <c r="E3" t="n">
        <v>1.7</v>
      </c>
      <c r="F3" t="n">
        <v>2.9</v>
      </c>
      <c r="G3" t="n">
        <v/>
      </c>
      <c r="H3" t="n">
        <v/>
      </c>
    </row>
    <row r="4">
      <c r="A4" t="inlineStr">
        <is>
          <t>Offshore wind</t>
        </is>
      </c>
      <c r="B4" t="inlineStr">
        <is>
          <t>Wind offshore</t>
        </is>
      </c>
      <c r="C4" t="n">
        <v>0.15</v>
      </c>
      <c r="D4" t="inlineStr">
        <is>
          <t>capacity_ratio</t>
        </is>
      </c>
      <c r="E4" t="n">
        <v>3</v>
      </c>
      <c r="F4" t="n">
        <v>8.800000000000001</v>
      </c>
      <c r="G4" t="n">
        <v/>
      </c>
      <c r="H4" t="n">
        <v/>
      </c>
    </row>
    <row r="5">
      <c r="A5" t="inlineStr">
        <is>
          <t>Hydro (large)</t>
        </is>
      </c>
      <c r="B5" t="inlineStr">
        <is>
          <t>Hydro</t>
        </is>
      </c>
      <c r="C5" t="n">
        <v>0.01</v>
      </c>
      <c r="D5" t="inlineStr">
        <is>
          <t>capacity_ratio</t>
        </is>
      </c>
      <c r="E5" t="n">
        <v>1.1</v>
      </c>
      <c r="F5" t="n">
        <v>1.4</v>
      </c>
      <c r="G5" t="n">
        <v/>
      </c>
      <c r="H5" t="n">
        <v/>
      </c>
    </row>
    <row r="6">
      <c r="A6" t="inlineStr">
        <is>
          <t>Hydro (small)</t>
        </is>
      </c>
      <c r="B6" t="inlineStr">
        <is>
          <t>Hydro</t>
        </is>
      </c>
      <c r="C6" t="n">
        <v>0.01</v>
      </c>
      <c r="D6" t="inlineStr">
        <is>
          <t>capacity_ratio</t>
        </is>
      </c>
      <c r="E6" t="n">
        <v>1.1</v>
      </c>
      <c r="F6" t="n">
        <v>1.4</v>
      </c>
      <c r="G6" t="n">
        <v/>
      </c>
      <c r="H6" t="n">
        <v/>
      </c>
    </row>
    <row r="7">
      <c r="A7" t="inlineStr">
        <is>
          <t>Biomass power</t>
        </is>
      </c>
      <c r="B7" t="inlineStr">
        <is>
          <t>Bioenergy</t>
        </is>
      </c>
      <c r="C7" t="n">
        <v>0.05</v>
      </c>
      <c r="D7" t="inlineStr">
        <is>
          <t>capacity_ratio</t>
        </is>
      </c>
      <c r="E7" t="n">
        <v>1.3</v>
      </c>
      <c r="F7" t="n">
        <v>2.2</v>
      </c>
      <c r="G7" t="n">
        <v/>
      </c>
      <c r="H7" t="n">
        <v/>
      </c>
    </row>
    <row r="8">
      <c r="A8" t="inlineStr">
        <is>
          <t>Geothermal power</t>
        </is>
      </c>
      <c r="B8" t="inlineStr">
        <is>
          <t>Geothermal</t>
        </is>
      </c>
      <c r="C8" t="n">
        <v>0.05</v>
      </c>
      <c r="D8" t="inlineStr">
        <is>
          <t>capacity_ratio</t>
        </is>
      </c>
      <c r="E8" t="n">
        <v>1.8</v>
      </c>
      <c r="F8" t="n">
        <v>4.2</v>
      </c>
      <c r="G8" t="n">
        <v/>
      </c>
      <c r="H8" t="n">
        <v/>
      </c>
    </row>
    <row r="9">
      <c r="A9" t="inlineStr">
        <is>
          <t>Battery storage (grid)</t>
        </is>
      </c>
      <c r="B9" t="inlineStr">
        <is>
          <t>Battery storage</t>
        </is>
      </c>
      <c r="C9" t="n">
        <v>0.1</v>
      </c>
      <c r="D9" t="inlineStr">
        <is>
          <t>capacity_ratio</t>
        </is>
      </c>
      <c r="E9" t="n">
        <v>6.5</v>
      </c>
      <c r="F9" t="n">
        <v>27.7</v>
      </c>
      <c r="G9" t="n">
        <v/>
      </c>
      <c r="H9" t="n">
        <v/>
      </c>
    </row>
    <row r="10">
      <c r="A10" t="inlineStr">
        <is>
          <t>Pumped hydro storage</t>
        </is>
      </c>
      <c r="B10" t="inlineStr">
        <is>
          <t>Hydro</t>
        </is>
      </c>
      <c r="C10" t="n">
        <v>0.01</v>
      </c>
      <c r="D10" t="inlineStr">
        <is>
          <t>capacity_ratio</t>
        </is>
      </c>
      <c r="E10" t="n">
        <v>1.1</v>
      </c>
      <c r="F10" t="n">
        <v>1.4</v>
      </c>
      <c r="G10" t="n">
        <v/>
      </c>
      <c r="H10" t="n">
        <v/>
      </c>
    </row>
    <row r="11">
      <c r="A11" t="inlineStr">
        <is>
          <t>Coal power</t>
        </is>
      </c>
      <c r="B11" t="inlineStr">
        <is>
          <t>Coal</t>
        </is>
      </c>
      <c r="C11" t="n">
        <v/>
      </c>
      <c r="D11" t="inlineStr">
        <is>
          <t>capex_ratio</t>
        </is>
      </c>
      <c r="E11" t="n">
        <v/>
      </c>
      <c r="F11" t="n">
        <v/>
      </c>
      <c r="G11" t="n">
        <v>0.95</v>
      </c>
      <c r="H11" t="n">
        <v>0.9</v>
      </c>
    </row>
    <row r="12">
      <c r="A12" t="inlineStr">
        <is>
          <t>Gas CCGT/OCGT</t>
        </is>
      </c>
      <c r="B12" t="inlineStr">
        <is>
          <t>Natural Gas</t>
        </is>
      </c>
      <c r="C12" t="n">
        <v/>
      </c>
      <c r="D12" t="inlineStr">
        <is>
          <t>capex_ratio</t>
        </is>
      </c>
      <c r="E12" t="n">
        <v/>
      </c>
      <c r="F12" t="n">
        <v/>
      </c>
      <c r="G12" t="n">
        <v>0.9399999999999999</v>
      </c>
      <c r="H12" t="n">
        <v>0.88</v>
      </c>
    </row>
    <row r="13">
      <c r="A13" t="inlineStr">
        <is>
          <t>Oil and diesel</t>
        </is>
      </c>
      <c r="B13" t="inlineStr">
        <is>
          <t>Natural Gas</t>
        </is>
      </c>
      <c r="C13" t="n">
        <v/>
      </c>
      <c r="D13" t="inlineStr">
        <is>
          <t>capex_ratio_proxy</t>
        </is>
      </c>
      <c r="E13" t="n">
        <v/>
      </c>
      <c r="F13" t="n">
        <v/>
      </c>
      <c r="G13" t="n">
        <v>0.9399999999999999</v>
      </c>
      <c r="H13" t="n">
        <v>0.88</v>
      </c>
    </row>
    <row r="14">
      <c r="A14" t="inlineStr">
        <is>
          <t>Nuclear</t>
        </is>
      </c>
      <c r="B14" t="inlineStr">
        <is>
          <t>Nuclear (Large Reactor)</t>
        </is>
      </c>
      <c r="C14" t="n">
        <v/>
      </c>
      <c r="D14" t="inlineStr">
        <is>
          <t>capex_ratio</t>
        </is>
      </c>
      <c r="E14" t="n">
        <v/>
      </c>
      <c r="F14" t="n">
        <v/>
      </c>
      <c r="G14" t="n">
        <v>0.9</v>
      </c>
      <c r="H14" t="n">
        <v>0.85</v>
      </c>
    </row>
    <row r="15">
      <c r="A15" t="inlineStr">
        <is>
          <t>Solar thermal/CSP</t>
        </is>
      </c>
      <c r="B15" t="inlineStr">
        <is>
          <t>CSP</t>
        </is>
      </c>
      <c r="C15" t="n">
        <v/>
      </c>
      <c r="D15" t="inlineStr">
        <is>
          <t>capacity_ratio</t>
        </is>
      </c>
      <c r="E15" t="n">
        <v>2.4</v>
      </c>
      <c r="F15" t="n">
        <v>12.3</v>
      </c>
      <c r="G15" t="n">
        <v/>
      </c>
      <c r="H15" t="n">
        <v/>
      </c>
    </row>
    <row r="16">
      <c r="A16" t="inlineStr">
        <is>
          <t>Ocean</t>
        </is>
      </c>
      <c r="B16" t="inlineStr">
        <is>
          <t>Ocean</t>
        </is>
      </c>
      <c r="C16" t="n">
        <v/>
      </c>
      <c r="D16" t="inlineStr">
        <is>
          <t>unmapped</t>
        </is>
      </c>
      <c r="E16" t="n">
        <v/>
      </c>
      <c r="F16" t="n">
        <v/>
      </c>
      <c r="G16" t="n">
        <v/>
      </c>
      <c r="H16" t="n">
        <v/>
      </c>
    </row>
    <row r="17">
      <c r="A17" t="inlineStr">
        <is>
          <t>Battery storage (distributed)</t>
        </is>
      </c>
      <c r="B17" t="inlineStr">
        <is>
          <t>Battery storage</t>
        </is>
      </c>
      <c r="C17" t="n">
        <v>0.1</v>
      </c>
      <c r="D17" t="inlineStr">
        <is>
          <t>capacity_ratio</t>
        </is>
      </c>
      <c r="E17" t="n">
        <v>6.5</v>
      </c>
      <c r="F17" t="n">
        <v>27.7</v>
      </c>
      <c r="G17" t="n">
        <v/>
      </c>
      <c r="H17" t="n"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5" customWidth="1" min="3" max="3"/>
    <col width="35" customWidth="1" min="4" max="4"/>
    <col width="35" customWidth="1" min="5" max="5"/>
    <col width="20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× (1 - decline_factor_2030)</t>
        </is>
      </c>
      <c r="D3" s="2" t="inlineStr">
        <is>
          <t>Latin America Table 9 coefficient</t>
        </is>
      </c>
      <c r="E3" t="inlineStr">
        <is>
          <t>n/a</t>
        </is>
      </c>
      <c r="F3" t="inlineStr">
        <is>
          <t>Solar PV</t>
        </is>
      </c>
      <c r="G3" t="inlineStr">
        <is>
          <t>Applied to Construction, Manufacturing, and O&amp;M rows from Rutovitz 2015</t>
        </is>
      </c>
    </row>
    <row r="4">
      <c r="B4" t="inlineStr">
        <is>
          <t>Learning curve</t>
        </is>
      </c>
      <c r="C4" t="inlineStr">
        <is>
          <t>EF_t = EF_2024 * (CapacityRatio_t)^(log2(1-LR))</t>
        </is>
      </c>
      <c r="D4" s="2" t="inlineStr">
        <is>
          <t>STEPS accumulated capacity ratio 2030</t>
        </is>
      </c>
      <c r="E4" s="2" t="inlineStr">
        <is>
          <t>STEPS accumulated capacity ratio 2050</t>
        </is>
      </c>
      <c r="F4" t="inlineStr">
        <is>
          <t>Onshore wind</t>
        </is>
      </c>
      <c r="G4" t="inlineStr">
        <is>
          <t>Used for Construction, Manufacturing, and Construction&amp;Manufacturing rows</t>
        </is>
      </c>
    </row>
    <row r="5">
      <c r="B5" t="inlineStr">
        <is>
          <t>CAPEX fallback</t>
        </is>
      </c>
      <c r="C5" t="inlineStr">
        <is>
          <t>EF_t = EF_2024 * (CAPEX_t / CAPEX_2024)</t>
        </is>
      </c>
      <c r="D5" s="2" t="inlineStr">
        <is>
          <t>2030/2024 CAPEX ratio</t>
        </is>
      </c>
      <c r="E5" s="2" t="inlineStr">
        <is>
          <t>2050/2024 CAPEX ratio</t>
        </is>
      </c>
      <c r="F5" t="inlineStr">
        <is>
          <t>Coal power</t>
        </is>
      </c>
      <c r="G5" t="inlineStr">
        <is>
          <t>Used where no catalogue learning-rate/capacity-ratio mapping exists</t>
        </is>
      </c>
    </row>
    <row r="6"/>
    <row r="7"/>
    <row r="8">
      <c r="B8" s="3" t="inlineStr">
        <is>
          <t>Key input block</t>
        </is>
      </c>
    </row>
    <row r="9">
      <c r="B9" s="1" t="inlineStr">
        <is>
          <t>Mapped tech</t>
        </is>
      </c>
      <c r="C9" s="1" t="inlineStr">
        <is>
          <t>Learning rate</t>
        </is>
      </c>
      <c r="D9" s="1" t="inlineStr">
        <is>
          <t>2030 ratio</t>
        </is>
      </c>
      <c r="E9" s="1" t="inlineStr">
        <is>
          <t>2050 ratio</t>
        </is>
      </c>
    </row>
    <row r="10">
      <c r="B10" t="inlineStr">
        <is>
          <t>Solar PV</t>
        </is>
      </c>
      <c r="C10" t="n">
        <v>0.2</v>
      </c>
      <c r="D10" t="n">
        <v>2.4</v>
      </c>
      <c r="E10" t="n">
        <v>6.5</v>
      </c>
    </row>
    <row r="11">
      <c r="B11" t="inlineStr">
        <is>
          <t>Wind onshore</t>
        </is>
      </c>
      <c r="C11" t="n">
        <v>0.05</v>
      </c>
      <c r="D11" t="n">
        <v>1.7</v>
      </c>
      <c r="E11" t="n">
        <v>2.9</v>
      </c>
    </row>
    <row r="12">
      <c r="B12" t="inlineStr">
        <is>
          <t>Wind offshore</t>
        </is>
      </c>
      <c r="C12" t="n">
        <v>0.15</v>
      </c>
      <c r="D12" t="n">
        <v>3</v>
      </c>
      <c r="E12" t="n">
        <v>8.800000000000001</v>
      </c>
    </row>
    <row r="13">
      <c r="B13" t="inlineStr">
        <is>
          <t>Hydro</t>
        </is>
      </c>
      <c r="C13" t="n">
        <v>0.01</v>
      </c>
      <c r="D13" t="n">
        <v>1.1</v>
      </c>
      <c r="E13" t="n">
        <v>1.4</v>
      </c>
    </row>
    <row r="14">
      <c r="B14" t="inlineStr">
        <is>
          <t>Bioenergy</t>
        </is>
      </c>
      <c r="C14" t="n">
        <v>0.05</v>
      </c>
      <c r="D14" t="n">
        <v>1.3</v>
      </c>
      <c r="E14" t="n">
        <v>2.2</v>
      </c>
    </row>
    <row r="15">
      <c r="B15" t="inlineStr">
        <is>
          <t>Geothermal</t>
        </is>
      </c>
      <c r="C15" t="n">
        <v>0.05</v>
      </c>
      <c r="D15" t="n">
        <v>1.8</v>
      </c>
      <c r="E15" t="n">
        <v>4.2</v>
      </c>
    </row>
    <row r="16">
      <c r="B16" t="inlineStr">
        <is>
          <t>Battery storage</t>
        </is>
      </c>
      <c r="C16" t="n">
        <v>0.1</v>
      </c>
      <c r="D16" t="n">
        <v>6.5</v>
      </c>
      <c r="E16" t="n">
        <v>27.7</v>
      </c>
    </row>
    <row r="17">
      <c r="B17" t="inlineStr">
        <is>
          <t>Coal CAPEX ratio</t>
        </is>
      </c>
      <c r="C17" t="inlineStr"/>
      <c r="D17" t="n">
        <v>0.95</v>
      </c>
      <c r="E17" t="n">
        <v>0.9</v>
      </c>
    </row>
    <row r="18">
      <c r="B18" t="inlineStr">
        <is>
          <t>Natural Gas CAPEX ratio</t>
        </is>
      </c>
      <c r="C18" t="inlineStr"/>
      <c r="D18" t="n">
        <v>0.9399999999999999</v>
      </c>
      <c r="E18" t="n">
        <v>0.88</v>
      </c>
    </row>
    <row r="19">
      <c r="B19" t="inlineStr">
        <is>
          <t>Nuclear CAPEX ratio</t>
        </is>
      </c>
      <c r="C19" t="inlineStr"/>
      <c r="D19" t="n">
        <v>0.9</v>
      </c>
      <c r="E19" t="n">
        <v>0.85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4" customWidth="1" min="7" max="7"/>
    <col width="21" customWidth="1" min="8" max="8"/>
    <col width="35" customWidth="1" min="9" max="9"/>
    <col width="22" customWidth="1" min="10" max="10"/>
    <col width="35" customWidth="1" min="11" max="11"/>
    <col width="23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 t="n">
        <v>3.340547297988359</v>
      </c>
      <c r="H3" t="n">
        <v>3.340547297988359</v>
      </c>
      <c r="I3" t="inlineStr">
        <is>
          <t>Learning curve from cumulative capacity ratio</t>
        </is>
      </c>
      <c r="J3" t="inlineStr"/>
      <c r="K3" t="inlineStr"/>
      <c r="L3" t="inlineStr">
        <is>
          <t>Battery storage</t>
        </is>
      </c>
      <c r="M3" t="n">
        <v>0.1</v>
      </c>
      <c r="N3" t="inlineStr">
        <is>
          <t>STEPS capacity ratio=6.5</t>
        </is>
      </c>
      <c r="O3" t="n">
        <v>2024</v>
      </c>
      <c r="P3" t="n">
        <v>2030</v>
      </c>
      <c r="Q3" t="n">
        <v>3.340547297988359</v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 t="n">
        <v>2.679918476838801</v>
      </c>
      <c r="H4" t="n">
        <v>2.679918476838801</v>
      </c>
      <c r="I4" t="inlineStr">
        <is>
          <t>Learning curve from cumulative capacity ratio</t>
        </is>
      </c>
      <c r="J4" t="inlineStr"/>
      <c r="K4" t="inlineStr"/>
      <c r="L4" t="inlineStr">
        <is>
          <t>Battery storage</t>
        </is>
      </c>
      <c r="M4" t="n">
        <v>0.1</v>
      </c>
      <c r="N4" t="inlineStr">
        <is>
          <t>STEPS capacity ratio=27.7</t>
        </is>
      </c>
      <c r="O4" t="n">
        <v>2024</v>
      </c>
      <c r="P4" t="n">
        <v>2050</v>
      </c>
      <c r="Q4" t="n">
        <v>2.679918476838801</v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 t="inlineStr">
        <is>
          <t>0.31</t>
        </is>
      </c>
      <c r="H5" t="n">
        <v>0.31</v>
      </c>
      <c r="I5" t="inlineStr">
        <is>
          <t>Original</t>
        </is>
      </c>
      <c r="J5" t="inlineStr"/>
      <c r="K5" t="inlineStr"/>
      <c r="L5" t="inlineStr"/>
      <c r="M5" t="inlineStr"/>
      <c r="N5" t="inlineStr"/>
      <c r="O5" t="n">
        <v>2024</v>
      </c>
      <c r="P5" t="n">
        <v>2024</v>
      </c>
      <c r="Q5" t="n">
        <v>0.31</v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 t="n">
        <v>0.2332364104451332</v>
      </c>
      <c r="H6" t="n">
        <v>0.2332364104451332</v>
      </c>
      <c r="I6" t="inlineStr">
        <is>
          <t>Learning curve from cumulative capacity ratio</t>
        </is>
      </c>
      <c r="J6" t="inlineStr"/>
      <c r="K6" t="inlineStr"/>
      <c r="L6" t="inlineStr">
        <is>
          <t>Battery storage</t>
        </is>
      </c>
      <c r="M6" t="n">
        <v>0.1</v>
      </c>
      <c r="N6" t="inlineStr">
        <is>
          <t>STEPS capacity ratio=6.5</t>
        </is>
      </c>
      <c r="O6" t="n">
        <v>2024</v>
      </c>
      <c r="P6" t="n">
        <v>2030</v>
      </c>
      <c r="Q6" t="n">
        <v>0.2332364104451332</v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 t="n">
        <v>0.187111425184691</v>
      </c>
      <c r="H7" t="n">
        <v>0.187111425184691</v>
      </c>
      <c r="I7" t="inlineStr">
        <is>
          <t>Learning curve from cumulative capacity ratio</t>
        </is>
      </c>
      <c r="J7" t="inlineStr"/>
      <c r="K7" t="inlineStr"/>
      <c r="L7" t="inlineStr">
        <is>
          <t>Battery storage</t>
        </is>
      </c>
      <c r="M7" t="n">
        <v>0.1</v>
      </c>
      <c r="N7" t="inlineStr">
        <is>
          <t>STEPS capacity ratio=27.7</t>
        </is>
      </c>
      <c r="O7" t="n">
        <v>2024</v>
      </c>
      <c r="P7" t="n">
        <v>2050</v>
      </c>
      <c r="Q7" t="n">
        <v>0.187111425184691</v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O&amp;M</t>
        </is>
      </c>
      <c r="D8" t="inlineStr">
        <is>
          <t>Direct</t>
        </is>
      </c>
      <c r="E8" t="inlineStr">
        <is>
          <t>job/MW</t>
        </is>
      </c>
      <c r="F8" t="n">
        <v>2024</v>
      </c>
      <c r="G8" t="inlineStr">
        <is>
          <t>0.23</t>
        </is>
      </c>
      <c r="H8" t="n">
        <v>0.23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0.23</v>
      </c>
    </row>
    <row r="9">
      <c r="A9" t="inlineStr">
        <is>
          <t>Rutovitz 2025</t>
        </is>
      </c>
      <c r="B9" t="inlineStr">
        <is>
          <t>Battery storage (grid)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2024</v>
      </c>
      <c r="G9" t="inlineStr">
        <is>
          <t>0.53</t>
        </is>
      </c>
      <c r="H9" t="n">
        <v>0.53</v>
      </c>
      <c r="I9" t="inlineStr">
        <is>
          <t>Original</t>
        </is>
      </c>
      <c r="J9" t="inlineStr"/>
      <c r="K9" t="inlineStr"/>
      <c r="L9" t="inlineStr"/>
      <c r="M9" t="inlineStr"/>
      <c r="N9" t="inlineStr"/>
      <c r="O9" t="n">
        <v>2024</v>
      </c>
      <c r="P9" t="n">
        <v>2024</v>
      </c>
      <c r="Q9" t="n">
        <v>0.53</v>
      </c>
    </row>
    <row r="10">
      <c r="A10" t="inlineStr">
        <is>
          <t>Rutovitz 2025</t>
        </is>
      </c>
      <c r="B10" t="inlineStr">
        <is>
          <t>Battery storage (grid)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2030</v>
      </c>
      <c r="G10" t="n">
        <v>0.3987590243094212</v>
      </c>
      <c r="H10" t="n">
        <v>0.3987590243094212</v>
      </c>
      <c r="I10" t="inlineStr">
        <is>
          <t>Learning curve from cumulative capacity ratio</t>
        </is>
      </c>
      <c r="J10" t="inlineStr"/>
      <c r="K10" t="inlineStr"/>
      <c r="L10" t="inlineStr">
        <is>
          <t>Battery storage</t>
        </is>
      </c>
      <c r="M10" t="n">
        <v>0.1</v>
      </c>
      <c r="N10" t="inlineStr">
        <is>
          <t>STEPS capacity ratio=6.5</t>
        </is>
      </c>
      <c r="O10" t="n">
        <v>2024</v>
      </c>
      <c r="P10" t="n">
        <v>2030</v>
      </c>
      <c r="Q10" t="n">
        <v>0.3987590243094212</v>
      </c>
    </row>
    <row r="11">
      <c r="A11" t="inlineStr">
        <is>
          <t>Rutovitz 2025</t>
        </is>
      </c>
      <c r="B11" t="inlineStr">
        <is>
          <t>Battery storage (grid)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2050</v>
      </c>
      <c r="G11" t="n">
        <v>0.3199001785415685</v>
      </c>
      <c r="H11" t="n">
        <v>0.3199001785415685</v>
      </c>
      <c r="I11" t="inlineStr">
        <is>
          <t>Learning curve from cumulative capacity ratio</t>
        </is>
      </c>
      <c r="J11" t="inlineStr"/>
      <c r="K11" t="inlineStr"/>
      <c r="L11" t="inlineStr">
        <is>
          <t>Battery storage</t>
        </is>
      </c>
      <c r="M11" t="n">
        <v>0.1</v>
      </c>
      <c r="N11" t="inlineStr">
        <is>
          <t>STEPS capacity ratio=27.7</t>
        </is>
      </c>
      <c r="O11" t="n">
        <v>2024</v>
      </c>
      <c r="P11" t="n">
        <v>2050</v>
      </c>
      <c r="Q11" t="n">
        <v>0.3199001785415685</v>
      </c>
    </row>
    <row r="12">
      <c r="A12" t="inlineStr">
        <is>
          <t>Rutovitz 2025</t>
        </is>
      </c>
      <c r="B12" t="inlineStr">
        <is>
          <t>Battery storage (grid)</t>
        </is>
      </c>
      <c r="C12" t="inlineStr">
        <is>
          <t>Manufacturing</t>
        </is>
      </c>
      <c r="D12" t="inlineStr">
        <is>
          <t>Direct</t>
        </is>
      </c>
      <c r="E12" t="inlineStr">
        <is>
          <t>job-yr/MW</t>
        </is>
      </c>
      <c r="F12" t="n">
        <v>2024</v>
      </c>
      <c r="G12" t="inlineStr">
        <is>
          <t>0.31</t>
        </is>
      </c>
      <c r="H12" t="n">
        <v>0.31</v>
      </c>
      <c r="I12" t="inlineStr">
        <is>
          <t>Original</t>
        </is>
      </c>
      <c r="J12" t="inlineStr"/>
      <c r="K12" t="inlineStr"/>
      <c r="L12" t="inlineStr"/>
      <c r="M12" t="inlineStr"/>
      <c r="N12" t="inlineStr"/>
      <c r="O12" t="n">
        <v>2024</v>
      </c>
      <c r="P12" t="n">
        <v>2024</v>
      </c>
      <c r="Q12" t="n">
        <v>0.31</v>
      </c>
    </row>
    <row r="13">
      <c r="A13" t="inlineStr">
        <is>
          <t>Rutovitz 2025</t>
        </is>
      </c>
      <c r="B13" t="inlineStr">
        <is>
          <t>Battery storage (grid)</t>
        </is>
      </c>
      <c r="C13" t="inlineStr">
        <is>
          <t>Manufacturing</t>
        </is>
      </c>
      <c r="D13" t="inlineStr">
        <is>
          <t>Direct</t>
        </is>
      </c>
      <c r="E13" t="inlineStr">
        <is>
          <t>job-yr/MW</t>
        </is>
      </c>
      <c r="F13" t="n">
        <v>2030</v>
      </c>
      <c r="G13" t="n">
        <v>0.2332364104451332</v>
      </c>
      <c r="H13" t="n">
        <v>0.2332364104451332</v>
      </c>
      <c r="I13" t="inlineStr">
        <is>
          <t>Learning curve from cumulative capacity ratio</t>
        </is>
      </c>
      <c r="J13" t="inlineStr"/>
      <c r="K13" t="inlineStr"/>
      <c r="L13" t="inlineStr">
        <is>
          <t>Battery storage</t>
        </is>
      </c>
      <c r="M13" t="n">
        <v>0.1</v>
      </c>
      <c r="N13" t="inlineStr">
        <is>
          <t>STEPS capacity ratio=6.5</t>
        </is>
      </c>
      <c r="O13" t="n">
        <v>2024</v>
      </c>
      <c r="P13" t="n">
        <v>2030</v>
      </c>
      <c r="Q13" t="n">
        <v>0.2332364104451332</v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Manufacturing</t>
        </is>
      </c>
      <c r="D14" t="inlineStr">
        <is>
          <t>Direct</t>
        </is>
      </c>
      <c r="E14" t="inlineStr">
        <is>
          <t>job-yr/MW</t>
        </is>
      </c>
      <c r="F14" t="n">
        <v>2050</v>
      </c>
      <c r="G14" t="n">
        <v>0.187111425184691</v>
      </c>
      <c r="H14" t="n">
        <v>0.187111425184691</v>
      </c>
      <c r="I14" t="inlineStr">
        <is>
          <t>Learning curve from cumulative capacity ratio</t>
        </is>
      </c>
      <c r="J14" t="inlineStr"/>
      <c r="K14" t="inlineStr"/>
      <c r="L14" t="inlineStr">
        <is>
          <t>Battery storage</t>
        </is>
      </c>
      <c r="M14" t="n">
        <v>0.1</v>
      </c>
      <c r="N14" t="inlineStr">
        <is>
          <t>STEPS capacity ratio=27.7</t>
        </is>
      </c>
      <c r="O14" t="n">
        <v>2024</v>
      </c>
      <c r="P14" t="n">
        <v>2050</v>
      </c>
      <c r="Q14" t="n">
        <v>0.187111425184691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O&amp;M</t>
        </is>
      </c>
      <c r="D15" t="inlineStr">
        <is>
          <t>Direct</t>
        </is>
      </c>
      <c r="E15" t="inlineStr">
        <is>
          <t>job/MW</t>
        </is>
      </c>
      <c r="F15" t="n">
        <v>2024</v>
      </c>
      <c r="G15" t="inlineStr">
        <is>
          <t>0.03</t>
        </is>
      </c>
      <c r="H15" t="n">
        <v>0.03</v>
      </c>
      <c r="I15" t="inlineStr">
        <is>
          <t>Original</t>
        </is>
      </c>
      <c r="J15" t="inlineStr"/>
      <c r="K15" t="inlineStr"/>
      <c r="L15" t="inlineStr"/>
      <c r="M15" t="inlineStr"/>
      <c r="N15" t="inlineStr"/>
      <c r="O15" t="n">
        <v>2024</v>
      </c>
      <c r="P15" t="n">
        <v>2024</v>
      </c>
      <c r="Q15" t="n">
        <v>0.03</v>
      </c>
    </row>
    <row r="16">
      <c r="A16" t="inlineStr">
        <is>
          <t>Rutovitz 2015</t>
        </is>
      </c>
      <c r="B16" t="inlineStr">
        <is>
          <t>Biomass power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2015</v>
      </c>
      <c r="G16" t="inlineStr">
        <is>
          <t>14</t>
        </is>
      </c>
      <c r="H16" t="n">
        <v>14</v>
      </c>
      <c r="I16" t="inlineStr">
        <is>
          <t>Original</t>
        </is>
      </c>
      <c r="J16" t="inlineStr"/>
      <c r="K16" t="inlineStr"/>
      <c r="L16" t="inlineStr"/>
      <c r="M16" t="inlineStr"/>
      <c r="N16" t="inlineStr"/>
      <c r="O16" t="n">
        <v>2015</v>
      </c>
      <c r="P16" t="n">
        <v>2015</v>
      </c>
      <c r="Q16" t="n">
        <v>14</v>
      </c>
    </row>
    <row r="17">
      <c r="A17" t="inlineStr">
        <is>
          <t>Rutovitz 2015</t>
        </is>
      </c>
      <c r="B17" t="inlineStr">
        <is>
          <t>Biomass power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2030</v>
      </c>
      <c r="G17">
        <f>G16*K17</f>
        <v/>
      </c>
      <c r="H17">
        <f>H16*K17</f>
        <v/>
      </c>
      <c r="I17" t="inlineStr">
        <is>
          <t>Rutovitz Table 9 decline to 2030</t>
        </is>
      </c>
      <c r="J17" t="inlineStr">
        <is>
          <t>Biomass</t>
        </is>
      </c>
      <c r="K17">
        <f>INDEX(Mappings_Rutovitz!$D$2:$D$14,MATCH(J17,Mappings_Rutovitz!$B$2:$B$14,0))</f>
        <v/>
      </c>
      <c r="L17" t="inlineStr"/>
      <c r="M17" t="inlineStr"/>
      <c r="N17" t="inlineStr">
        <is>
          <t>Rutovitz Table 9 Latin America 2030</t>
        </is>
      </c>
      <c r="O17" t="n">
        <v>2015</v>
      </c>
      <c r="P17" t="n">
        <v>2030</v>
      </c>
      <c r="Q17">
        <f>Q16*K17</f>
        <v/>
      </c>
    </row>
    <row r="18">
      <c r="A18" t="inlineStr">
        <is>
          <t>I-JEDI</t>
        </is>
      </c>
      <c r="B18" t="inlineStr">
        <is>
          <t>Biomass power</t>
        </is>
      </c>
      <c r="C18" t="inlineStr">
        <is>
          <t>Construction&amp;Manufacturing</t>
        </is>
      </c>
      <c r="D18" t="inlineStr">
        <is>
          <t>Direct</t>
        </is>
      </c>
      <c r="E18" t="inlineStr">
        <is>
          <t>job-yr/MW</t>
        </is>
      </c>
      <c r="F18" t="n">
        <v>2024</v>
      </c>
      <c r="G18" t="inlineStr">
        <is>
          <t>22.523</t>
        </is>
      </c>
      <c r="H18" t="n">
        <v>22.523</v>
      </c>
      <c r="I18" t="inlineStr">
        <is>
          <t>Original</t>
        </is>
      </c>
      <c r="J18" t="inlineStr"/>
      <c r="K18" t="inlineStr"/>
      <c r="L18" t="inlineStr"/>
      <c r="M18" t="inlineStr"/>
      <c r="N18" t="inlineStr"/>
      <c r="O18" t="n">
        <v>2024</v>
      </c>
      <c r="P18" t="n">
        <v>2024</v>
      </c>
      <c r="Q18" t="n">
        <v>22.523</v>
      </c>
    </row>
    <row r="19">
      <c r="A19" t="inlineStr">
        <is>
          <t>I-JEDI</t>
        </is>
      </c>
      <c r="B19" t="inlineStr">
        <is>
          <t>Biomass power</t>
        </is>
      </c>
      <c r="C19" t="inlineStr">
        <is>
          <t>Construction&amp;Manufacturing</t>
        </is>
      </c>
      <c r="D19" t="inlineStr">
        <is>
          <t>Direct</t>
        </is>
      </c>
      <c r="E19" t="inlineStr">
        <is>
          <t>job-yr/MW</t>
        </is>
      </c>
      <c r="F19" t="n">
        <v>2030</v>
      </c>
      <c r="G19" t="n">
        <v>22.08993116251039</v>
      </c>
      <c r="H19" t="n">
        <v>22.08993116251039</v>
      </c>
      <c r="I19" t="inlineStr">
        <is>
          <t>Learning curve from cumulative capacity ratio</t>
        </is>
      </c>
      <c r="J19" t="inlineStr"/>
      <c r="K19" t="inlineStr"/>
      <c r="L19" t="inlineStr">
        <is>
          <t>Bioenergy</t>
        </is>
      </c>
      <c r="M19" t="n">
        <v>0.05</v>
      </c>
      <c r="N19" t="inlineStr">
        <is>
          <t>STEPS capacity ratio=1.3</t>
        </is>
      </c>
      <c r="O19" t="n">
        <v>2024</v>
      </c>
      <c r="P19" t="n">
        <v>2030</v>
      </c>
      <c r="Q19" t="n">
        <v>22.08993116251039</v>
      </c>
    </row>
    <row r="20">
      <c r="A20" t="inlineStr">
        <is>
          <t>I-JEDI</t>
        </is>
      </c>
      <c r="B20" t="inlineStr">
        <is>
          <t>Biomass power</t>
        </is>
      </c>
      <c r="C20" t="inlineStr">
        <is>
          <t>Construction&amp;Manufacturing</t>
        </is>
      </c>
      <c r="D20" t="inlineStr">
        <is>
          <t>Direct</t>
        </is>
      </c>
      <c r="E20" t="inlineStr">
        <is>
          <t>job-yr/MW</t>
        </is>
      </c>
      <c r="F20" t="n">
        <v>2050</v>
      </c>
      <c r="G20" t="n">
        <v>21.24646877374636</v>
      </c>
      <c r="H20" t="n">
        <v>21.24646877374636</v>
      </c>
      <c r="I20" t="inlineStr">
        <is>
          <t>Learning curve from cumulative capacity ratio</t>
        </is>
      </c>
      <c r="J20" t="inlineStr"/>
      <c r="K20" t="inlineStr"/>
      <c r="L20" t="inlineStr">
        <is>
          <t>Bioenergy</t>
        </is>
      </c>
      <c r="M20" t="n">
        <v>0.05</v>
      </c>
      <c r="N20" t="inlineStr">
        <is>
          <t>STEPS capacity ratio=2.2</t>
        </is>
      </c>
      <c r="O20" t="n">
        <v>2024</v>
      </c>
      <c r="P20" t="n">
        <v>2050</v>
      </c>
      <c r="Q20" t="n">
        <v>21.24646877374636</v>
      </c>
    </row>
    <row r="21">
      <c r="A21" t="inlineStr">
        <is>
          <t>I-JEDI</t>
        </is>
      </c>
      <c r="B21" t="inlineStr">
        <is>
          <t>Biomass power</t>
        </is>
      </c>
      <c r="C21" t="inlineStr">
        <is>
          <t>Construction&amp;Manufacturing</t>
        </is>
      </c>
      <c r="D21" t="inlineStr">
        <is>
          <t>Indirect</t>
        </is>
      </c>
      <c r="E21" t="inlineStr">
        <is>
          <t>job-yr/MW</t>
        </is>
      </c>
      <c r="F21" t="n">
        <v>2024</v>
      </c>
      <c r="G21" t="inlineStr">
        <is>
          <t>12.506</t>
        </is>
      </c>
      <c r="H21" t="n">
        <v>12.506</v>
      </c>
      <c r="I21" t="inlineStr">
        <is>
          <t>Original</t>
        </is>
      </c>
      <c r="J21" t="inlineStr"/>
      <c r="K21" t="inlineStr"/>
      <c r="L21" t="inlineStr"/>
      <c r="M21" t="inlineStr"/>
      <c r="N21" t="inlineStr"/>
      <c r="O21" t="n">
        <v>2024</v>
      </c>
      <c r="P21" t="n">
        <v>2024</v>
      </c>
      <c r="Q21" t="n">
        <v>12.506</v>
      </c>
    </row>
    <row r="22">
      <c r="A22" t="inlineStr">
        <is>
          <t>I-JEDI</t>
        </is>
      </c>
      <c r="B22" t="inlineStr">
        <is>
          <t>Biomass power</t>
        </is>
      </c>
      <c r="C22" t="inlineStr">
        <is>
          <t>Construction&amp;Manufacturing</t>
        </is>
      </c>
      <c r="D22" t="inlineStr">
        <is>
          <t>Indirect</t>
        </is>
      </c>
      <c r="E22" t="inlineStr">
        <is>
          <t>job-yr/MW</t>
        </is>
      </c>
      <c r="F22" t="n">
        <v>2030</v>
      </c>
      <c r="G22" t="n">
        <v>12.26553652348066</v>
      </c>
      <c r="H22" t="n">
        <v>12.26553652348066</v>
      </c>
      <c r="I22" t="inlineStr">
        <is>
          <t>Learning curve from cumulative capacity ratio</t>
        </is>
      </c>
      <c r="J22" t="inlineStr"/>
      <c r="K22" t="inlineStr"/>
      <c r="L22" t="inlineStr">
        <is>
          <t>Bioenergy</t>
        </is>
      </c>
      <c r="M22" t="n">
        <v>0.05</v>
      </c>
      <c r="N22" t="inlineStr">
        <is>
          <t>STEPS capacity ratio=1.3</t>
        </is>
      </c>
      <c r="O22" t="n">
        <v>2024</v>
      </c>
      <c r="P22" t="n">
        <v>2030</v>
      </c>
      <c r="Q22" t="n">
        <v>12.26553652348066</v>
      </c>
    </row>
    <row r="23">
      <c r="A23" t="inlineStr">
        <is>
          <t>I-JEDI</t>
        </is>
      </c>
      <c r="B23" t="inlineStr">
        <is>
          <t>Biomass power</t>
        </is>
      </c>
      <c r="C23" t="inlineStr">
        <is>
          <t>Construction&amp;Manufacturing</t>
        </is>
      </c>
      <c r="D23" t="inlineStr">
        <is>
          <t>Indirect</t>
        </is>
      </c>
      <c r="E23" t="inlineStr">
        <is>
          <t>job-yr/MW</t>
        </is>
      </c>
      <c r="F23" t="n">
        <v>2050</v>
      </c>
      <c r="G23" t="n">
        <v>11.79720012806784</v>
      </c>
      <c r="H23" t="n">
        <v>11.79720012806784</v>
      </c>
      <c r="I23" t="inlineStr">
        <is>
          <t>Learning curve from cumulative capacity ratio</t>
        </is>
      </c>
      <c r="J23" t="inlineStr"/>
      <c r="K23" t="inlineStr"/>
      <c r="L23" t="inlineStr">
        <is>
          <t>Bioenergy</t>
        </is>
      </c>
      <c r="M23" t="n">
        <v>0.05</v>
      </c>
      <c r="N23" t="inlineStr">
        <is>
          <t>STEPS capacity ratio=2.2</t>
        </is>
      </c>
      <c r="O23" t="n">
        <v>2024</v>
      </c>
      <c r="P23" t="n">
        <v>2050</v>
      </c>
      <c r="Q23" t="n">
        <v>11.79720012806784</v>
      </c>
    </row>
    <row r="24">
      <c r="A24" t="inlineStr">
        <is>
          <t>I-JEDI</t>
        </is>
      </c>
      <c r="B24" t="inlineStr">
        <is>
          <t>Biomass power</t>
        </is>
      </c>
      <c r="C24" t="inlineStr">
        <is>
          <t>Construction&amp;Manufacturing</t>
        </is>
      </c>
      <c r="D24" t="inlineStr">
        <is>
          <t>Induced</t>
        </is>
      </c>
      <c r="E24" t="inlineStr">
        <is>
          <t>job-yr/MW</t>
        </is>
      </c>
      <c r="F24" t="n">
        <v>2024</v>
      </c>
      <c r="G24" t="inlineStr">
        <is>
          <t>16.497</t>
        </is>
      </c>
      <c r="H24" t="n">
        <v>16.497</v>
      </c>
      <c r="I24" t="inlineStr">
        <is>
          <t>Original</t>
        </is>
      </c>
      <c r="J24" t="inlineStr"/>
      <c r="K24" t="inlineStr"/>
      <c r="L24" t="inlineStr"/>
      <c r="M24" t="inlineStr"/>
      <c r="N24" t="inlineStr"/>
      <c r="O24" t="n">
        <v>2024</v>
      </c>
      <c r="P24" t="n">
        <v>2024</v>
      </c>
      <c r="Q24" t="n">
        <v>16.497</v>
      </c>
    </row>
    <row r="25">
      <c r="A25" t="inlineStr">
        <is>
          <t>I-JEDI</t>
        </is>
      </c>
      <c r="B25" t="inlineStr">
        <is>
          <t>Biomass power</t>
        </is>
      </c>
      <c r="C25" t="inlineStr">
        <is>
          <t>Construction&amp;Manufacturing</t>
        </is>
      </c>
      <c r="D25" t="inlineStr">
        <is>
          <t>Induced</t>
        </is>
      </c>
      <c r="E25" t="inlineStr">
        <is>
          <t>job-yr/MW</t>
        </is>
      </c>
      <c r="F25" t="n">
        <v>2030</v>
      </c>
      <c r="G25" t="n">
        <v>16.17979817910287</v>
      </c>
      <c r="H25" t="n">
        <v>16.17979817910287</v>
      </c>
      <c r="I25" t="inlineStr">
        <is>
          <t>Learning curve from cumulative capacity ratio</t>
        </is>
      </c>
      <c r="J25" t="inlineStr"/>
      <c r="K25" t="inlineStr"/>
      <c r="L25" t="inlineStr">
        <is>
          <t>Bioenergy</t>
        </is>
      </c>
      <c r="M25" t="n">
        <v>0.05</v>
      </c>
      <c r="N25" t="inlineStr">
        <is>
          <t>STEPS capacity ratio=1.3</t>
        </is>
      </c>
      <c r="O25" t="n">
        <v>2024</v>
      </c>
      <c r="P25" t="n">
        <v>2030</v>
      </c>
      <c r="Q25" t="n">
        <v>16.17979817910287</v>
      </c>
    </row>
    <row r="26">
      <c r="A26" t="inlineStr">
        <is>
          <t>I-JEDI</t>
        </is>
      </c>
      <c r="B26" t="inlineStr">
        <is>
          <t>Biomass power</t>
        </is>
      </c>
      <c r="C26" t="inlineStr">
        <is>
          <t>Construction&amp;Manufacturing</t>
        </is>
      </c>
      <c r="D26" t="inlineStr">
        <is>
          <t>Induced</t>
        </is>
      </c>
      <c r="E26" t="inlineStr">
        <is>
          <t>job-yr/MW</t>
        </is>
      </c>
      <c r="F26" t="n">
        <v>2050</v>
      </c>
      <c r="G26" t="n">
        <v>15.56200307954063</v>
      </c>
      <c r="H26" t="n">
        <v>15.56200307954063</v>
      </c>
      <c r="I26" t="inlineStr">
        <is>
          <t>Learning curve from cumulative capacity ratio</t>
        </is>
      </c>
      <c r="J26" t="inlineStr"/>
      <c r="K26" t="inlineStr"/>
      <c r="L26" t="inlineStr">
        <is>
          <t>Bioenergy</t>
        </is>
      </c>
      <c r="M26" t="n">
        <v>0.05</v>
      </c>
      <c r="N26" t="inlineStr">
        <is>
          <t>STEPS capacity ratio=2.2</t>
        </is>
      </c>
      <c r="O26" t="n">
        <v>2024</v>
      </c>
      <c r="P26" t="n">
        <v>2050</v>
      </c>
      <c r="Q26" t="n">
        <v>15.56200307954063</v>
      </c>
    </row>
    <row r="27">
      <c r="A27" t="inlineStr">
        <is>
          <t>Rutovitz 2015</t>
        </is>
      </c>
      <c r="B27" t="inlineStr">
        <is>
          <t>Biomass power</t>
        </is>
      </c>
      <c r="C27" t="inlineStr">
        <is>
          <t>Fuel</t>
        </is>
      </c>
      <c r="D27" t="inlineStr">
        <is>
          <t>Fuel</t>
        </is>
      </c>
      <c r="E27" t="inlineStr">
        <is>
          <t>job/PJ</t>
        </is>
      </c>
      <c r="F27" t="n">
        <v>2015</v>
      </c>
      <c r="G27" t="inlineStr">
        <is>
          <t>81.1 jobs/PJ</t>
        </is>
      </c>
      <c r="H27" t="n">
        <v>81.09999999999999</v>
      </c>
      <c r="I27" t="inlineStr">
        <is>
          <t>Original</t>
        </is>
      </c>
      <c r="J27" t="inlineStr"/>
      <c r="K27" t="inlineStr"/>
      <c r="L27" t="inlineStr"/>
      <c r="M27" t="inlineStr"/>
      <c r="N27" t="inlineStr"/>
      <c r="O27" t="n">
        <v>2015</v>
      </c>
      <c r="P27" t="n">
        <v>2015</v>
      </c>
      <c r="Q27" t="n">
        <v>81.09999999999999</v>
      </c>
    </row>
    <row r="28">
      <c r="A28" t="inlineStr">
        <is>
          <t>Rutovitz 2015</t>
        </is>
      </c>
      <c r="B28" t="inlineStr">
        <is>
          <t>Biomass power</t>
        </is>
      </c>
      <c r="C28" t="inlineStr">
        <is>
          <t>Manufacturing</t>
        </is>
      </c>
      <c r="D28" t="inlineStr">
        <is>
          <t>Direct</t>
        </is>
      </c>
      <c r="E28" t="inlineStr">
        <is>
          <t>job-yr/MW</t>
        </is>
      </c>
      <c r="F28" t="n">
        <v>2015</v>
      </c>
      <c r="G28" t="inlineStr">
        <is>
          <t>2.9</t>
        </is>
      </c>
      <c r="H28" t="n">
        <v>2.9</v>
      </c>
      <c r="I28" t="inlineStr">
        <is>
          <t>Original</t>
        </is>
      </c>
      <c r="J28" t="inlineStr"/>
      <c r="K28" t="inlineStr"/>
      <c r="L28" t="inlineStr"/>
      <c r="M28" t="inlineStr"/>
      <c r="N28" t="inlineStr"/>
      <c r="O28" t="n">
        <v>2015</v>
      </c>
      <c r="P28" t="n">
        <v>2015</v>
      </c>
      <c r="Q28" t="n">
        <v>2.9</v>
      </c>
    </row>
    <row r="29">
      <c r="A29" t="inlineStr">
        <is>
          <t>Rutovitz 2015</t>
        </is>
      </c>
      <c r="B29" t="inlineStr">
        <is>
          <t>Biomass power</t>
        </is>
      </c>
      <c r="C29" t="inlineStr">
        <is>
          <t>Manufacturing</t>
        </is>
      </c>
      <c r="D29" t="inlineStr">
        <is>
          <t>Direct</t>
        </is>
      </c>
      <c r="E29" t="inlineStr">
        <is>
          <t>job-yr/MW</t>
        </is>
      </c>
      <c r="F29" t="n">
        <v>2030</v>
      </c>
      <c r="G29">
        <f>G28*K29</f>
        <v/>
      </c>
      <c r="H29">
        <f>H28*K29</f>
        <v/>
      </c>
      <c r="I29" t="inlineStr">
        <is>
          <t>Rutovitz Table 9 decline to 2030</t>
        </is>
      </c>
      <c r="J29" t="inlineStr">
        <is>
          <t>Biomass</t>
        </is>
      </c>
      <c r="K29">
        <f>INDEX(Mappings_Rutovitz!$D$2:$D$14,MATCH(J29,Mappings_Rutovitz!$B$2:$B$14,0))</f>
        <v/>
      </c>
      <c r="L29" t="inlineStr"/>
      <c r="M29" t="inlineStr"/>
      <c r="N29" t="inlineStr">
        <is>
          <t>Rutovitz Table 9 Latin America 2030</t>
        </is>
      </c>
      <c r="O29" t="n">
        <v>2015</v>
      </c>
      <c r="P29" t="n">
        <v>2030</v>
      </c>
      <c r="Q29">
        <f>Q28*K29</f>
        <v/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O&amp;M</t>
        </is>
      </c>
      <c r="D30" t="inlineStr">
        <is>
          <t>Direct</t>
        </is>
      </c>
      <c r="E30" t="inlineStr">
        <is>
          <t>job/MW</t>
        </is>
      </c>
      <c r="F30" t="n">
        <v>2024</v>
      </c>
      <c r="G30" t="inlineStr">
        <is>
          <t>2.406</t>
        </is>
      </c>
      <c r="H30" t="n">
        <v>2.406</v>
      </c>
      <c r="I30" t="inlineStr">
        <is>
          <t>Original</t>
        </is>
      </c>
      <c r="J30" t="inlineStr"/>
      <c r="K30" t="inlineStr"/>
      <c r="L30" t="inlineStr"/>
      <c r="M30" t="inlineStr"/>
      <c r="N30" t="inlineStr"/>
      <c r="O30" t="n">
        <v>2024</v>
      </c>
      <c r="P30" t="n">
        <v>2024</v>
      </c>
      <c r="Q30" t="n">
        <v>2.406</v>
      </c>
    </row>
    <row r="31">
      <c r="A31" t="inlineStr">
        <is>
          <t>Rutovitz 2015</t>
        </is>
      </c>
      <c r="B31" t="inlineStr">
        <is>
          <t>Biomass power</t>
        </is>
      </c>
      <c r="C31" t="inlineStr">
        <is>
          <t>O&amp;M</t>
        </is>
      </c>
      <c r="D31" t="inlineStr">
        <is>
          <t>Direct</t>
        </is>
      </c>
      <c r="E31" t="inlineStr">
        <is>
          <t>job/MW</t>
        </is>
      </c>
      <c r="F31" t="n">
        <v>2015</v>
      </c>
      <c r="G31" t="inlineStr">
        <is>
          <t>1.5</t>
        </is>
      </c>
      <c r="H31" t="n">
        <v>1.5</v>
      </c>
      <c r="I31" t="inlineStr">
        <is>
          <t>Original</t>
        </is>
      </c>
      <c r="J31" t="inlineStr"/>
      <c r="K31" t="inlineStr"/>
      <c r="L31" t="inlineStr"/>
      <c r="M31" t="inlineStr"/>
      <c r="N31" t="inlineStr"/>
      <c r="O31" t="n">
        <v>2015</v>
      </c>
      <c r="P31" t="n">
        <v>2015</v>
      </c>
      <c r="Q31" t="n">
        <v>1.5</v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O&amp;M</t>
        </is>
      </c>
      <c r="D32" t="inlineStr">
        <is>
          <t>Direct</t>
        </is>
      </c>
      <c r="E32" t="inlineStr">
        <is>
          <t>job/MW</t>
        </is>
      </c>
      <c r="F32" t="n">
        <v>2030</v>
      </c>
      <c r="G32">
        <f>G31*K32</f>
        <v/>
      </c>
      <c r="H32">
        <f>H31*K32</f>
        <v/>
      </c>
      <c r="I32" t="inlineStr">
        <is>
          <t>Rutovitz Table 9 decline to 2030</t>
        </is>
      </c>
      <c r="J32" t="inlineStr">
        <is>
          <t>Biomass</t>
        </is>
      </c>
      <c r="K32">
        <f>INDEX(Mappings_Rutovitz!$D$2:$D$14,MATCH(J32,Mappings_Rutovitz!$B$2:$B$14,0))</f>
        <v/>
      </c>
      <c r="L32" t="inlineStr"/>
      <c r="M32" t="inlineStr"/>
      <c r="N32" t="inlineStr">
        <is>
          <t>Rutovitz Table 9 Latin America 2030</t>
        </is>
      </c>
      <c r="O32" t="n">
        <v>2015</v>
      </c>
      <c r="P32" t="n">
        <v>2030</v>
      </c>
      <c r="Q32">
        <f>Q31*K32</f>
        <v/>
      </c>
    </row>
    <row r="33">
      <c r="A33" t="inlineStr">
        <is>
          <t>I-JEDI</t>
        </is>
      </c>
      <c r="B33" t="inlineStr">
        <is>
          <t>Biomass power</t>
        </is>
      </c>
      <c r="C33" t="inlineStr">
        <is>
          <t>O&amp;M</t>
        </is>
      </c>
      <c r="D33" t="inlineStr">
        <is>
          <t>Indirect</t>
        </is>
      </c>
      <c r="E33" t="inlineStr">
        <is>
          <t>job/MW</t>
        </is>
      </c>
      <c r="F33" t="n">
        <v>2024</v>
      </c>
      <c r="G33" t="inlineStr">
        <is>
          <t>1.477</t>
        </is>
      </c>
      <c r="H33" t="n">
        <v>1.477</v>
      </c>
      <c r="I33" t="inlineStr">
        <is>
          <t>Original</t>
        </is>
      </c>
      <c r="J33" t="inlineStr"/>
      <c r="K33" t="inlineStr"/>
      <c r="L33" t="inlineStr"/>
      <c r="M33" t="inlineStr"/>
      <c r="N33" t="inlineStr"/>
      <c r="O33" t="n">
        <v>2024</v>
      </c>
      <c r="P33" t="n">
        <v>2024</v>
      </c>
      <c r="Q33" t="n">
        <v>1.477</v>
      </c>
    </row>
    <row r="34">
      <c r="A34" t="inlineStr">
        <is>
          <t>I-JEDI</t>
        </is>
      </c>
      <c r="B34" t="inlineStr">
        <is>
          <t>Biomass power</t>
        </is>
      </c>
      <c r="C34" t="inlineStr">
        <is>
          <t>O&amp;M</t>
        </is>
      </c>
      <c r="D34" t="inlineStr">
        <is>
          <t>Induced</t>
        </is>
      </c>
      <c r="E34" t="inlineStr">
        <is>
          <t>job/MW</t>
        </is>
      </c>
      <c r="F34" t="n">
        <v>2024</v>
      </c>
      <c r="G34" t="inlineStr">
        <is>
          <t>1.672</t>
        </is>
      </c>
      <c r="H34" t="n">
        <v>1.672</v>
      </c>
      <c r="I34" t="inlineStr">
        <is>
          <t>Original</t>
        </is>
      </c>
      <c r="J34" t="inlineStr"/>
      <c r="K34" t="inlineStr"/>
      <c r="L34" t="inlineStr"/>
      <c r="M34" t="inlineStr"/>
      <c r="N34" t="inlineStr"/>
      <c r="O34" t="n">
        <v>2024</v>
      </c>
      <c r="P34" t="n">
        <v>2024</v>
      </c>
      <c r="Q34" t="n">
        <v>1.672</v>
      </c>
    </row>
    <row r="35">
      <c r="A35" t="inlineStr">
        <is>
          <t>Rutovitz 2015</t>
        </is>
      </c>
      <c r="B35" t="inlineStr">
        <is>
          <t>Coal power</t>
        </is>
      </c>
      <c r="C35" t="inlineStr">
        <is>
          <t>Construction</t>
        </is>
      </c>
      <c r="D35" t="inlineStr">
        <is>
          <t>Direct</t>
        </is>
      </c>
      <c r="E35" t="inlineStr">
        <is>
          <t>job-yr/MW</t>
        </is>
      </c>
      <c r="F35" t="n">
        <v>2015</v>
      </c>
      <c r="G35" t="inlineStr">
        <is>
          <t>11.2</t>
        </is>
      </c>
      <c r="H35" t="n">
        <v>11.2</v>
      </c>
      <c r="I35" t="inlineStr">
        <is>
          <t>Original</t>
        </is>
      </c>
      <c r="J35" t="inlineStr"/>
      <c r="K35" t="inlineStr"/>
      <c r="L35" t="inlineStr"/>
      <c r="M35" t="inlineStr"/>
      <c r="N35" t="inlineStr"/>
      <c r="O35" t="n">
        <v>2015</v>
      </c>
      <c r="P35" t="n">
        <v>2015</v>
      </c>
      <c r="Q35" t="n">
        <v>11.2</v>
      </c>
    </row>
    <row r="36">
      <c r="A36" t="inlineStr">
        <is>
          <t>Rutovitz 2015</t>
        </is>
      </c>
      <c r="B36" t="inlineStr">
        <is>
          <t>Coal power</t>
        </is>
      </c>
      <c r="C36" t="inlineStr">
        <is>
          <t>Construction</t>
        </is>
      </c>
      <c r="D36" t="inlineStr">
        <is>
          <t>Direct</t>
        </is>
      </c>
      <c r="E36" t="inlineStr">
        <is>
          <t>job-yr/MW</t>
        </is>
      </c>
      <c r="F36" t="n">
        <v>2030</v>
      </c>
      <c r="G36">
        <f>G35*K36</f>
        <v/>
      </c>
      <c r="H36">
        <f>H35*K36</f>
        <v/>
      </c>
      <c r="I36" t="inlineStr">
        <is>
          <t>Rutovitz Table 9 decline to 2030</t>
        </is>
      </c>
      <c r="J36" t="inlineStr">
        <is>
          <t>Coal</t>
        </is>
      </c>
      <c r="K36">
        <f>INDEX(Mappings_Rutovitz!$D$2:$D$14,MATCH(J36,Mappings_Rutovitz!$B$2:$B$14,0))</f>
        <v/>
      </c>
      <c r="L36" t="inlineStr"/>
      <c r="M36" t="inlineStr"/>
      <c r="N36" t="inlineStr">
        <is>
          <t>Rutovitz Table 9 Latin America 2030</t>
        </is>
      </c>
      <c r="O36" t="n">
        <v>2015</v>
      </c>
      <c r="P36" t="n">
        <v>2030</v>
      </c>
      <c r="Q36">
        <f>Q35*K36</f>
        <v/>
      </c>
    </row>
    <row r="37">
      <c r="A37" t="inlineStr">
        <is>
          <t>Rutovitz 2025</t>
        </is>
      </c>
      <c r="B37" t="inlineStr">
        <is>
          <t>Coal power</t>
        </is>
      </c>
      <c r="C37" t="inlineStr">
        <is>
          <t>Construction</t>
        </is>
      </c>
      <c r="D37" t="inlineStr">
        <is>
          <t>Direct</t>
        </is>
      </c>
      <c r="E37" t="inlineStr">
        <is>
          <t>job-yr/MW</t>
        </is>
      </c>
      <c r="F37" t="n">
        <v>2024</v>
      </c>
      <c r="G37" t="inlineStr">
        <is>
          <t>11.08</t>
        </is>
      </c>
      <c r="H37" t="n">
        <v>11.08</v>
      </c>
      <c r="I37" t="inlineStr">
        <is>
          <t>Original</t>
        </is>
      </c>
      <c r="J37" t="inlineStr"/>
      <c r="K37" t="inlineStr"/>
      <c r="L37" t="inlineStr"/>
      <c r="M37" t="inlineStr"/>
      <c r="N37" t="inlineStr"/>
      <c r="O37" t="n">
        <v>2024</v>
      </c>
      <c r="P37" t="n">
        <v>2024</v>
      </c>
      <c r="Q37" t="n">
        <v>11.08</v>
      </c>
    </row>
    <row r="38">
      <c r="A38" t="inlineStr">
        <is>
          <t>Rutovitz 2025</t>
        </is>
      </c>
      <c r="B38" t="inlineStr">
        <is>
          <t>Coal power</t>
        </is>
      </c>
      <c r="C38" t="inlineStr">
        <is>
          <t>Construction</t>
        </is>
      </c>
      <c r="D38" t="inlineStr">
        <is>
          <t>Direct</t>
        </is>
      </c>
      <c r="E38" t="inlineStr">
        <is>
          <t>job-yr/MW</t>
        </is>
      </c>
      <c r="F38" t="n">
        <v>2030</v>
      </c>
      <c r="G38" t="n">
        <v>10.526</v>
      </c>
      <c r="H38" t="n">
        <v>10.526</v>
      </c>
      <c r="I38" t="inlineStr">
        <is>
          <t>CAPEX ratio fallback</t>
        </is>
      </c>
      <c r="J38" t="inlineStr"/>
      <c r="K38" t="inlineStr"/>
      <c r="L38" t="inlineStr">
        <is>
          <t>Coal</t>
        </is>
      </c>
      <c r="M38" t="inlineStr"/>
      <c r="N38" t="inlineStr">
        <is>
          <t>CAPEX 2030/2024=0.95</t>
        </is>
      </c>
      <c r="O38" t="n">
        <v>2024</v>
      </c>
      <c r="P38" t="n">
        <v>2030</v>
      </c>
      <c r="Q38" t="n">
        <v>10.526</v>
      </c>
    </row>
    <row r="39">
      <c r="A39" t="inlineStr">
        <is>
          <t>Rutovitz 2025</t>
        </is>
      </c>
      <c r="B39" t="inlineStr">
        <is>
          <t>Coal power</t>
        </is>
      </c>
      <c r="C39" t="inlineStr">
        <is>
          <t>Construction</t>
        </is>
      </c>
      <c r="D39" t="inlineStr">
        <is>
          <t>Direct</t>
        </is>
      </c>
      <c r="E39" t="inlineStr">
        <is>
          <t>job-yr/MW</t>
        </is>
      </c>
      <c r="F39" t="n">
        <v>2050</v>
      </c>
      <c r="G39" t="n">
        <v>9.972</v>
      </c>
      <c r="H39" t="n">
        <v>9.972</v>
      </c>
      <c r="I39" t="inlineStr">
        <is>
          <t>CAPEX ratio fallback</t>
        </is>
      </c>
      <c r="J39" t="inlineStr"/>
      <c r="K39" t="inlineStr"/>
      <c r="L39" t="inlineStr">
        <is>
          <t>Coal</t>
        </is>
      </c>
      <c r="M39" t="inlineStr"/>
      <c r="N39" t="inlineStr">
        <is>
          <t>CAPEX 2050/2024=0.9</t>
        </is>
      </c>
      <c r="O39" t="n">
        <v>2024</v>
      </c>
      <c r="P39" t="n">
        <v>2050</v>
      </c>
      <c r="Q39" t="n">
        <v>9.972</v>
      </c>
    </row>
    <row r="40">
      <c r="A40" t="inlineStr">
        <is>
          <t>I-JEDI</t>
        </is>
      </c>
      <c r="B40" t="inlineStr">
        <is>
          <t>Coal power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2024</v>
      </c>
      <c r="G40" t="inlineStr">
        <is>
          <t>9.61</t>
        </is>
      </c>
      <c r="H40" t="n">
        <v>9.609999999999999</v>
      </c>
      <c r="I40" t="inlineStr">
        <is>
          <t>Original</t>
        </is>
      </c>
      <c r="J40" t="inlineStr"/>
      <c r="K40" t="inlineStr"/>
      <c r="L40" t="inlineStr"/>
      <c r="M40" t="inlineStr"/>
      <c r="N40" t="inlineStr"/>
      <c r="O40" t="n">
        <v>2024</v>
      </c>
      <c r="P40" t="n">
        <v>2024</v>
      </c>
      <c r="Q40" t="n">
        <v>9.609999999999999</v>
      </c>
    </row>
    <row r="41">
      <c r="A41" t="inlineStr">
        <is>
          <t>I-JEDI</t>
        </is>
      </c>
      <c r="B41" t="inlineStr">
        <is>
          <t>Coal power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2030</v>
      </c>
      <c r="G41" t="n">
        <v>9.129499999999998</v>
      </c>
      <c r="H41" t="n">
        <v>9.129499999999998</v>
      </c>
      <c r="I41" t="inlineStr">
        <is>
          <t>CAPEX ratio fallback</t>
        </is>
      </c>
      <c r="J41" t="inlineStr"/>
      <c r="K41" t="inlineStr"/>
      <c r="L41" t="inlineStr">
        <is>
          <t>Coal</t>
        </is>
      </c>
      <c r="M41" t="inlineStr"/>
      <c r="N41" t="inlineStr">
        <is>
          <t>CAPEX 2030/2024=0.95</t>
        </is>
      </c>
      <c r="O41" t="n">
        <v>2024</v>
      </c>
      <c r="P41" t="n">
        <v>2030</v>
      </c>
      <c r="Q41" t="n">
        <v>9.129499999999998</v>
      </c>
    </row>
    <row r="42">
      <c r="A42" t="inlineStr">
        <is>
          <t>I-JEDI</t>
        </is>
      </c>
      <c r="B42" t="inlineStr">
        <is>
          <t>Coal power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2050</v>
      </c>
      <c r="G42" t="n">
        <v>8.648999999999999</v>
      </c>
      <c r="H42" t="n">
        <v>8.648999999999999</v>
      </c>
      <c r="I42" t="inlineStr">
        <is>
          <t>CAPEX ratio fallback</t>
        </is>
      </c>
      <c r="J42" t="inlineStr"/>
      <c r="K42" t="inlineStr"/>
      <c r="L42" t="inlineStr">
        <is>
          <t>Coal</t>
        </is>
      </c>
      <c r="M42" t="inlineStr"/>
      <c r="N42" t="inlineStr">
        <is>
          <t>CAPEX 2050/2024=0.9</t>
        </is>
      </c>
      <c r="O42" t="n">
        <v>2024</v>
      </c>
      <c r="P42" t="n">
        <v>2050</v>
      </c>
      <c r="Q42" t="n">
        <v>8.648999999999999</v>
      </c>
    </row>
    <row r="43">
      <c r="A43" t="inlineStr">
        <is>
          <t>I-JEDI</t>
        </is>
      </c>
      <c r="B43" t="inlineStr">
        <is>
          <t>Coal power</t>
        </is>
      </c>
      <c r="C43" t="inlineStr">
        <is>
          <t>Construction&amp;Manufacturing</t>
        </is>
      </c>
      <c r="D43" t="inlineStr">
        <is>
          <t>Indirect</t>
        </is>
      </c>
      <c r="E43" t="inlineStr">
        <is>
          <t>job-yr/MW</t>
        </is>
      </c>
      <c r="F43" t="n">
        <v>2024</v>
      </c>
      <c r="G43" t="inlineStr">
        <is>
          <t>12.232</t>
        </is>
      </c>
      <c r="H43" t="n">
        <v>12.232</v>
      </c>
      <c r="I43" t="inlineStr">
        <is>
          <t>Original</t>
        </is>
      </c>
      <c r="J43" t="inlineStr"/>
      <c r="K43" t="inlineStr"/>
      <c r="L43" t="inlineStr"/>
      <c r="M43" t="inlineStr"/>
      <c r="N43" t="inlineStr"/>
      <c r="O43" t="n">
        <v>2024</v>
      </c>
      <c r="P43" t="n">
        <v>2024</v>
      </c>
      <c r="Q43" t="n">
        <v>12.232</v>
      </c>
    </row>
    <row r="44">
      <c r="A44" t="inlineStr">
        <is>
          <t>I-JEDI</t>
        </is>
      </c>
      <c r="B44" t="inlineStr">
        <is>
          <t>Coal power</t>
        </is>
      </c>
      <c r="C44" t="inlineStr">
        <is>
          <t>Construction&amp;Manufacturing</t>
        </is>
      </c>
      <c r="D44" t="inlineStr">
        <is>
          <t>Indirect</t>
        </is>
      </c>
      <c r="E44" t="inlineStr">
        <is>
          <t>job-yr/MW</t>
        </is>
      </c>
      <c r="F44" t="n">
        <v>2030</v>
      </c>
      <c r="G44" t="n">
        <v>11.6204</v>
      </c>
      <c r="H44" t="n">
        <v>11.6204</v>
      </c>
      <c r="I44" t="inlineStr">
        <is>
          <t>CAPEX ratio fallback</t>
        </is>
      </c>
      <c r="J44" t="inlineStr"/>
      <c r="K44" t="inlineStr"/>
      <c r="L44" t="inlineStr">
        <is>
          <t>Coal</t>
        </is>
      </c>
      <c r="M44" t="inlineStr"/>
      <c r="N44" t="inlineStr">
        <is>
          <t>CAPEX 2030/2024=0.95</t>
        </is>
      </c>
      <c r="O44" t="n">
        <v>2024</v>
      </c>
      <c r="P44" t="n">
        <v>2030</v>
      </c>
      <c r="Q44" t="n">
        <v>11.6204</v>
      </c>
    </row>
    <row r="45">
      <c r="A45" t="inlineStr">
        <is>
          <t>I-JEDI</t>
        </is>
      </c>
      <c r="B45" t="inlineStr">
        <is>
          <t>Coal power</t>
        </is>
      </c>
      <c r="C45" t="inlineStr">
        <is>
          <t>Construction&amp;Manufacturing</t>
        </is>
      </c>
      <c r="D45" t="inlineStr">
        <is>
          <t>Indirect</t>
        </is>
      </c>
      <c r="E45" t="inlineStr">
        <is>
          <t>job-yr/MW</t>
        </is>
      </c>
      <c r="F45" t="n">
        <v>2050</v>
      </c>
      <c r="G45" t="n">
        <v>11.0088</v>
      </c>
      <c r="H45" t="n">
        <v>11.0088</v>
      </c>
      <c r="I45" t="inlineStr">
        <is>
          <t>CAPEX ratio fallback</t>
        </is>
      </c>
      <c r="J45" t="inlineStr"/>
      <c r="K45" t="inlineStr"/>
      <c r="L45" t="inlineStr">
        <is>
          <t>Coal</t>
        </is>
      </c>
      <c r="M45" t="inlineStr"/>
      <c r="N45" t="inlineStr">
        <is>
          <t>CAPEX 2050/2024=0.9</t>
        </is>
      </c>
      <c r="O45" t="n">
        <v>2024</v>
      </c>
      <c r="P45" t="n">
        <v>2050</v>
      </c>
      <c r="Q45" t="n">
        <v>11.0088</v>
      </c>
    </row>
    <row r="46">
      <c r="A46" t="inlineStr">
        <is>
          <t>I-JEDI</t>
        </is>
      </c>
      <c r="B46" t="inlineStr">
        <is>
          <t>Coal power</t>
        </is>
      </c>
      <c r="C46" t="inlineStr">
        <is>
          <t>Construction&amp;Manufacturing</t>
        </is>
      </c>
      <c r="D46" t="inlineStr">
        <is>
          <t>Induced</t>
        </is>
      </c>
      <c r="E46" t="inlineStr">
        <is>
          <t>job-yr/MW</t>
        </is>
      </c>
      <c r="F46" t="n">
        <v>2024</v>
      </c>
      <c r="G46" t="inlineStr">
        <is>
          <t>11.301</t>
        </is>
      </c>
      <c r="H46" t="n">
        <v>11.301</v>
      </c>
      <c r="I46" t="inlineStr">
        <is>
          <t>Original</t>
        </is>
      </c>
      <c r="J46" t="inlineStr"/>
      <c r="K46" t="inlineStr"/>
      <c r="L46" t="inlineStr"/>
      <c r="M46" t="inlineStr"/>
      <c r="N46" t="inlineStr"/>
      <c r="O46" t="n">
        <v>2024</v>
      </c>
      <c r="P46" t="n">
        <v>2024</v>
      </c>
      <c r="Q46" t="n">
        <v>11.301</v>
      </c>
    </row>
    <row r="47">
      <c r="A47" t="inlineStr">
        <is>
          <t>I-JEDI</t>
        </is>
      </c>
      <c r="B47" t="inlineStr">
        <is>
          <t>Coal power</t>
        </is>
      </c>
      <c r="C47" t="inlineStr">
        <is>
          <t>Construction&amp;Manufacturing</t>
        </is>
      </c>
      <c r="D47" t="inlineStr">
        <is>
          <t>Induced</t>
        </is>
      </c>
      <c r="E47" t="inlineStr">
        <is>
          <t>job-yr/MW</t>
        </is>
      </c>
      <c r="F47" t="n">
        <v>2030</v>
      </c>
      <c r="G47" t="n">
        <v>10.73595</v>
      </c>
      <c r="H47" t="n">
        <v>10.73595</v>
      </c>
      <c r="I47" t="inlineStr">
        <is>
          <t>CAPEX ratio fallback</t>
        </is>
      </c>
      <c r="J47" t="inlineStr"/>
      <c r="K47" t="inlineStr"/>
      <c r="L47" t="inlineStr">
        <is>
          <t>Coal</t>
        </is>
      </c>
      <c r="M47" t="inlineStr"/>
      <c r="N47" t="inlineStr">
        <is>
          <t>CAPEX 2030/2024=0.95</t>
        </is>
      </c>
      <c r="O47" t="n">
        <v>2024</v>
      </c>
      <c r="P47" t="n">
        <v>2030</v>
      </c>
      <c r="Q47" t="n">
        <v>10.73595</v>
      </c>
    </row>
    <row r="48">
      <c r="A48" t="inlineStr">
        <is>
          <t>I-JEDI</t>
        </is>
      </c>
      <c r="B48" t="inlineStr">
        <is>
          <t>Coal power</t>
        </is>
      </c>
      <c r="C48" t="inlineStr">
        <is>
          <t>Construction&amp;Manufacturing</t>
        </is>
      </c>
      <c r="D48" t="inlineStr">
        <is>
          <t>Induced</t>
        </is>
      </c>
      <c r="E48" t="inlineStr">
        <is>
          <t>job-yr/MW</t>
        </is>
      </c>
      <c r="F48" t="n">
        <v>2050</v>
      </c>
      <c r="G48" t="n">
        <v>10.1709</v>
      </c>
      <c r="H48" t="n">
        <v>10.1709</v>
      </c>
      <c r="I48" t="inlineStr">
        <is>
          <t>CAPEX ratio fallback</t>
        </is>
      </c>
      <c r="J48" t="inlineStr"/>
      <c r="K48" t="inlineStr"/>
      <c r="L48" t="inlineStr">
        <is>
          <t>Coal</t>
        </is>
      </c>
      <c r="M48" t="inlineStr"/>
      <c r="N48" t="inlineStr">
        <is>
          <t>CAPEX 2050/2024=0.9</t>
        </is>
      </c>
      <c r="O48" t="n">
        <v>2024</v>
      </c>
      <c r="P48" t="n">
        <v>2050</v>
      </c>
      <c r="Q48" t="n">
        <v>10.1709</v>
      </c>
    </row>
    <row r="49">
      <c r="A49" t="inlineStr">
        <is>
          <t>Rutovitz 2015</t>
        </is>
      </c>
      <c r="B49" t="inlineStr">
        <is>
          <t>Coal power</t>
        </is>
      </c>
      <c r="C49" t="inlineStr">
        <is>
          <t>Fuel</t>
        </is>
      </c>
      <c r="D49" t="inlineStr">
        <is>
          <t>Fuel</t>
        </is>
      </c>
      <c r="E49" t="inlineStr">
        <is>
          <t>job/PJ</t>
        </is>
      </c>
      <c r="F49" t="n">
        <v>2015</v>
      </c>
      <c r="G49" t="inlineStr">
        <is>
          <t>15.4 jobs/PJ</t>
        </is>
      </c>
      <c r="H49" t="n">
        <v>15.4</v>
      </c>
      <c r="I49" t="inlineStr">
        <is>
          <t>Original</t>
        </is>
      </c>
      <c r="J49" t="inlineStr"/>
      <c r="K49" t="inlineStr"/>
      <c r="L49" t="inlineStr"/>
      <c r="M49" t="inlineStr"/>
      <c r="N49" t="inlineStr"/>
      <c r="O49" t="n">
        <v>2015</v>
      </c>
      <c r="P49" t="n">
        <v>2015</v>
      </c>
      <c r="Q49" t="n">
        <v>15.4</v>
      </c>
    </row>
    <row r="50">
      <c r="A50" t="inlineStr">
        <is>
          <t>Rutovitz 2015</t>
        </is>
      </c>
      <c r="B50" t="inlineStr">
        <is>
          <t>Coal power</t>
        </is>
      </c>
      <c r="C50" t="inlineStr">
        <is>
          <t>Manufacturing</t>
        </is>
      </c>
      <c r="D50" t="inlineStr">
        <is>
          <t>Direct</t>
        </is>
      </c>
      <c r="E50" t="inlineStr">
        <is>
          <t>job-yr/MW</t>
        </is>
      </c>
      <c r="F50" t="n">
        <v>2015</v>
      </c>
      <c r="G50" t="inlineStr">
        <is>
          <t>5.4</t>
        </is>
      </c>
      <c r="H50" t="n">
        <v>5.4</v>
      </c>
      <c r="I50" t="inlineStr">
        <is>
          <t>Original</t>
        </is>
      </c>
      <c r="J50" t="inlineStr"/>
      <c r="K50" t="inlineStr"/>
      <c r="L50" t="inlineStr"/>
      <c r="M50" t="inlineStr"/>
      <c r="N50" t="inlineStr"/>
      <c r="O50" t="n">
        <v>2015</v>
      </c>
      <c r="P50" t="n">
        <v>2015</v>
      </c>
      <c r="Q50" t="n">
        <v>5.4</v>
      </c>
    </row>
    <row r="51">
      <c r="A51" t="inlineStr">
        <is>
          <t>Rutovitz 2015</t>
        </is>
      </c>
      <c r="B51" t="inlineStr">
        <is>
          <t>Coal power</t>
        </is>
      </c>
      <c r="C51" t="inlineStr">
        <is>
          <t>Manufacturing</t>
        </is>
      </c>
      <c r="D51" t="inlineStr">
        <is>
          <t>Direct</t>
        </is>
      </c>
      <c r="E51" t="inlineStr">
        <is>
          <t>job-yr/MW</t>
        </is>
      </c>
      <c r="F51" t="n">
        <v>2030</v>
      </c>
      <c r="G51">
        <f>G50*K51</f>
        <v/>
      </c>
      <c r="H51">
        <f>H50*K51</f>
        <v/>
      </c>
      <c r="I51" t="inlineStr">
        <is>
          <t>Rutovitz Table 9 decline to 2030</t>
        </is>
      </c>
      <c r="J51" t="inlineStr">
        <is>
          <t>Coal</t>
        </is>
      </c>
      <c r="K51">
        <f>INDEX(Mappings_Rutovitz!$D$2:$D$14,MATCH(J51,Mappings_Rutovitz!$B$2:$B$14,0))</f>
        <v/>
      </c>
      <c r="L51" t="inlineStr"/>
      <c r="M51" t="inlineStr"/>
      <c r="N51" t="inlineStr">
        <is>
          <t>Rutovitz Table 9 Latin America 2030</t>
        </is>
      </c>
      <c r="O51" t="n">
        <v>2015</v>
      </c>
      <c r="P51" t="n">
        <v>2030</v>
      </c>
      <c r="Q51">
        <f>Q50*K51</f>
        <v/>
      </c>
    </row>
    <row r="52">
      <c r="A52" t="inlineStr">
        <is>
          <t>Rutovitz 2025</t>
        </is>
      </c>
      <c r="B52" t="inlineStr">
        <is>
          <t>Coal power</t>
        </is>
      </c>
      <c r="C52" t="inlineStr">
        <is>
          <t>Manufacturing</t>
        </is>
      </c>
      <c r="D52" t="inlineStr">
        <is>
          <t>Direct</t>
        </is>
      </c>
      <c r="E52" t="inlineStr">
        <is>
          <t>job-yr/MW</t>
        </is>
      </c>
      <c r="F52" t="n">
        <v>2024</v>
      </c>
      <c r="G52" t="inlineStr">
        <is>
          <t>5.41</t>
        </is>
      </c>
      <c r="H52" t="n">
        <v>5.41</v>
      </c>
      <c r="I52" t="inlineStr">
        <is>
          <t>Original</t>
        </is>
      </c>
      <c r="J52" t="inlineStr"/>
      <c r="K52" t="inlineStr"/>
      <c r="L52" t="inlineStr"/>
      <c r="M52" t="inlineStr"/>
      <c r="N52" t="inlineStr"/>
      <c r="O52" t="n">
        <v>2024</v>
      </c>
      <c r="P52" t="n">
        <v>2024</v>
      </c>
      <c r="Q52" t="n">
        <v>5.41</v>
      </c>
    </row>
    <row r="53">
      <c r="A53" t="inlineStr">
        <is>
          <t>Rutovitz 2025</t>
        </is>
      </c>
      <c r="B53" t="inlineStr">
        <is>
          <t>Coal power</t>
        </is>
      </c>
      <c r="C53" t="inlineStr">
        <is>
          <t>Manufacturing</t>
        </is>
      </c>
      <c r="D53" t="inlineStr">
        <is>
          <t>Direct</t>
        </is>
      </c>
      <c r="E53" t="inlineStr">
        <is>
          <t>job-yr/MW</t>
        </is>
      </c>
      <c r="F53" t="n">
        <v>2030</v>
      </c>
      <c r="G53" t="n">
        <v>5.1395</v>
      </c>
      <c r="H53" t="n">
        <v>5.1395</v>
      </c>
      <c r="I53" t="inlineStr">
        <is>
          <t>CAPEX ratio fallback</t>
        </is>
      </c>
      <c r="J53" t="inlineStr"/>
      <c r="K53" t="inlineStr"/>
      <c r="L53" t="inlineStr">
        <is>
          <t>Coal</t>
        </is>
      </c>
      <c r="M53" t="inlineStr"/>
      <c r="N53" t="inlineStr">
        <is>
          <t>CAPEX 2030/2024=0.95</t>
        </is>
      </c>
      <c r="O53" t="n">
        <v>2024</v>
      </c>
      <c r="P53" t="n">
        <v>2030</v>
      </c>
      <c r="Q53" t="n">
        <v>5.1395</v>
      </c>
    </row>
    <row r="54">
      <c r="A54" t="inlineStr">
        <is>
          <t>Rutovitz 2025</t>
        </is>
      </c>
      <c r="B54" t="inlineStr">
        <is>
          <t>Coal power</t>
        </is>
      </c>
      <c r="C54" t="inlineStr">
        <is>
          <t>Manufacturing</t>
        </is>
      </c>
      <c r="D54" t="inlineStr">
        <is>
          <t>Direct</t>
        </is>
      </c>
      <c r="E54" t="inlineStr">
        <is>
          <t>job-yr/MW</t>
        </is>
      </c>
      <c r="F54" t="n">
        <v>2050</v>
      </c>
      <c r="G54" t="n">
        <v>4.869000000000001</v>
      </c>
      <c r="H54" t="n">
        <v>4.869000000000001</v>
      </c>
      <c r="I54" t="inlineStr">
        <is>
          <t>CAPEX ratio fallback</t>
        </is>
      </c>
      <c r="J54" t="inlineStr"/>
      <c r="K54" t="inlineStr"/>
      <c r="L54" t="inlineStr">
        <is>
          <t>Coal</t>
        </is>
      </c>
      <c r="M54" t="inlineStr"/>
      <c r="N54" t="inlineStr">
        <is>
          <t>CAPEX 2050/2024=0.9</t>
        </is>
      </c>
      <c r="O54" t="n">
        <v>2024</v>
      </c>
      <c r="P54" t="n">
        <v>2050</v>
      </c>
      <c r="Q54" t="n">
        <v>4.869000000000001</v>
      </c>
    </row>
    <row r="55">
      <c r="A55" t="inlineStr">
        <is>
          <t>I-JEDI</t>
        </is>
      </c>
      <c r="B55" t="inlineStr">
        <is>
          <t>Coal power</t>
        </is>
      </c>
      <c r="C55" t="inlineStr">
        <is>
          <t>O&amp;M</t>
        </is>
      </c>
      <c r="D55" t="inlineStr">
        <is>
          <t>Direct</t>
        </is>
      </c>
      <c r="E55" t="inlineStr">
        <is>
          <t>job/MW</t>
        </is>
      </c>
      <c r="F55" t="n">
        <v>2024</v>
      </c>
      <c r="G55" t="inlineStr">
        <is>
          <t>0.143</t>
        </is>
      </c>
      <c r="H55" t="n">
        <v>0.143</v>
      </c>
      <c r="I55" t="inlineStr">
        <is>
          <t>Original</t>
        </is>
      </c>
      <c r="J55" t="inlineStr"/>
      <c r="K55" t="inlineStr"/>
      <c r="L55" t="inlineStr"/>
      <c r="M55" t="inlineStr"/>
      <c r="N55" t="inlineStr"/>
      <c r="O55" t="n">
        <v>2024</v>
      </c>
      <c r="P55" t="n">
        <v>2024</v>
      </c>
      <c r="Q55" t="n">
        <v>0.143</v>
      </c>
    </row>
    <row r="56">
      <c r="A56" t="inlineStr">
        <is>
          <t>Rutovitz 2015</t>
        </is>
      </c>
      <c r="B56" t="inlineStr">
        <is>
          <t>Coal power</t>
        </is>
      </c>
      <c r="C56" t="inlineStr">
        <is>
          <t>O&amp;M</t>
        </is>
      </c>
      <c r="D56" t="inlineStr">
        <is>
          <t>Direct</t>
        </is>
      </c>
      <c r="E56" t="inlineStr">
        <is>
          <t>job/MW</t>
        </is>
      </c>
      <c r="F56" t="n">
        <v>2015</v>
      </c>
      <c r="G56" t="inlineStr">
        <is>
          <t>0.14</t>
        </is>
      </c>
      <c r="H56" t="n">
        <v>0.14</v>
      </c>
      <c r="I56" t="inlineStr">
        <is>
          <t>Original</t>
        </is>
      </c>
      <c r="J56" t="inlineStr"/>
      <c r="K56" t="inlineStr"/>
      <c r="L56" t="inlineStr"/>
      <c r="M56" t="inlineStr"/>
      <c r="N56" t="inlineStr"/>
      <c r="O56" t="n">
        <v>2015</v>
      </c>
      <c r="P56" t="n">
        <v>2015</v>
      </c>
      <c r="Q56" t="n">
        <v>0.14</v>
      </c>
    </row>
    <row r="57">
      <c r="A57" t="inlineStr">
        <is>
          <t>Rutovitz 2015</t>
        </is>
      </c>
      <c r="B57" t="inlineStr">
        <is>
          <t>Coal power</t>
        </is>
      </c>
      <c r="C57" t="inlineStr">
        <is>
          <t>O&amp;M</t>
        </is>
      </c>
      <c r="D57" t="inlineStr">
        <is>
          <t>Direct</t>
        </is>
      </c>
      <c r="E57" t="inlineStr">
        <is>
          <t>job/MW</t>
        </is>
      </c>
      <c r="F57" t="n">
        <v>2030</v>
      </c>
      <c r="G57">
        <f>G56*K57</f>
        <v/>
      </c>
      <c r="H57">
        <f>H56*K57</f>
        <v/>
      </c>
      <c r="I57" t="inlineStr">
        <is>
          <t>Rutovitz Table 9 decline to 2030</t>
        </is>
      </c>
      <c r="J57" t="inlineStr">
        <is>
          <t>Coal</t>
        </is>
      </c>
      <c r="K57">
        <f>INDEX(Mappings_Rutovitz!$D$2:$D$14,MATCH(J57,Mappings_Rutovitz!$B$2:$B$14,0))</f>
        <v/>
      </c>
      <c r="L57" t="inlineStr"/>
      <c r="M57" t="inlineStr"/>
      <c r="N57" t="inlineStr">
        <is>
          <t>Rutovitz Table 9 Latin America 2030</t>
        </is>
      </c>
      <c r="O57" t="n">
        <v>2015</v>
      </c>
      <c r="P57" t="n">
        <v>2030</v>
      </c>
      <c r="Q57">
        <f>Q56*K57</f>
        <v/>
      </c>
    </row>
    <row r="58">
      <c r="A58" t="inlineStr">
        <is>
          <t>Rutovitz 2025</t>
        </is>
      </c>
      <c r="B58" t="inlineStr">
        <is>
          <t>Coal power</t>
        </is>
      </c>
      <c r="C58" t="inlineStr">
        <is>
          <t>O&amp;M</t>
        </is>
      </c>
      <c r="D58" t="inlineStr">
        <is>
          <t>Direct</t>
        </is>
      </c>
      <c r="E58" t="inlineStr">
        <is>
          <t>job/MW</t>
        </is>
      </c>
      <c r="F58" t="n">
        <v>2024</v>
      </c>
      <c r="G58" t="inlineStr">
        <is>
          <t>0.22</t>
        </is>
      </c>
      <c r="H58" t="n">
        <v>0.22</v>
      </c>
      <c r="I58" t="inlineStr">
        <is>
          <t>Original</t>
        </is>
      </c>
      <c r="J58" t="inlineStr"/>
      <c r="K58" t="inlineStr"/>
      <c r="L58" t="inlineStr"/>
      <c r="M58" t="inlineStr"/>
      <c r="N58" t="inlineStr"/>
      <c r="O58" t="n">
        <v>2024</v>
      </c>
      <c r="P58" t="n">
        <v>2024</v>
      </c>
      <c r="Q58" t="n">
        <v>0.22</v>
      </c>
    </row>
    <row r="59">
      <c r="A59" t="inlineStr">
        <is>
          <t>I-JEDI</t>
        </is>
      </c>
      <c r="B59" t="inlineStr">
        <is>
          <t>Coal power</t>
        </is>
      </c>
      <c r="C59" t="inlineStr">
        <is>
          <t>O&amp;M</t>
        </is>
      </c>
      <c r="D59" t="inlineStr">
        <is>
          <t>Indirect</t>
        </is>
      </c>
      <c r="E59" t="inlineStr">
        <is>
          <t>job/MW</t>
        </is>
      </c>
      <c r="F59" t="n">
        <v>2024</v>
      </c>
      <c r="G59" t="inlineStr">
        <is>
          <t>0.789</t>
        </is>
      </c>
      <c r="H59" t="n">
        <v>0.789</v>
      </c>
      <c r="I59" t="inlineStr">
        <is>
          <t>Original</t>
        </is>
      </c>
      <c r="J59" t="inlineStr"/>
      <c r="K59" t="inlineStr"/>
      <c r="L59" t="inlineStr"/>
      <c r="M59" t="inlineStr"/>
      <c r="N59" t="inlineStr"/>
      <c r="O59" t="n">
        <v>2024</v>
      </c>
      <c r="P59" t="n">
        <v>2024</v>
      </c>
      <c r="Q59" t="n">
        <v>0.789</v>
      </c>
    </row>
    <row r="60">
      <c r="A60" t="inlineStr">
        <is>
          <t>I-JEDI</t>
        </is>
      </c>
      <c r="B60" t="inlineStr">
        <is>
          <t>Coal power</t>
        </is>
      </c>
      <c r="C60" t="inlineStr">
        <is>
          <t>O&amp;M</t>
        </is>
      </c>
      <c r="D60" t="inlineStr">
        <is>
          <t>Induced</t>
        </is>
      </c>
      <c r="E60" t="inlineStr">
        <is>
          <t>job/MW</t>
        </is>
      </c>
      <c r="F60" t="n">
        <v>2024</v>
      </c>
      <c r="G60" t="inlineStr">
        <is>
          <t>0.561</t>
        </is>
      </c>
      <c r="H60" t="n">
        <v>0.5610000000000001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0.5610000000000001</v>
      </c>
    </row>
    <row r="61">
      <c r="A61" t="inlineStr">
        <is>
          <t>Rutovitz 2015</t>
        </is>
      </c>
      <c r="B61" t="inlineStr">
        <is>
          <t>Gas CCGT/OCGT</t>
        </is>
      </c>
      <c r="C61" t="inlineStr">
        <is>
          <t>Construction</t>
        </is>
      </c>
      <c r="D61" t="inlineStr">
        <is>
          <t>Direct</t>
        </is>
      </c>
      <c r="E61" t="inlineStr">
        <is>
          <t>job-yr/MW</t>
        </is>
      </c>
      <c r="F61" t="n">
        <v>2015</v>
      </c>
      <c r="G61" t="inlineStr">
        <is>
          <t>1.3</t>
        </is>
      </c>
      <c r="H61" t="n">
        <v>1.3</v>
      </c>
      <c r="I61" t="inlineStr">
        <is>
          <t>Original</t>
        </is>
      </c>
      <c r="J61" t="inlineStr"/>
      <c r="K61" t="inlineStr"/>
      <c r="L61" t="inlineStr"/>
      <c r="M61" t="inlineStr"/>
      <c r="N61" t="inlineStr"/>
      <c r="O61" t="n">
        <v>2015</v>
      </c>
      <c r="P61" t="n">
        <v>2015</v>
      </c>
      <c r="Q61" t="n">
        <v>1.3</v>
      </c>
    </row>
    <row r="62">
      <c r="A62" t="inlineStr">
        <is>
          <t>Rutovitz 2015</t>
        </is>
      </c>
      <c r="B62" t="inlineStr">
        <is>
          <t>Gas CCGT/OCGT</t>
        </is>
      </c>
      <c r="C62" t="inlineStr">
        <is>
          <t>Construction</t>
        </is>
      </c>
      <c r="D62" t="inlineStr">
        <is>
          <t>Direct</t>
        </is>
      </c>
      <c r="E62" t="inlineStr">
        <is>
          <t>job-yr/MW</t>
        </is>
      </c>
      <c r="F62" t="n">
        <v>2030</v>
      </c>
      <c r="G62">
        <f>G61*K62</f>
        <v/>
      </c>
      <c r="H62">
        <f>H61*K62</f>
        <v/>
      </c>
      <c r="I62" t="inlineStr">
        <is>
          <t>Rutovitz Table 9 decline to 2030</t>
        </is>
      </c>
      <c r="J62" t="inlineStr">
        <is>
          <t>Gas</t>
        </is>
      </c>
      <c r="K62">
        <f>INDEX(Mappings_Rutovitz!$D$2:$D$14,MATCH(J62,Mappings_Rutovitz!$B$2:$B$14,0))</f>
        <v/>
      </c>
      <c r="L62" t="inlineStr"/>
      <c r="M62" t="inlineStr"/>
      <c r="N62" t="inlineStr">
        <is>
          <t>Rutovitz Table 9 Latin America 2030</t>
        </is>
      </c>
      <c r="O62" t="n">
        <v>2015</v>
      </c>
      <c r="P62" t="n">
        <v>2030</v>
      </c>
      <c r="Q62">
        <f>Q61*K62</f>
        <v/>
      </c>
    </row>
    <row r="63">
      <c r="A63" t="inlineStr">
        <is>
          <t>Rutovitz 2025</t>
        </is>
      </c>
      <c r="B63" t="inlineStr">
        <is>
          <t>Gas CCGT/OCGT</t>
        </is>
      </c>
      <c r="C63" t="inlineStr">
        <is>
          <t>Construction</t>
        </is>
      </c>
      <c r="D63" t="inlineStr">
        <is>
          <t>Direct</t>
        </is>
      </c>
      <c r="E63" t="inlineStr">
        <is>
          <t>job-yr/MW</t>
        </is>
      </c>
      <c r="F63" t="n">
        <v>2024</v>
      </c>
      <c r="G63" t="inlineStr">
        <is>
          <t>7.36</t>
        </is>
      </c>
      <c r="H63" t="n">
        <v>7.36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2024</v>
      </c>
      <c r="P63" t="n">
        <v>2024</v>
      </c>
      <c r="Q63" t="n">
        <v>7.36</v>
      </c>
    </row>
    <row r="64">
      <c r="A64" t="inlineStr">
        <is>
          <t>Rutovitz 2025</t>
        </is>
      </c>
      <c r="B64" t="inlineStr">
        <is>
          <t>Gas CCGT/OCGT</t>
        </is>
      </c>
      <c r="C64" t="inlineStr">
        <is>
          <t>Construction</t>
        </is>
      </c>
      <c r="D64" t="inlineStr">
        <is>
          <t>Direct</t>
        </is>
      </c>
      <c r="E64" t="inlineStr">
        <is>
          <t>job-yr/MW</t>
        </is>
      </c>
      <c r="F64" t="n">
        <v>2030</v>
      </c>
      <c r="G64" t="n">
        <v>6.9184</v>
      </c>
      <c r="H64" t="n">
        <v>6.9184</v>
      </c>
      <c r="I64" t="inlineStr">
        <is>
          <t>CAPEX ratio fallback</t>
        </is>
      </c>
      <c r="J64" t="inlineStr"/>
      <c r="K64" t="inlineStr"/>
      <c r="L64" t="inlineStr">
        <is>
          <t>Natural Gas</t>
        </is>
      </c>
      <c r="M64" t="inlineStr"/>
      <c r="N64" t="inlineStr">
        <is>
          <t>CAPEX 2030/2024=0.94</t>
        </is>
      </c>
      <c r="O64" t="n">
        <v>2024</v>
      </c>
      <c r="P64" t="n">
        <v>2030</v>
      </c>
      <c r="Q64" t="n">
        <v>6.9184</v>
      </c>
    </row>
    <row r="65">
      <c r="A65" t="inlineStr">
        <is>
          <t>Rutovitz 2025</t>
        </is>
      </c>
      <c r="B65" t="inlineStr">
        <is>
          <t>Gas CCGT/OCGT</t>
        </is>
      </c>
      <c r="C65" t="inlineStr">
        <is>
          <t>Construction</t>
        </is>
      </c>
      <c r="D65" t="inlineStr">
        <is>
          <t>Direct</t>
        </is>
      </c>
      <c r="E65" t="inlineStr">
        <is>
          <t>job-yr/MW</t>
        </is>
      </c>
      <c r="F65" t="n">
        <v>2050</v>
      </c>
      <c r="G65" t="n">
        <v>6.4768</v>
      </c>
      <c r="H65" t="n">
        <v>6.4768</v>
      </c>
      <c r="I65" t="inlineStr">
        <is>
          <t>CAPEX ratio fallback</t>
        </is>
      </c>
      <c r="J65" t="inlineStr"/>
      <c r="K65" t="inlineStr"/>
      <c r="L65" t="inlineStr">
        <is>
          <t>Natural Gas</t>
        </is>
      </c>
      <c r="M65" t="inlineStr"/>
      <c r="N65" t="inlineStr">
        <is>
          <t>CAPEX 2050/2024=0.88</t>
        </is>
      </c>
      <c r="O65" t="n">
        <v>2024</v>
      </c>
      <c r="P65" t="n">
        <v>2050</v>
      </c>
      <c r="Q65" t="n">
        <v>6.4768</v>
      </c>
    </row>
    <row r="66">
      <c r="A66" t="inlineStr">
        <is>
          <t>JEDI-US</t>
        </is>
      </c>
      <c r="B66" t="inlineStr">
        <is>
          <t>Gas CCGT/OCGT</t>
        </is>
      </c>
      <c r="C66" t="inlineStr">
        <is>
          <t>Construction&amp;Manufacturing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inlineStr">
        <is>
          <t>2.528</t>
        </is>
      </c>
      <c r="H66" t="n">
        <v>2.528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2.528</v>
      </c>
    </row>
    <row r="67">
      <c r="A67" t="inlineStr">
        <is>
          <t>JEDI-US</t>
        </is>
      </c>
      <c r="B67" t="inlineStr">
        <is>
          <t>Gas CCGT/OCGT</t>
        </is>
      </c>
      <c r="C67" t="inlineStr">
        <is>
          <t>Construction&amp;Manufacturing</t>
        </is>
      </c>
      <c r="D67" t="inlineStr">
        <is>
          <t>Direct</t>
        </is>
      </c>
      <c r="E67" t="inlineStr">
        <is>
          <t>job-yr/MW</t>
        </is>
      </c>
      <c r="F67" t="n">
        <v>2030</v>
      </c>
      <c r="G67" t="n">
        <v>2.37632</v>
      </c>
      <c r="H67" t="n">
        <v>2.37632</v>
      </c>
      <c r="I67" t="inlineStr">
        <is>
          <t>CAPEX ratio fallback</t>
        </is>
      </c>
      <c r="J67" t="inlineStr"/>
      <c r="K67" t="inlineStr"/>
      <c r="L67" t="inlineStr">
        <is>
          <t>Natural Gas</t>
        </is>
      </c>
      <c r="M67" t="inlineStr"/>
      <c r="N67" t="inlineStr">
        <is>
          <t>CAPEX 2030/2024=0.94</t>
        </is>
      </c>
      <c r="O67" t="n">
        <v>2024</v>
      </c>
      <c r="P67" t="n">
        <v>2030</v>
      </c>
      <c r="Q67" t="n">
        <v>2.37632</v>
      </c>
    </row>
    <row r="68">
      <c r="A68" t="inlineStr">
        <is>
          <t>JEDI-US</t>
        </is>
      </c>
      <c r="B68" t="inlineStr">
        <is>
          <t>Gas CCGT/OCGT</t>
        </is>
      </c>
      <c r="C68" t="inlineStr">
        <is>
          <t>Construction&amp;Manufacturing</t>
        </is>
      </c>
      <c r="D68" t="inlineStr">
        <is>
          <t>Direct</t>
        </is>
      </c>
      <c r="E68" t="inlineStr">
        <is>
          <t>job-yr/MW</t>
        </is>
      </c>
      <c r="F68" t="n">
        <v>2050</v>
      </c>
      <c r="G68" t="n">
        <v>2.22464</v>
      </c>
      <c r="H68" t="n">
        <v>2.22464</v>
      </c>
      <c r="I68" t="inlineStr">
        <is>
          <t>CAPEX ratio fallback</t>
        </is>
      </c>
      <c r="J68" t="inlineStr"/>
      <c r="K68" t="inlineStr"/>
      <c r="L68" t="inlineStr">
        <is>
          <t>Natural Gas</t>
        </is>
      </c>
      <c r="M68" t="inlineStr"/>
      <c r="N68" t="inlineStr">
        <is>
          <t>CAPEX 2050/2024=0.88</t>
        </is>
      </c>
      <c r="O68" t="n">
        <v>2024</v>
      </c>
      <c r="P68" t="n">
        <v>2050</v>
      </c>
      <c r="Q68" t="n">
        <v>2.22464</v>
      </c>
    </row>
    <row r="69">
      <c r="A69" t="inlineStr">
        <is>
          <t>Rutovitz 2015</t>
        </is>
      </c>
      <c r="B69" t="inlineStr">
        <is>
          <t>Gas CCGT/OCGT</t>
        </is>
      </c>
      <c r="C69" t="inlineStr">
        <is>
          <t>Fuel</t>
        </is>
      </c>
      <c r="D69" t="inlineStr">
        <is>
          <t>Fuel</t>
        </is>
      </c>
      <c r="E69" t="inlineStr">
        <is>
          <t>job/PJ</t>
        </is>
      </c>
      <c r="F69" t="n">
        <v>2015</v>
      </c>
      <c r="G69" t="inlineStr">
        <is>
          <t>World avg 15.1 jobs/PJ</t>
        </is>
      </c>
      <c r="H69" t="n">
        <v>15.1</v>
      </c>
      <c r="I69" t="inlineStr">
        <is>
          <t>Original</t>
        </is>
      </c>
      <c r="J69" t="inlineStr"/>
      <c r="K69" t="inlineStr"/>
      <c r="L69" t="inlineStr"/>
      <c r="M69" t="inlineStr"/>
      <c r="N69" t="inlineStr"/>
      <c r="O69" t="n">
        <v>2015</v>
      </c>
      <c r="P69" t="n">
        <v>2015</v>
      </c>
      <c r="Q69" t="n">
        <v>15.1</v>
      </c>
    </row>
    <row r="70">
      <c r="A70" t="inlineStr">
        <is>
          <t>Rutovitz 2015</t>
        </is>
      </c>
      <c r="B70" t="inlineStr">
        <is>
          <t>Gas CCGT/OCGT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2015</v>
      </c>
      <c r="G70" t="inlineStr">
        <is>
          <t>0.93</t>
        </is>
      </c>
      <c r="H70" t="n">
        <v>0.93</v>
      </c>
      <c r="I70" t="inlineStr">
        <is>
          <t>Original</t>
        </is>
      </c>
      <c r="J70" t="inlineStr"/>
      <c r="K70" t="inlineStr"/>
      <c r="L70" t="inlineStr"/>
      <c r="M70" t="inlineStr"/>
      <c r="N70" t="inlineStr"/>
      <c r="O70" t="n">
        <v>2015</v>
      </c>
      <c r="P70" t="n">
        <v>2015</v>
      </c>
      <c r="Q70" t="n">
        <v>0.93</v>
      </c>
    </row>
    <row r="71">
      <c r="A71" t="inlineStr">
        <is>
          <t>Rutovitz 2015</t>
        </is>
      </c>
      <c r="B71" t="inlineStr">
        <is>
          <t>Gas CCGT/OCGT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2030</v>
      </c>
      <c r="G71">
        <f>G70*K71</f>
        <v/>
      </c>
      <c r="H71">
        <f>H70*K71</f>
        <v/>
      </c>
      <c r="I71" t="inlineStr">
        <is>
          <t>Rutovitz Table 9 decline to 2030</t>
        </is>
      </c>
      <c r="J71" t="inlineStr">
        <is>
          <t>Gas</t>
        </is>
      </c>
      <c r="K71">
        <f>INDEX(Mappings_Rutovitz!$D$2:$D$14,MATCH(J71,Mappings_Rutovitz!$B$2:$B$14,0))</f>
        <v/>
      </c>
      <c r="L71" t="inlineStr"/>
      <c r="M71" t="inlineStr"/>
      <c r="N71" t="inlineStr">
        <is>
          <t>Rutovitz Table 9 Latin America 2030</t>
        </is>
      </c>
      <c r="O71" t="n">
        <v>2015</v>
      </c>
      <c r="P71" t="n">
        <v>2030</v>
      </c>
      <c r="Q71">
        <f>Q70*K71</f>
        <v/>
      </c>
    </row>
    <row r="72">
      <c r="A72" t="inlineStr">
        <is>
          <t>Rutovitz 2025</t>
        </is>
      </c>
      <c r="B72" t="inlineStr">
        <is>
          <t>Gas CCGT/OCGT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2024</v>
      </c>
      <c r="G72" t="inlineStr">
        <is>
          <t>2.3</t>
        </is>
      </c>
      <c r="H72" t="n">
        <v>2.3</v>
      </c>
      <c r="I72" t="inlineStr">
        <is>
          <t>Original</t>
        </is>
      </c>
      <c r="J72" t="inlineStr"/>
      <c r="K72" t="inlineStr"/>
      <c r="L72" t="inlineStr"/>
      <c r="M72" t="inlineStr"/>
      <c r="N72" t="inlineStr"/>
      <c r="O72" t="n">
        <v>2024</v>
      </c>
      <c r="P72" t="n">
        <v>2024</v>
      </c>
      <c r="Q72" t="n">
        <v>2.3</v>
      </c>
    </row>
    <row r="73">
      <c r="A73" t="inlineStr">
        <is>
          <t>Rutovitz 2025</t>
        </is>
      </c>
      <c r="B73" t="inlineStr">
        <is>
          <t>Gas CCGT/OCGT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2030</v>
      </c>
      <c r="G73" t="n">
        <v>2.162</v>
      </c>
      <c r="H73" t="n">
        <v>2.162</v>
      </c>
      <c r="I73" t="inlineStr">
        <is>
          <t>CAPEX ratio fallback</t>
        </is>
      </c>
      <c r="J73" t="inlineStr"/>
      <c r="K73" t="inlineStr"/>
      <c r="L73" t="inlineStr">
        <is>
          <t>Natural Gas</t>
        </is>
      </c>
      <c r="M73" t="inlineStr"/>
      <c r="N73" t="inlineStr">
        <is>
          <t>CAPEX 2030/2024=0.94</t>
        </is>
      </c>
      <c r="O73" t="n">
        <v>2024</v>
      </c>
      <c r="P73" t="n">
        <v>2030</v>
      </c>
      <c r="Q73" t="n">
        <v>2.162</v>
      </c>
    </row>
    <row r="74">
      <c r="A74" t="inlineStr">
        <is>
          <t>Rutovitz 2025</t>
        </is>
      </c>
      <c r="B74" t="inlineStr">
        <is>
          <t>Gas CCGT/OCGT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2050</v>
      </c>
      <c r="G74" t="n">
        <v>2.024</v>
      </c>
      <c r="H74" t="n">
        <v>2.024</v>
      </c>
      <c r="I74" t="inlineStr">
        <is>
          <t>CAPEX ratio fallback</t>
        </is>
      </c>
      <c r="J74" t="inlineStr"/>
      <c r="K74" t="inlineStr"/>
      <c r="L74" t="inlineStr">
        <is>
          <t>Natural Gas</t>
        </is>
      </c>
      <c r="M74" t="inlineStr"/>
      <c r="N74" t="inlineStr">
        <is>
          <t>CAPEX 2050/2024=0.88</t>
        </is>
      </c>
      <c r="O74" t="n">
        <v>2024</v>
      </c>
      <c r="P74" t="n">
        <v>2050</v>
      </c>
      <c r="Q74" t="n">
        <v>2.024</v>
      </c>
    </row>
    <row r="75">
      <c r="A75" t="inlineStr">
        <is>
          <t>JEDI-US</t>
        </is>
      </c>
      <c r="B75" t="inlineStr">
        <is>
          <t>Gas CCGT/OCGT</t>
        </is>
      </c>
      <c r="C75" t="inlineStr">
        <is>
          <t>O&amp;M</t>
        </is>
      </c>
      <c r="D75" t="inlineStr">
        <is>
          <t>Direct</t>
        </is>
      </c>
      <c r="E75" t="inlineStr">
        <is>
          <t>job/MW</t>
        </is>
      </c>
      <c r="F75" t="n">
        <v>2024</v>
      </c>
      <c r="G75" t="inlineStr">
        <is>
          <t>0.051</t>
        </is>
      </c>
      <c r="H75" t="n">
        <v>0.051</v>
      </c>
      <c r="I75" t="inlineStr">
        <is>
          <t>Original</t>
        </is>
      </c>
      <c r="J75" t="inlineStr"/>
      <c r="K75" t="inlineStr"/>
      <c r="L75" t="inlineStr"/>
      <c r="M75" t="inlineStr"/>
      <c r="N75" t="inlineStr"/>
      <c r="O75" t="n">
        <v>2024</v>
      </c>
      <c r="P75" t="n">
        <v>2024</v>
      </c>
      <c r="Q75" t="n">
        <v>0.051</v>
      </c>
    </row>
    <row r="76">
      <c r="A76" t="inlineStr">
        <is>
          <t>Rutovitz 2015</t>
        </is>
      </c>
      <c r="B76" t="inlineStr">
        <is>
          <t>Gas CCGT/OCGT</t>
        </is>
      </c>
      <c r="C76" t="inlineStr">
        <is>
          <t>O&amp;M</t>
        </is>
      </c>
      <c r="D76" t="inlineStr">
        <is>
          <t>Direct</t>
        </is>
      </c>
      <c r="E76" t="inlineStr">
        <is>
          <t>job/MW</t>
        </is>
      </c>
      <c r="F76" t="n">
        <v>2015</v>
      </c>
      <c r="G76" t="inlineStr">
        <is>
          <t>0.14</t>
        </is>
      </c>
      <c r="H76" t="n">
        <v>0.14</v>
      </c>
      <c r="I76" t="inlineStr">
        <is>
          <t>Original</t>
        </is>
      </c>
      <c r="J76" t="inlineStr"/>
      <c r="K76" t="inlineStr"/>
      <c r="L76" t="inlineStr"/>
      <c r="M76" t="inlineStr"/>
      <c r="N76" t="inlineStr"/>
      <c r="O76" t="n">
        <v>2015</v>
      </c>
      <c r="P76" t="n">
        <v>2015</v>
      </c>
      <c r="Q76" t="n">
        <v>0.14</v>
      </c>
    </row>
    <row r="77">
      <c r="A77" t="inlineStr">
        <is>
          <t>Rutovitz 2015</t>
        </is>
      </c>
      <c r="B77" t="inlineStr">
        <is>
          <t>Gas CCGT/OCGT</t>
        </is>
      </c>
      <c r="C77" t="inlineStr">
        <is>
          <t>O&amp;M</t>
        </is>
      </c>
      <c r="D77" t="inlineStr">
        <is>
          <t>Direct</t>
        </is>
      </c>
      <c r="E77" t="inlineStr">
        <is>
          <t>job/MW</t>
        </is>
      </c>
      <c r="F77" t="n">
        <v>2030</v>
      </c>
      <c r="G77">
        <f>G76*K77</f>
        <v/>
      </c>
      <c r="H77">
        <f>H76*K77</f>
        <v/>
      </c>
      <c r="I77" t="inlineStr">
        <is>
          <t>Rutovitz Table 9 decline to 2030</t>
        </is>
      </c>
      <c r="J77" t="inlineStr">
        <is>
          <t>Gas</t>
        </is>
      </c>
      <c r="K77">
        <f>INDEX(Mappings_Rutovitz!$D$2:$D$14,MATCH(J77,Mappings_Rutovitz!$B$2:$B$14,0))</f>
        <v/>
      </c>
      <c r="L77" t="inlineStr"/>
      <c r="M77" t="inlineStr"/>
      <c r="N77" t="inlineStr">
        <is>
          <t>Rutovitz Table 9 Latin America 2030</t>
        </is>
      </c>
      <c r="O77" t="n">
        <v>2015</v>
      </c>
      <c r="P77" t="n">
        <v>2030</v>
      </c>
      <c r="Q77">
        <f>Q76*K77</f>
        <v/>
      </c>
    </row>
    <row r="78">
      <c r="A78" t="inlineStr">
        <is>
          <t>Rutovitz 2025</t>
        </is>
      </c>
      <c r="B78" t="inlineStr">
        <is>
          <t>Gas CCGT/OCGT</t>
        </is>
      </c>
      <c r="C78" t="inlineStr">
        <is>
          <t>O&amp;M</t>
        </is>
      </c>
      <c r="D78" t="inlineStr">
        <is>
          <t>Direct</t>
        </is>
      </c>
      <c r="E78" t="inlineStr">
        <is>
          <t>job/MW</t>
        </is>
      </c>
      <c r="F78" t="n">
        <v>2024</v>
      </c>
      <c r="G78" t="inlineStr">
        <is>
          <t>0.14</t>
        </is>
      </c>
      <c r="H78" t="n">
        <v>0.14</v>
      </c>
      <c r="I78" t="inlineStr">
        <is>
          <t>Original</t>
        </is>
      </c>
      <c r="J78" t="inlineStr"/>
      <c r="K78" t="inlineStr"/>
      <c r="L78" t="inlineStr"/>
      <c r="M78" t="inlineStr"/>
      <c r="N78" t="inlineStr"/>
      <c r="O78" t="n">
        <v>2024</v>
      </c>
      <c r="P78" t="n">
        <v>2024</v>
      </c>
      <c r="Q78" t="n">
        <v>0.14</v>
      </c>
    </row>
    <row r="79">
      <c r="A79" t="inlineStr">
        <is>
          <t>Rutovitz 2015</t>
        </is>
      </c>
      <c r="B79" t="inlineStr">
        <is>
          <t>Geothermal</t>
        </is>
      </c>
      <c r="C79" t="inlineStr">
        <is>
          <t>Construction</t>
        </is>
      </c>
      <c r="D79" t="inlineStr">
        <is>
          <t>Direct</t>
        </is>
      </c>
      <c r="E79" t="inlineStr">
        <is>
          <t>job-yr/MW</t>
        </is>
      </c>
      <c r="F79" t="n">
        <v>2015</v>
      </c>
      <c r="G79" t="inlineStr">
        <is>
          <t>6.8</t>
        </is>
      </c>
      <c r="H79" t="n">
        <v>6.8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2015</v>
      </c>
      <c r="P79" t="n">
        <v>2015</v>
      </c>
      <c r="Q79" t="n">
        <v>6.8</v>
      </c>
    </row>
    <row r="80">
      <c r="A80" t="inlineStr">
        <is>
          <t>Rutovitz 2015</t>
        </is>
      </c>
      <c r="B80" t="inlineStr">
        <is>
          <t>Geothermal</t>
        </is>
      </c>
      <c r="C80" t="inlineStr">
        <is>
          <t>Construction</t>
        </is>
      </c>
      <c r="D80" t="inlineStr">
        <is>
          <t>Direct</t>
        </is>
      </c>
      <c r="E80" t="inlineStr">
        <is>
          <t>job-yr/MW</t>
        </is>
      </c>
      <c r="F80" t="n">
        <v>2030</v>
      </c>
      <c r="G80">
        <f>G79*K80</f>
        <v/>
      </c>
      <c r="H80">
        <f>H79*K80</f>
        <v/>
      </c>
      <c r="I80" t="inlineStr">
        <is>
          <t>Rutovitz Table 9 decline to 2030</t>
        </is>
      </c>
      <c r="J80" t="inlineStr">
        <is>
          <t>Geothermal power</t>
        </is>
      </c>
      <c r="K80">
        <f>INDEX(Mappings_Rutovitz!$D$2:$D$14,MATCH(J80,Mappings_Rutovitz!$B$2:$B$14,0))</f>
        <v/>
      </c>
      <c r="L80" t="inlineStr"/>
      <c r="M80" t="inlineStr"/>
      <c r="N80" t="inlineStr">
        <is>
          <t>Rutovitz Table 9 Latin America 2030</t>
        </is>
      </c>
      <c r="O80" t="n">
        <v>2015</v>
      </c>
      <c r="P80" t="n">
        <v>2030</v>
      </c>
      <c r="Q80">
        <f>Q79*K80</f>
        <v/>
      </c>
    </row>
    <row r="81">
      <c r="A81" t="inlineStr">
        <is>
          <t>I-JEDI</t>
        </is>
      </c>
      <c r="B81" t="inlineStr">
        <is>
          <t>Geothermal</t>
        </is>
      </c>
      <c r="C81" t="inlineStr">
        <is>
          <t>Construction&amp;Manufacturing</t>
        </is>
      </c>
      <c r="D81" t="inlineStr">
        <is>
          <t>Direct</t>
        </is>
      </c>
      <c r="E81" t="inlineStr">
        <is>
          <t>job-yr/MW</t>
        </is>
      </c>
      <c r="F81" t="n">
        <v>2024</v>
      </c>
      <c r="G81" t="inlineStr">
        <is>
          <t>5.087</t>
        </is>
      </c>
      <c r="H81" t="n">
        <v>5.087</v>
      </c>
      <c r="I81" t="inlineStr">
        <is>
          <t>Original</t>
        </is>
      </c>
      <c r="J81" t="inlineStr"/>
      <c r="K81" t="inlineStr"/>
      <c r="L81" t="inlineStr"/>
      <c r="M81" t="inlineStr"/>
      <c r="N81" t="inlineStr"/>
      <c r="O81" t="n">
        <v>2024</v>
      </c>
      <c r="P81" t="n">
        <v>2024</v>
      </c>
      <c r="Q81" t="n">
        <v>5.087</v>
      </c>
    </row>
    <row r="82">
      <c r="A82" t="inlineStr">
        <is>
          <t>I-JEDI</t>
        </is>
      </c>
      <c r="B82" t="inlineStr">
        <is>
          <t>Geothermal</t>
        </is>
      </c>
      <c r="C82" t="inlineStr">
        <is>
          <t>Construction&amp;Manufacturing</t>
        </is>
      </c>
      <c r="D82" t="inlineStr">
        <is>
          <t>Indirect</t>
        </is>
      </c>
      <c r="E82" t="inlineStr">
        <is>
          <t>job-yr/MW</t>
        </is>
      </c>
      <c r="F82" t="n">
        <v>2024</v>
      </c>
      <c r="G82" t="inlineStr">
        <is>
          <t>3.4</t>
        </is>
      </c>
      <c r="H82" t="n">
        <v>3.4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3.4</v>
      </c>
    </row>
    <row r="83">
      <c r="A83" t="inlineStr">
        <is>
          <t>I-JEDI</t>
        </is>
      </c>
      <c r="B83" t="inlineStr">
        <is>
          <t>Geothermal</t>
        </is>
      </c>
      <c r="C83" t="inlineStr">
        <is>
          <t>Construction&amp;Manufacturing</t>
        </is>
      </c>
      <c r="D83" t="inlineStr">
        <is>
          <t>Induced</t>
        </is>
      </c>
      <c r="E83" t="inlineStr">
        <is>
          <t>job-yr/MW</t>
        </is>
      </c>
      <c r="F83" t="n">
        <v>2024</v>
      </c>
      <c r="G83" t="inlineStr">
        <is>
          <t>5.5</t>
        </is>
      </c>
      <c r="H83" t="n">
        <v>5.5</v>
      </c>
      <c r="I83" t="inlineStr">
        <is>
          <t>Original</t>
        </is>
      </c>
      <c r="J83" t="inlineStr"/>
      <c r="K83" t="inlineStr"/>
      <c r="L83" t="inlineStr"/>
      <c r="M83" t="inlineStr"/>
      <c r="N83" t="inlineStr"/>
      <c r="O83" t="n">
        <v>2024</v>
      </c>
      <c r="P83" t="n">
        <v>2024</v>
      </c>
      <c r="Q83" t="n">
        <v>5.5</v>
      </c>
    </row>
    <row r="84">
      <c r="A84" t="inlineStr">
        <is>
          <t>Rutovitz 2015</t>
        </is>
      </c>
      <c r="B84" t="inlineStr">
        <is>
          <t>Geothermal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2015</v>
      </c>
      <c r="G84" t="inlineStr">
        <is>
          <t>3.9</t>
        </is>
      </c>
      <c r="H84" t="n">
        <v>3.9</v>
      </c>
      <c r="I84" t="inlineStr">
        <is>
          <t>Original</t>
        </is>
      </c>
      <c r="J84" t="inlineStr"/>
      <c r="K84" t="inlineStr"/>
      <c r="L84" t="inlineStr"/>
      <c r="M84" t="inlineStr"/>
      <c r="N84" t="inlineStr"/>
      <c r="O84" t="n">
        <v>2015</v>
      </c>
      <c r="P84" t="n">
        <v>2015</v>
      </c>
      <c r="Q84" t="n">
        <v>3.9</v>
      </c>
    </row>
    <row r="85">
      <c r="A85" t="inlineStr">
        <is>
          <t>Rutovitz 2015</t>
        </is>
      </c>
      <c r="B85" t="inlineStr">
        <is>
          <t>Geothermal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2030</v>
      </c>
      <c r="G85">
        <f>G84*K85</f>
        <v/>
      </c>
      <c r="H85">
        <f>H84*K85</f>
        <v/>
      </c>
      <c r="I85" t="inlineStr">
        <is>
          <t>Rutovitz Table 9 decline to 2030</t>
        </is>
      </c>
      <c r="J85" t="inlineStr">
        <is>
          <t>Geothermal power</t>
        </is>
      </c>
      <c r="K85">
        <f>INDEX(Mappings_Rutovitz!$D$2:$D$14,MATCH(J85,Mappings_Rutovitz!$B$2:$B$14,0))</f>
        <v/>
      </c>
      <c r="L85" t="inlineStr"/>
      <c r="M85" t="inlineStr"/>
      <c r="N85" t="inlineStr">
        <is>
          <t>Rutovitz Table 9 Latin America 2030</t>
        </is>
      </c>
      <c r="O85" t="n">
        <v>2015</v>
      </c>
      <c r="P85" t="n">
        <v>2030</v>
      </c>
      <c r="Q85">
        <f>Q84*K85</f>
        <v/>
      </c>
    </row>
    <row r="86">
      <c r="A86" t="inlineStr">
        <is>
          <t>I-JEDI</t>
        </is>
      </c>
      <c r="B86" t="inlineStr">
        <is>
          <t>Geothermal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2024</v>
      </c>
      <c r="G86" t="inlineStr">
        <is>
          <t>0.008</t>
        </is>
      </c>
      <c r="H86" t="n">
        <v>0.008</v>
      </c>
      <c r="I86" t="inlineStr">
        <is>
          <t>Original</t>
        </is>
      </c>
      <c r="J86" t="inlineStr"/>
      <c r="K86" t="inlineStr"/>
      <c r="L86" t="inlineStr"/>
      <c r="M86" t="inlineStr"/>
      <c r="N86" t="inlineStr"/>
      <c r="O86" t="n">
        <v>2024</v>
      </c>
      <c r="P86" t="n">
        <v>2024</v>
      </c>
      <c r="Q86" t="n">
        <v>0.008</v>
      </c>
    </row>
    <row r="87">
      <c r="A87" t="inlineStr">
        <is>
          <t>Rutovitz 2015</t>
        </is>
      </c>
      <c r="B87" t="inlineStr">
        <is>
          <t>Geothermal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2015</v>
      </c>
      <c r="G87" t="inlineStr">
        <is>
          <t>0.4</t>
        </is>
      </c>
      <c r="H87" t="n">
        <v>0.4</v>
      </c>
      <c r="I87" t="inlineStr">
        <is>
          <t>Original</t>
        </is>
      </c>
      <c r="J87" t="inlineStr"/>
      <c r="K87" t="inlineStr"/>
      <c r="L87" t="inlineStr"/>
      <c r="M87" t="inlineStr"/>
      <c r="N87" t="inlineStr"/>
      <c r="O87" t="n">
        <v>2015</v>
      </c>
      <c r="P87" t="n">
        <v>2015</v>
      </c>
      <c r="Q87" t="n">
        <v>0.4</v>
      </c>
    </row>
    <row r="88">
      <c r="A88" t="inlineStr">
        <is>
          <t>Rutovitz 2015</t>
        </is>
      </c>
      <c r="B88" t="inlineStr">
        <is>
          <t>Geothermal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2030</v>
      </c>
      <c r="G88">
        <f>G87*K88</f>
        <v/>
      </c>
      <c r="H88">
        <f>H87*K88</f>
        <v/>
      </c>
      <c r="I88" t="inlineStr">
        <is>
          <t>Rutovitz Table 9 decline to 2030</t>
        </is>
      </c>
      <c r="J88" t="inlineStr">
        <is>
          <t>Geothermal power</t>
        </is>
      </c>
      <c r="K88">
        <f>INDEX(Mappings_Rutovitz!$D$2:$D$14,MATCH(J88,Mappings_Rutovitz!$B$2:$B$14,0))</f>
        <v/>
      </c>
      <c r="L88" t="inlineStr"/>
      <c r="M88" t="inlineStr"/>
      <c r="N88" t="inlineStr">
        <is>
          <t>Rutovitz Table 9 Latin America 2030</t>
        </is>
      </c>
      <c r="O88" t="n">
        <v>2015</v>
      </c>
      <c r="P88" t="n">
        <v>2030</v>
      </c>
      <c r="Q88">
        <f>Q87*K88</f>
        <v/>
      </c>
    </row>
    <row r="89">
      <c r="A89" t="inlineStr">
        <is>
          <t>I-JEDI</t>
        </is>
      </c>
      <c r="B89" t="inlineStr">
        <is>
          <t>Geothermal</t>
        </is>
      </c>
      <c r="C89" t="inlineStr">
        <is>
          <t>O&amp;M</t>
        </is>
      </c>
      <c r="D89" t="inlineStr">
        <is>
          <t>Indirect</t>
        </is>
      </c>
      <c r="E89" t="inlineStr">
        <is>
          <t>job/MW</t>
        </is>
      </c>
      <c r="F89" t="n">
        <v>2024</v>
      </c>
      <c r="G89" t="inlineStr">
        <is>
          <t>0.01</t>
        </is>
      </c>
      <c r="H89" t="n">
        <v>0.01</v>
      </c>
      <c r="I89" t="inlineStr">
        <is>
          <t>Original</t>
        </is>
      </c>
      <c r="J89" t="inlineStr"/>
      <c r="K89" t="inlineStr"/>
      <c r="L89" t="inlineStr"/>
      <c r="M89" t="inlineStr"/>
      <c r="N89" t="inlineStr"/>
      <c r="O89" t="n">
        <v>2024</v>
      </c>
      <c r="P89" t="n">
        <v>2024</v>
      </c>
      <c r="Q89" t="n">
        <v>0.01</v>
      </c>
    </row>
    <row r="90">
      <c r="A90" t="inlineStr">
        <is>
          <t>I-JEDI</t>
        </is>
      </c>
      <c r="B90" t="inlineStr">
        <is>
          <t>Geothermal</t>
        </is>
      </c>
      <c r="C90" t="inlineStr">
        <is>
          <t>O&amp;M</t>
        </is>
      </c>
      <c r="D90" t="inlineStr">
        <is>
          <t>Induced</t>
        </is>
      </c>
      <c r="E90" t="inlineStr">
        <is>
          <t>job/MW</t>
        </is>
      </c>
      <c r="F90" t="n">
        <v>2024</v>
      </c>
      <c r="G90" t="inlineStr">
        <is>
          <t>0.029</t>
        </is>
      </c>
      <c r="H90" t="n">
        <v>0.029</v>
      </c>
      <c r="I90" t="inlineStr">
        <is>
          <t>Original</t>
        </is>
      </c>
      <c r="J90" t="inlineStr"/>
      <c r="K90" t="inlineStr"/>
      <c r="L90" t="inlineStr"/>
      <c r="M90" t="inlineStr"/>
      <c r="N90" t="inlineStr"/>
      <c r="O90" t="n">
        <v>2024</v>
      </c>
      <c r="P90" t="n">
        <v>2024</v>
      </c>
      <c r="Q90" t="n">
        <v>0.029</v>
      </c>
    </row>
    <row r="91">
      <c r="A91" t="inlineStr">
        <is>
          <t>Rutovitz 2015</t>
        </is>
      </c>
      <c r="B91" t="inlineStr">
        <is>
          <t>Hydro (large)</t>
        </is>
      </c>
      <c r="C91" t="inlineStr">
        <is>
          <t>Construction</t>
        </is>
      </c>
      <c r="D91" t="inlineStr">
        <is>
          <t>Direct</t>
        </is>
      </c>
      <c r="E91" t="inlineStr">
        <is>
          <t>job-yr/MW</t>
        </is>
      </c>
      <c r="F91" t="n">
        <v>2015</v>
      </c>
      <c r="G91" t="inlineStr">
        <is>
          <t>7.4</t>
        </is>
      </c>
      <c r="H91" t="n">
        <v>7.4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2015</v>
      </c>
      <c r="P91" t="n">
        <v>2015</v>
      </c>
      <c r="Q91" t="n">
        <v>7.4</v>
      </c>
    </row>
    <row r="92">
      <c r="A92" t="inlineStr">
        <is>
          <t>Rutovitz 2015</t>
        </is>
      </c>
      <c r="B92" t="inlineStr">
        <is>
          <t>Hydro (large)</t>
        </is>
      </c>
      <c r="C92" t="inlineStr">
        <is>
          <t>Construction</t>
        </is>
      </c>
      <c r="D92" t="inlineStr">
        <is>
          <t>Direct</t>
        </is>
      </c>
      <c r="E92" t="inlineStr">
        <is>
          <t>job-yr/MW</t>
        </is>
      </c>
      <c r="F92" t="n">
        <v>2030</v>
      </c>
      <c r="G92">
        <f>G91*K92</f>
        <v/>
      </c>
      <c r="H92">
        <f>H91*K92</f>
        <v/>
      </c>
      <c r="I92" t="inlineStr">
        <is>
          <t>Rutovitz Table 9 decline to 2030</t>
        </is>
      </c>
      <c r="J92" t="inlineStr">
        <is>
          <t>Hydro-large</t>
        </is>
      </c>
      <c r="K92">
        <f>INDEX(Mappings_Rutovitz!$D$2:$D$14,MATCH(J92,Mappings_Rutovitz!$B$2:$B$14,0))</f>
        <v/>
      </c>
      <c r="L92" t="inlineStr"/>
      <c r="M92" t="inlineStr"/>
      <c r="N92" t="inlineStr">
        <is>
          <t>Rutovitz Table 9 Latin America 2030</t>
        </is>
      </c>
      <c r="O92" t="n">
        <v>2015</v>
      </c>
      <c r="P92" t="n">
        <v>2030</v>
      </c>
      <c r="Q92">
        <f>Q91*K92</f>
        <v/>
      </c>
    </row>
    <row r="93">
      <c r="A93" t="inlineStr">
        <is>
          <t>Rutovitz 2015</t>
        </is>
      </c>
      <c r="B93" t="inlineStr">
        <is>
          <t>Hydro (large)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2015</v>
      </c>
      <c r="G93" t="inlineStr">
        <is>
          <t>3.5</t>
        </is>
      </c>
      <c r="H93" t="n">
        <v>3.5</v>
      </c>
      <c r="I93" t="inlineStr">
        <is>
          <t>Original</t>
        </is>
      </c>
      <c r="J93" t="inlineStr"/>
      <c r="K93" t="inlineStr"/>
      <c r="L93" t="inlineStr"/>
      <c r="M93" t="inlineStr"/>
      <c r="N93" t="inlineStr"/>
      <c r="O93" t="n">
        <v>2015</v>
      </c>
      <c r="P93" t="n">
        <v>2015</v>
      </c>
      <c r="Q93" t="n">
        <v>3.5</v>
      </c>
    </row>
    <row r="94">
      <c r="A94" t="inlineStr">
        <is>
          <t>Rutovitz 2015</t>
        </is>
      </c>
      <c r="B94" t="inlineStr">
        <is>
          <t>Hydro (large)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2030</v>
      </c>
      <c r="G94">
        <f>G93*K94</f>
        <v/>
      </c>
      <c r="H94">
        <f>H93*K94</f>
        <v/>
      </c>
      <c r="I94" t="inlineStr">
        <is>
          <t>Rutovitz Table 9 decline to 2030</t>
        </is>
      </c>
      <c r="J94" t="inlineStr">
        <is>
          <t>Hydro-large</t>
        </is>
      </c>
      <c r="K94">
        <f>INDEX(Mappings_Rutovitz!$D$2:$D$14,MATCH(J94,Mappings_Rutovitz!$B$2:$B$14,0))</f>
        <v/>
      </c>
      <c r="L94" t="inlineStr"/>
      <c r="M94" t="inlineStr"/>
      <c r="N94" t="inlineStr">
        <is>
          <t>Rutovitz Table 9 Latin America 2030</t>
        </is>
      </c>
      <c r="O94" t="n">
        <v>2015</v>
      </c>
      <c r="P94" t="n">
        <v>2030</v>
      </c>
      <c r="Q94">
        <f>Q93*K94</f>
        <v/>
      </c>
    </row>
    <row r="95">
      <c r="A95" t="inlineStr">
        <is>
          <t>Rutovitz 2015</t>
        </is>
      </c>
      <c r="B95" t="inlineStr">
        <is>
          <t>Hydro (large)</t>
        </is>
      </c>
      <c r="C95" t="inlineStr">
        <is>
          <t>O&amp;M</t>
        </is>
      </c>
      <c r="D95" t="inlineStr">
        <is>
          <t>Direct</t>
        </is>
      </c>
      <c r="E95" t="inlineStr">
        <is>
          <t>job/MW</t>
        </is>
      </c>
      <c r="F95" t="n">
        <v>2015</v>
      </c>
      <c r="G95" t="inlineStr">
        <is>
          <t>0.6</t>
        </is>
      </c>
      <c r="H95" t="n">
        <v>0.6</v>
      </c>
      <c r="I95" t="inlineStr">
        <is>
          <t>Original</t>
        </is>
      </c>
      <c r="J95" t="inlineStr"/>
      <c r="K95" t="inlineStr"/>
      <c r="L95" t="inlineStr"/>
      <c r="M95" t="inlineStr"/>
      <c r="N95" t="inlineStr"/>
      <c r="O95" t="n">
        <v>2015</v>
      </c>
      <c r="P95" t="n">
        <v>2015</v>
      </c>
      <c r="Q95" t="n">
        <v>0.6</v>
      </c>
    </row>
    <row r="96">
      <c r="A96" t="inlineStr">
        <is>
          <t>Rutovitz 2015</t>
        </is>
      </c>
      <c r="B96" t="inlineStr">
        <is>
          <t>Hydro (large)</t>
        </is>
      </c>
      <c r="C96" t="inlineStr">
        <is>
          <t>O&amp;M</t>
        </is>
      </c>
      <c r="D96" t="inlineStr">
        <is>
          <t>Direct</t>
        </is>
      </c>
      <c r="E96" t="inlineStr">
        <is>
          <t>job/MW</t>
        </is>
      </c>
      <c r="F96" t="n">
        <v>2030</v>
      </c>
      <c r="G96">
        <f>G95*K96</f>
        <v/>
      </c>
      <c r="H96">
        <f>H95*K96</f>
        <v/>
      </c>
      <c r="I96" t="inlineStr">
        <is>
          <t>Rutovitz Table 9 decline to 2030</t>
        </is>
      </c>
      <c r="J96" t="inlineStr">
        <is>
          <t>Hydro-large</t>
        </is>
      </c>
      <c r="K96">
        <f>INDEX(Mappings_Rutovitz!$D$2:$D$14,MATCH(J96,Mappings_Rutovitz!$B$2:$B$14,0))</f>
        <v/>
      </c>
      <c r="L96" t="inlineStr"/>
      <c r="M96" t="inlineStr"/>
      <c r="N96" t="inlineStr">
        <is>
          <t>Rutovitz Table 9 Latin America 2030</t>
        </is>
      </c>
      <c r="O96" t="n">
        <v>2015</v>
      </c>
      <c r="P96" t="n">
        <v>2030</v>
      </c>
      <c r="Q96">
        <f>Q95*K96</f>
        <v/>
      </c>
    </row>
    <row r="97">
      <c r="A97" t="inlineStr">
        <is>
          <t>Rutovitz 2015</t>
        </is>
      </c>
      <c r="B97" t="inlineStr">
        <is>
          <t>Hydro (small)</t>
        </is>
      </c>
      <c r="C97" t="inlineStr">
        <is>
          <t>Construction</t>
        </is>
      </c>
      <c r="D97" t="inlineStr">
        <is>
          <t>Direct</t>
        </is>
      </c>
      <c r="E97" t="inlineStr">
        <is>
          <t>job-yr/MW</t>
        </is>
      </c>
      <c r="F97" t="n">
        <v>2015</v>
      </c>
      <c r="G97" t="inlineStr">
        <is>
          <t>15.8</t>
        </is>
      </c>
      <c r="H97" t="n">
        <v>15.8</v>
      </c>
      <c r="I97" t="inlineStr">
        <is>
          <t>Original</t>
        </is>
      </c>
      <c r="J97" t="inlineStr"/>
      <c r="K97" t="inlineStr"/>
      <c r="L97" t="inlineStr"/>
      <c r="M97" t="inlineStr"/>
      <c r="N97" t="inlineStr"/>
      <c r="O97" t="n">
        <v>2015</v>
      </c>
      <c r="P97" t="n">
        <v>2015</v>
      </c>
      <c r="Q97" t="n">
        <v>15.8</v>
      </c>
    </row>
    <row r="98">
      <c r="A98" t="inlineStr">
        <is>
          <t>Rutovitz 2015</t>
        </is>
      </c>
      <c r="B98" t="inlineStr">
        <is>
          <t>Hydro (small)</t>
        </is>
      </c>
      <c r="C98" t="inlineStr">
        <is>
          <t>Construction</t>
        </is>
      </c>
      <c r="D98" t="inlineStr">
        <is>
          <t>Direct</t>
        </is>
      </c>
      <c r="E98" t="inlineStr">
        <is>
          <t>job-yr/MW</t>
        </is>
      </c>
      <c r="F98" t="n">
        <v>2030</v>
      </c>
      <c r="G98">
        <f>G97*K98</f>
        <v/>
      </c>
      <c r="H98">
        <f>H97*K98</f>
        <v/>
      </c>
      <c r="I98" t="inlineStr">
        <is>
          <t>Rutovitz Table 9 decline to 2030</t>
        </is>
      </c>
      <c r="J98" t="inlineStr">
        <is>
          <t>Hydro-small</t>
        </is>
      </c>
      <c r="K98">
        <f>INDEX(Mappings_Rutovitz!$D$2:$D$14,MATCH(J98,Mappings_Rutovitz!$B$2:$B$14,0))</f>
        <v/>
      </c>
      <c r="L98" t="inlineStr"/>
      <c r="M98" t="inlineStr"/>
      <c r="N98" t="inlineStr">
        <is>
          <t>Rutovitz Table 9 Latin America 2030</t>
        </is>
      </c>
      <c r="O98" t="n">
        <v>2015</v>
      </c>
      <c r="P98" t="n">
        <v>2030</v>
      </c>
      <c r="Q98">
        <f>Q97*K98</f>
        <v/>
      </c>
    </row>
    <row r="99">
      <c r="A99" t="inlineStr">
        <is>
          <t>Rutovitz 2015</t>
        </is>
      </c>
      <c r="B99" t="inlineStr">
        <is>
          <t>Hydro (small)</t>
        </is>
      </c>
      <c r="C99" t="inlineStr">
        <is>
          <t>Manufacturing</t>
        </is>
      </c>
      <c r="D99" t="inlineStr">
        <is>
          <t>Direct</t>
        </is>
      </c>
      <c r="E99" t="inlineStr">
        <is>
          <t>job-yr/MW</t>
        </is>
      </c>
      <c r="F99" t="n">
        <v>2015</v>
      </c>
      <c r="G99" t="inlineStr">
        <is>
          <t>10.9</t>
        </is>
      </c>
      <c r="H99" t="n">
        <v>10.9</v>
      </c>
      <c r="I99" t="inlineStr">
        <is>
          <t>Original</t>
        </is>
      </c>
      <c r="J99" t="inlineStr"/>
      <c r="K99" t="inlineStr"/>
      <c r="L99" t="inlineStr"/>
      <c r="M99" t="inlineStr"/>
      <c r="N99" t="inlineStr"/>
      <c r="O99" t="n">
        <v>2015</v>
      </c>
      <c r="P99" t="n">
        <v>2015</v>
      </c>
      <c r="Q99" t="n">
        <v>10.9</v>
      </c>
    </row>
    <row r="100">
      <c r="A100" t="inlineStr">
        <is>
          <t>Rutovitz 2015</t>
        </is>
      </c>
      <c r="B100" t="inlineStr">
        <is>
          <t>Hydro (small)</t>
        </is>
      </c>
      <c r="C100" t="inlineStr">
        <is>
          <t>Manufacturing</t>
        </is>
      </c>
      <c r="D100" t="inlineStr">
        <is>
          <t>Direct</t>
        </is>
      </c>
      <c r="E100" t="inlineStr">
        <is>
          <t>job-yr/MW</t>
        </is>
      </c>
      <c r="F100" t="n">
        <v>2030</v>
      </c>
      <c r="G100">
        <f>G99*K100</f>
        <v/>
      </c>
      <c r="H100">
        <f>H99*K100</f>
        <v/>
      </c>
      <c r="I100" t="inlineStr">
        <is>
          <t>Rutovitz Table 9 decline to 2030</t>
        </is>
      </c>
      <c r="J100" t="inlineStr">
        <is>
          <t>Hydro-small</t>
        </is>
      </c>
      <c r="K100">
        <f>INDEX(Mappings_Rutovitz!$D$2:$D$14,MATCH(J100,Mappings_Rutovitz!$B$2:$B$14,0))</f>
        <v/>
      </c>
      <c r="L100" t="inlineStr"/>
      <c r="M100" t="inlineStr"/>
      <c r="N100" t="inlineStr">
        <is>
          <t>Rutovitz Table 9 Latin America 2030</t>
        </is>
      </c>
      <c r="O100" t="n">
        <v>2015</v>
      </c>
      <c r="P100" t="n">
        <v>2030</v>
      </c>
      <c r="Q100">
        <f>Q99*K100</f>
        <v/>
      </c>
    </row>
    <row r="101">
      <c r="A101" t="inlineStr">
        <is>
          <t>Rutovitz 2015</t>
        </is>
      </c>
      <c r="B101" t="inlineStr">
        <is>
          <t>Hydro (small)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2015</v>
      </c>
      <c r="G101" t="inlineStr">
        <is>
          <t>4.9</t>
        </is>
      </c>
      <c r="H101" t="n">
        <v>4.9</v>
      </c>
      <c r="I101" t="inlineStr">
        <is>
          <t>Original</t>
        </is>
      </c>
      <c r="J101" t="inlineStr"/>
      <c r="K101" t="inlineStr"/>
      <c r="L101" t="inlineStr"/>
      <c r="M101" t="inlineStr"/>
      <c r="N101" t="inlineStr"/>
      <c r="O101" t="n">
        <v>2015</v>
      </c>
      <c r="P101" t="n">
        <v>2015</v>
      </c>
      <c r="Q101" t="n">
        <v>4.9</v>
      </c>
    </row>
    <row r="102">
      <c r="A102" t="inlineStr">
        <is>
          <t>Rutovitz 2015</t>
        </is>
      </c>
      <c r="B102" t="inlineStr">
        <is>
          <t>Hydro (small)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2030</v>
      </c>
      <c r="G102">
        <f>G101*K102</f>
        <v/>
      </c>
      <c r="H102">
        <f>H101*K102</f>
        <v/>
      </c>
      <c r="I102" t="inlineStr">
        <is>
          <t>Rutovitz Table 9 decline to 2030</t>
        </is>
      </c>
      <c r="J102" t="inlineStr">
        <is>
          <t>Hydro-small</t>
        </is>
      </c>
      <c r="K102">
        <f>INDEX(Mappings_Rutovitz!$D$2:$D$14,MATCH(J102,Mappings_Rutovitz!$B$2:$B$14,0))</f>
        <v/>
      </c>
      <c r="L102" t="inlineStr"/>
      <c r="M102" t="inlineStr"/>
      <c r="N102" t="inlineStr">
        <is>
          <t>Rutovitz Table 9 Latin America 2030</t>
        </is>
      </c>
      <c r="O102" t="n">
        <v>2015</v>
      </c>
      <c r="P102" t="n">
        <v>2030</v>
      </c>
      <c r="Q102">
        <f>Q101*K102</f>
        <v/>
      </c>
    </row>
    <row r="103">
      <c r="A103" t="inlineStr">
        <is>
          <t>Rutovitz 2015</t>
        </is>
      </c>
      <c r="B103" t="inlineStr">
        <is>
          <t>Nuclear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2015</v>
      </c>
      <c r="G103" t="inlineStr">
        <is>
          <t>19.6</t>
        </is>
      </c>
      <c r="H103" t="n">
        <v>19.6</v>
      </c>
      <c r="I103" t="inlineStr">
        <is>
          <t>Original</t>
        </is>
      </c>
      <c r="J103" t="inlineStr"/>
      <c r="K103" t="inlineStr"/>
      <c r="L103" t="inlineStr"/>
      <c r="M103" t="inlineStr"/>
      <c r="N103" t="inlineStr"/>
      <c r="O103" t="n">
        <v>2015</v>
      </c>
      <c r="P103" t="n">
        <v>2015</v>
      </c>
      <c r="Q103" t="n">
        <v>19.6</v>
      </c>
    </row>
    <row r="104">
      <c r="A104" t="inlineStr">
        <is>
          <t>Rutovitz 2015</t>
        </is>
      </c>
      <c r="B104" t="inlineStr">
        <is>
          <t>Nuclear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>
        <f>G103*K104</f>
        <v/>
      </c>
      <c r="H104">
        <f>H103*K104</f>
        <v/>
      </c>
      <c r="I104" t="inlineStr">
        <is>
          <t>Rutovitz Table 9 decline to 2030</t>
        </is>
      </c>
      <c r="J104" t="inlineStr">
        <is>
          <t>Nuclear</t>
        </is>
      </c>
      <c r="K104">
        <f>INDEX(Mappings_Rutovitz!$D$2:$D$14,MATCH(J104,Mappings_Rutovitz!$B$2:$B$14,0))</f>
        <v/>
      </c>
      <c r="L104" t="inlineStr"/>
      <c r="M104" t="inlineStr"/>
      <c r="N104" t="inlineStr">
        <is>
          <t>Rutovitz Table 9 Latin America 2030</t>
        </is>
      </c>
      <c r="O104" t="n">
        <v>2015</v>
      </c>
      <c r="P104" t="n">
        <v>2030</v>
      </c>
      <c r="Q104">
        <f>Q103*K104</f>
        <v/>
      </c>
    </row>
    <row r="105">
      <c r="A105" t="inlineStr">
        <is>
          <t>Rutovitz 2015</t>
        </is>
      </c>
      <c r="B105" t="inlineStr">
        <is>
          <t>Nuclear</t>
        </is>
      </c>
      <c r="C105" t="inlineStr">
        <is>
          <t>Manufacturing</t>
        </is>
      </c>
      <c r="D105" t="inlineStr">
        <is>
          <t>Direct</t>
        </is>
      </c>
      <c r="E105" t="inlineStr">
        <is>
          <t>job-yr/MW</t>
        </is>
      </c>
      <c r="F105" t="n">
        <v>2015</v>
      </c>
      <c r="G105" t="inlineStr">
        <is>
          <t>1.3</t>
        </is>
      </c>
      <c r="H105" t="n">
        <v>1.3</v>
      </c>
      <c r="I105" t="inlineStr">
        <is>
          <t>Original</t>
        </is>
      </c>
      <c r="J105" t="inlineStr"/>
      <c r="K105" t="inlineStr"/>
      <c r="L105" t="inlineStr"/>
      <c r="M105" t="inlineStr"/>
      <c r="N105" t="inlineStr"/>
      <c r="O105" t="n">
        <v>2015</v>
      </c>
      <c r="P105" t="n">
        <v>2015</v>
      </c>
      <c r="Q105" t="n">
        <v>1.3</v>
      </c>
    </row>
    <row r="106">
      <c r="A106" t="inlineStr">
        <is>
          <t>Rutovitz 2015</t>
        </is>
      </c>
      <c r="B106" t="inlineStr">
        <is>
          <t>Nuclear</t>
        </is>
      </c>
      <c r="C106" t="inlineStr">
        <is>
          <t>Manufacturing</t>
        </is>
      </c>
      <c r="D106" t="inlineStr">
        <is>
          <t>Direct</t>
        </is>
      </c>
      <c r="E106" t="inlineStr">
        <is>
          <t>job-yr/MW</t>
        </is>
      </c>
      <c r="F106" t="n">
        <v>2030</v>
      </c>
      <c r="G106">
        <f>G105*K106</f>
        <v/>
      </c>
      <c r="H106">
        <f>H105*K106</f>
        <v/>
      </c>
      <c r="I106" t="inlineStr">
        <is>
          <t>Rutovitz Table 9 decline to 2030</t>
        </is>
      </c>
      <c r="J106" t="inlineStr">
        <is>
          <t>Nuclear</t>
        </is>
      </c>
      <c r="K106">
        <f>INDEX(Mappings_Rutovitz!$D$2:$D$14,MATCH(J106,Mappings_Rutovitz!$B$2:$B$14,0))</f>
        <v/>
      </c>
      <c r="L106" t="inlineStr"/>
      <c r="M106" t="inlineStr"/>
      <c r="N106" t="inlineStr">
        <is>
          <t>Rutovitz Table 9 Latin America 2030</t>
        </is>
      </c>
      <c r="O106" t="n">
        <v>2015</v>
      </c>
      <c r="P106" t="n">
        <v>2030</v>
      </c>
      <c r="Q106">
        <f>Q105*K106</f>
        <v/>
      </c>
    </row>
    <row r="107">
      <c r="A107" t="inlineStr">
        <is>
          <t>Rutovitz 2015</t>
        </is>
      </c>
      <c r="B107" t="inlineStr">
        <is>
          <t>Nuclear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2015</v>
      </c>
      <c r="G107" t="inlineStr">
        <is>
          <t>1.15</t>
        </is>
      </c>
      <c r="H107" t="n">
        <v>1.15</v>
      </c>
      <c r="I107" t="inlineStr">
        <is>
          <t>Original</t>
        </is>
      </c>
      <c r="J107" t="inlineStr"/>
      <c r="K107" t="inlineStr"/>
      <c r="L107" t="inlineStr"/>
      <c r="M107" t="inlineStr"/>
      <c r="N107" t="inlineStr"/>
      <c r="O107" t="n">
        <v>2015</v>
      </c>
      <c r="P107" t="n">
        <v>2015</v>
      </c>
      <c r="Q107" t="n">
        <v>1.15</v>
      </c>
    </row>
    <row r="108">
      <c r="A108" t="inlineStr">
        <is>
          <t>Rutovitz 2015</t>
        </is>
      </c>
      <c r="B108" t="inlineStr">
        <is>
          <t>Nuclear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2030</v>
      </c>
      <c r="G108">
        <f>G107*K108</f>
        <v/>
      </c>
      <c r="H108">
        <f>H107*K108</f>
        <v/>
      </c>
      <c r="I108" t="inlineStr">
        <is>
          <t>Rutovitz Table 9 decline to 2030</t>
        </is>
      </c>
      <c r="J108" t="inlineStr">
        <is>
          <t>Nuclear</t>
        </is>
      </c>
      <c r="K108">
        <f>INDEX(Mappings_Rutovitz!$D$2:$D$14,MATCH(J108,Mappings_Rutovitz!$B$2:$B$14,0))</f>
        <v/>
      </c>
      <c r="L108" t="inlineStr"/>
      <c r="M108" t="inlineStr"/>
      <c r="N108" t="inlineStr">
        <is>
          <t>Rutovitz Table 9 Latin America 2030</t>
        </is>
      </c>
      <c r="O108" t="n">
        <v>2015</v>
      </c>
      <c r="P108" t="n">
        <v>2030</v>
      </c>
      <c r="Q108">
        <f>Q107*K108</f>
        <v/>
      </c>
    </row>
    <row r="109">
      <c r="A109" t="inlineStr">
        <is>
          <t>Rutovitz 2015</t>
        </is>
      </c>
      <c r="B109" t="inlineStr">
        <is>
          <t>Ocean</t>
        </is>
      </c>
      <c r="C109" t="inlineStr">
        <is>
          <t>Construction</t>
        </is>
      </c>
      <c r="D109" t="inlineStr">
        <is>
          <t>Direct</t>
        </is>
      </c>
      <c r="E109" t="inlineStr">
        <is>
          <t>job-yr/MW</t>
        </is>
      </c>
      <c r="F109" t="n">
        <v>2015</v>
      </c>
      <c r="G109" t="inlineStr">
        <is>
          <t>10.2</t>
        </is>
      </c>
      <c r="H109" t="n">
        <v>10.2</v>
      </c>
      <c r="I109" t="inlineStr">
        <is>
          <t>Original</t>
        </is>
      </c>
      <c r="J109" t="inlineStr"/>
      <c r="K109" t="inlineStr"/>
      <c r="L109" t="inlineStr"/>
      <c r="M109" t="inlineStr"/>
      <c r="N109" t="inlineStr"/>
      <c r="O109" t="n">
        <v>2015</v>
      </c>
      <c r="P109" t="n">
        <v>2015</v>
      </c>
      <c r="Q109" t="n">
        <v>10.2</v>
      </c>
    </row>
    <row r="110">
      <c r="A110" t="inlineStr">
        <is>
          <t>Rutovitz 2015</t>
        </is>
      </c>
      <c r="B110" t="inlineStr">
        <is>
          <t>Ocean</t>
        </is>
      </c>
      <c r="C110" t="inlineStr">
        <is>
          <t>Construction</t>
        </is>
      </c>
      <c r="D110" t="inlineStr">
        <is>
          <t>Direct</t>
        </is>
      </c>
      <c r="E110" t="inlineStr">
        <is>
          <t>job-yr/MW</t>
        </is>
      </c>
      <c r="F110" t="n">
        <v>2030</v>
      </c>
      <c r="G110">
        <f>G109*K110</f>
        <v/>
      </c>
      <c r="H110">
        <f>H109*K110</f>
        <v/>
      </c>
      <c r="I110" t="inlineStr">
        <is>
          <t>Rutovitz Table 9 decline to 2030</t>
        </is>
      </c>
      <c r="J110" t="inlineStr">
        <is>
          <t>Ocean</t>
        </is>
      </c>
      <c r="K110">
        <f>INDEX(Mappings_Rutovitz!$D$2:$D$14,MATCH(J110,Mappings_Rutovitz!$B$2:$B$14,0))</f>
        <v/>
      </c>
      <c r="L110" t="inlineStr"/>
      <c r="M110" t="inlineStr"/>
      <c r="N110" t="inlineStr">
        <is>
          <t>Rutovitz Table 9 Latin America 2030</t>
        </is>
      </c>
      <c r="O110" t="n">
        <v>2015</v>
      </c>
      <c r="P110" t="n">
        <v>2030</v>
      </c>
      <c r="Q110">
        <f>Q109*K110</f>
        <v/>
      </c>
    </row>
    <row r="111">
      <c r="A111" t="inlineStr">
        <is>
          <t>Rutovitz 2015</t>
        </is>
      </c>
      <c r="B111" t="inlineStr">
        <is>
          <t>Ocean</t>
        </is>
      </c>
      <c r="C111" t="inlineStr">
        <is>
          <t>Manufacturing</t>
        </is>
      </c>
      <c r="D111" t="inlineStr">
        <is>
          <t>Direct</t>
        </is>
      </c>
      <c r="E111" t="inlineStr">
        <is>
          <t>job-yr/MW</t>
        </is>
      </c>
      <c r="F111" t="n">
        <v>2015</v>
      </c>
      <c r="G111" t="inlineStr">
        <is>
          <t>10.2</t>
        </is>
      </c>
      <c r="H111" t="n">
        <v>10.2</v>
      </c>
      <c r="I111" t="inlineStr">
        <is>
          <t>Original</t>
        </is>
      </c>
      <c r="J111" t="inlineStr"/>
      <c r="K111" t="inlineStr"/>
      <c r="L111" t="inlineStr"/>
      <c r="M111" t="inlineStr"/>
      <c r="N111" t="inlineStr"/>
      <c r="O111" t="n">
        <v>2015</v>
      </c>
      <c r="P111" t="n">
        <v>2015</v>
      </c>
      <c r="Q111" t="n">
        <v>10.2</v>
      </c>
    </row>
    <row r="112">
      <c r="A112" t="inlineStr">
        <is>
          <t>Rutovitz 2015</t>
        </is>
      </c>
      <c r="B112" t="inlineStr">
        <is>
          <t>Ocean</t>
        </is>
      </c>
      <c r="C112" t="inlineStr">
        <is>
          <t>Manufacturing</t>
        </is>
      </c>
      <c r="D112" t="inlineStr">
        <is>
          <t>Direct</t>
        </is>
      </c>
      <c r="E112" t="inlineStr">
        <is>
          <t>job-yr/MW</t>
        </is>
      </c>
      <c r="F112" t="n">
        <v>2030</v>
      </c>
      <c r="G112">
        <f>G111*K112</f>
        <v/>
      </c>
      <c r="H112">
        <f>H111*K112</f>
        <v/>
      </c>
      <c r="I112" t="inlineStr">
        <is>
          <t>Rutovitz Table 9 decline to 2030</t>
        </is>
      </c>
      <c r="J112" t="inlineStr">
        <is>
          <t>Ocean</t>
        </is>
      </c>
      <c r="K112">
        <f>INDEX(Mappings_Rutovitz!$D$2:$D$14,MATCH(J112,Mappings_Rutovitz!$B$2:$B$14,0))</f>
        <v/>
      </c>
      <c r="L112" t="inlineStr"/>
      <c r="M112" t="inlineStr"/>
      <c r="N112" t="inlineStr">
        <is>
          <t>Rutovitz Table 9 Latin America 2030</t>
        </is>
      </c>
      <c r="O112" t="n">
        <v>2015</v>
      </c>
      <c r="P112" t="n">
        <v>2030</v>
      </c>
      <c r="Q112">
        <f>Q111*K112</f>
        <v/>
      </c>
    </row>
    <row r="113">
      <c r="A113" t="inlineStr">
        <is>
          <t>Rutovitz 2015</t>
        </is>
      </c>
      <c r="B113" t="inlineStr">
        <is>
          <t>Ocean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2015</v>
      </c>
      <c r="G113" t="inlineStr">
        <is>
          <t>0.6</t>
        </is>
      </c>
      <c r="H113" t="n">
        <v>0.6</v>
      </c>
      <c r="I113" t="inlineStr">
        <is>
          <t>Original</t>
        </is>
      </c>
      <c r="J113" t="inlineStr"/>
      <c r="K113" t="inlineStr"/>
      <c r="L113" t="inlineStr"/>
      <c r="M113" t="inlineStr"/>
      <c r="N113" t="inlineStr"/>
      <c r="O113" t="n">
        <v>2015</v>
      </c>
      <c r="P113" t="n">
        <v>2015</v>
      </c>
      <c r="Q113" t="n">
        <v>0.6</v>
      </c>
    </row>
    <row r="114">
      <c r="A114" t="inlineStr">
        <is>
          <t>Rutovitz 2015</t>
        </is>
      </c>
      <c r="B114" t="inlineStr">
        <is>
          <t>Ocean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2030</v>
      </c>
      <c r="G114">
        <f>G113*K114</f>
        <v/>
      </c>
      <c r="H114">
        <f>H113*K114</f>
        <v/>
      </c>
      <c r="I114" t="inlineStr">
        <is>
          <t>Rutovitz Table 9 decline to 2030</t>
        </is>
      </c>
      <c r="J114" t="inlineStr">
        <is>
          <t>Ocean</t>
        </is>
      </c>
      <c r="K114">
        <f>INDEX(Mappings_Rutovitz!$D$2:$D$14,MATCH(J114,Mappings_Rutovitz!$B$2:$B$14,0))</f>
        <v/>
      </c>
      <c r="L114" t="inlineStr"/>
      <c r="M114" t="inlineStr"/>
      <c r="N114" t="inlineStr">
        <is>
          <t>Rutovitz Table 9 Latin America 2030</t>
        </is>
      </c>
      <c r="O114" t="n">
        <v>2015</v>
      </c>
      <c r="P114" t="n">
        <v>2030</v>
      </c>
      <c r="Q114">
        <f>Q113*K114</f>
        <v/>
      </c>
    </row>
    <row r="115">
      <c r="A115" t="inlineStr">
        <is>
          <t>Rutovitz 2015</t>
        </is>
      </c>
      <c r="B115" t="inlineStr">
        <is>
          <t>Offshore wind</t>
        </is>
      </c>
      <c r="C115" t="inlineStr">
        <is>
          <t>Construction</t>
        </is>
      </c>
      <c r="D115" t="inlineStr">
        <is>
          <t>Direct</t>
        </is>
      </c>
      <c r="E115" t="inlineStr">
        <is>
          <t>job-yr/MW</t>
        </is>
      </c>
      <c r="F115" t="n">
        <v>2015</v>
      </c>
      <c r="G115" t="inlineStr">
        <is>
          <t>8</t>
        </is>
      </c>
      <c r="H115" t="n">
        <v>8</v>
      </c>
      <c r="I115" t="inlineStr">
        <is>
          <t>Original</t>
        </is>
      </c>
      <c r="J115" t="inlineStr"/>
      <c r="K115" t="inlineStr"/>
      <c r="L115" t="inlineStr"/>
      <c r="M115" t="inlineStr"/>
      <c r="N115" t="inlineStr"/>
      <c r="O115" t="n">
        <v>2015</v>
      </c>
      <c r="P115" t="n">
        <v>2015</v>
      </c>
      <c r="Q115" t="n">
        <v>8</v>
      </c>
    </row>
    <row r="116">
      <c r="A116" t="inlineStr">
        <is>
          <t>Rutovitz 2015</t>
        </is>
      </c>
      <c r="B116" t="inlineStr">
        <is>
          <t>Offshore wind</t>
        </is>
      </c>
      <c r="C116" t="inlineStr">
        <is>
          <t>Construction</t>
        </is>
      </c>
      <c r="D116" t="inlineStr">
        <is>
          <t>Direct</t>
        </is>
      </c>
      <c r="E116" t="inlineStr">
        <is>
          <t>job-yr/MW</t>
        </is>
      </c>
      <c r="F116" t="n">
        <v>2030</v>
      </c>
      <c r="G116">
        <f>G115*K116</f>
        <v/>
      </c>
      <c r="H116">
        <f>H115*K116</f>
        <v/>
      </c>
      <c r="I116" t="inlineStr">
        <is>
          <t>Rutovitz Table 9 decline to 2030</t>
        </is>
      </c>
      <c r="J116" t="inlineStr">
        <is>
          <t>Wind offshore</t>
        </is>
      </c>
      <c r="K116">
        <f>INDEX(Mappings_Rutovitz!$D$2:$D$14,MATCH(J116,Mappings_Rutovitz!$B$2:$B$14,0))</f>
        <v/>
      </c>
      <c r="L116" t="inlineStr"/>
      <c r="M116" t="inlineStr"/>
      <c r="N116" t="inlineStr">
        <is>
          <t>Rutovitz Table 9 Latin America 2030</t>
        </is>
      </c>
      <c r="O116" t="n">
        <v>2015</v>
      </c>
      <c r="P116" t="n">
        <v>2030</v>
      </c>
      <c r="Q116">
        <f>Q115*K116</f>
        <v/>
      </c>
    </row>
    <row r="117">
      <c r="A117" t="inlineStr">
        <is>
          <t>Rutovitz 2025</t>
        </is>
      </c>
      <c r="B117" t="inlineStr">
        <is>
          <t>Offshore wind</t>
        </is>
      </c>
      <c r="C117" t="inlineStr">
        <is>
          <t>Construction</t>
        </is>
      </c>
      <c r="D117" t="inlineStr">
        <is>
          <t>Direct</t>
        </is>
      </c>
      <c r="E117" t="inlineStr">
        <is>
          <t>job-yr/MW</t>
        </is>
      </c>
      <c r="F117" t="n">
        <v>2024</v>
      </c>
      <c r="G117" t="inlineStr">
        <is>
          <t>1.5</t>
        </is>
      </c>
      <c r="H117" t="n">
        <v>1.5</v>
      </c>
      <c r="I117" t="inlineStr">
        <is>
          <t>Original</t>
        </is>
      </c>
      <c r="J117" t="inlineStr"/>
      <c r="K117" t="inlineStr"/>
      <c r="L117" t="inlineStr"/>
      <c r="M117" t="inlineStr"/>
      <c r="N117" t="inlineStr"/>
      <c r="O117" t="n">
        <v>2024</v>
      </c>
      <c r="P117" t="n">
        <v>2024</v>
      </c>
      <c r="Q117" t="n">
        <v>1.5</v>
      </c>
    </row>
    <row r="118">
      <c r="A118" t="inlineStr">
        <is>
          <t>Rutovitz 2025</t>
        </is>
      </c>
      <c r="B118" t="inlineStr">
        <is>
          <t>Offshore wind</t>
        </is>
      </c>
      <c r="C118" t="inlineStr">
        <is>
          <t>Construction</t>
        </is>
      </c>
      <c r="D118" t="inlineStr">
        <is>
          <t>Direct</t>
        </is>
      </c>
      <c r="E118" t="inlineStr">
        <is>
          <t>job-yr/MW</t>
        </is>
      </c>
      <c r="F118" t="n">
        <v>2030</v>
      </c>
      <c r="G118" t="n">
        <v>1.159372255047502</v>
      </c>
      <c r="H118" t="n">
        <v>1.159372255047502</v>
      </c>
      <c r="I118" t="inlineStr">
        <is>
          <t>Learning curve from cumulative capacity ratio</t>
        </is>
      </c>
      <c r="J118" t="inlineStr"/>
      <c r="K118" t="inlineStr"/>
      <c r="L118" t="inlineStr">
        <is>
          <t>Wind offshore</t>
        </is>
      </c>
      <c r="M118" t="n">
        <v>0.15</v>
      </c>
      <c r="N118" t="inlineStr">
        <is>
          <t>STEPS capacity ratio=3.0</t>
        </is>
      </c>
      <c r="O118" t="n">
        <v>2024</v>
      </c>
      <c r="P118" t="n">
        <v>2030</v>
      </c>
      <c r="Q118" t="n">
        <v>1.159372255047502</v>
      </c>
    </row>
    <row r="119">
      <c r="A119" t="inlineStr">
        <is>
          <t>Rutovitz 2025</t>
        </is>
      </c>
      <c r="B119" t="inlineStr">
        <is>
          <t>Offshore wind</t>
        </is>
      </c>
      <c r="C119" t="inlineStr">
        <is>
          <t>Construction</t>
        </is>
      </c>
      <c r="D119" t="inlineStr">
        <is>
          <t>Direct</t>
        </is>
      </c>
      <c r="E119" t="inlineStr">
        <is>
          <t>job-yr/MW</t>
        </is>
      </c>
      <c r="F119" t="n">
        <v>2050</v>
      </c>
      <c r="G119" t="n">
        <v>0.9008301013920963</v>
      </c>
      <c r="H119" t="n">
        <v>0.9008301013920963</v>
      </c>
      <c r="I119" t="inlineStr">
        <is>
          <t>Learning curve from cumulative capacity ratio</t>
        </is>
      </c>
      <c r="J119" t="inlineStr"/>
      <c r="K119" t="inlineStr"/>
      <c r="L119" t="inlineStr">
        <is>
          <t>Wind offshore</t>
        </is>
      </c>
      <c r="M119" t="n">
        <v>0.15</v>
      </c>
      <c r="N119" t="inlineStr">
        <is>
          <t>STEPS capacity ratio=8.8</t>
        </is>
      </c>
      <c r="O119" t="n">
        <v>2024</v>
      </c>
      <c r="P119" t="n">
        <v>2050</v>
      </c>
      <c r="Q119" t="n">
        <v>0.9008301013920963</v>
      </c>
    </row>
    <row r="120">
      <c r="A120" t="inlineStr">
        <is>
          <t>Danish QBIS 2020</t>
        </is>
      </c>
      <c r="B120" t="inlineStr">
        <is>
          <t>Offshore wind</t>
        </is>
      </c>
      <c r="C120" t="inlineStr">
        <is>
          <t>Construction&amp;Manufacturing</t>
        </is>
      </c>
      <c r="D120" t="inlineStr">
        <is>
          <t>Direct</t>
        </is>
      </c>
      <c r="E120" t="inlineStr">
        <is>
          <t>job-yr/MW</t>
        </is>
      </c>
      <c r="F120" t="n">
        <v>2024</v>
      </c>
      <c r="G120" t="inlineStr">
        <is>
          <t>7544</t>
        </is>
      </c>
      <c r="H120" t="n">
        <v>7.544</v>
      </c>
      <c r="I120" t="inlineStr">
        <is>
          <t>Original</t>
        </is>
      </c>
      <c r="J120" t="inlineStr"/>
      <c r="K120" t="inlineStr"/>
      <c r="L120" t="inlineStr"/>
      <c r="M120" t="inlineStr"/>
      <c r="N120" t="inlineStr"/>
      <c r="O120" t="n">
        <v>2024</v>
      </c>
      <c r="P120" t="n">
        <v>2024</v>
      </c>
      <c r="Q120" t="n">
        <v>7.544</v>
      </c>
    </row>
    <row r="121">
      <c r="A121" t="inlineStr">
        <is>
          <t>Danish QBIS 2020</t>
        </is>
      </c>
      <c r="B121" t="inlineStr">
        <is>
          <t>Offshore wind</t>
        </is>
      </c>
      <c r="C121" t="inlineStr">
        <is>
          <t>Construction&amp;Manufacturing</t>
        </is>
      </c>
      <c r="D121" t="inlineStr">
        <is>
          <t>Direct</t>
        </is>
      </c>
      <c r="E121" t="inlineStr">
        <is>
          <t>job-yr/MW</t>
        </is>
      </c>
      <c r="F121" t="n">
        <v>2030</v>
      </c>
      <c r="G121" t="n">
        <v>5.830869528052236</v>
      </c>
      <c r="H121" t="n">
        <v>5.830869528052236</v>
      </c>
      <c r="I121" t="inlineStr">
        <is>
          <t>Learning curve from cumulative capacity ratio</t>
        </is>
      </c>
      <c r="J121" t="inlineStr"/>
      <c r="K121" t="inlineStr"/>
      <c r="L121" t="inlineStr">
        <is>
          <t>Wind offshore</t>
        </is>
      </c>
      <c r="M121" t="n">
        <v>0.15</v>
      </c>
      <c r="N121" t="inlineStr">
        <is>
          <t>STEPS capacity ratio=3.0</t>
        </is>
      </c>
      <c r="O121" t="n">
        <v>2024</v>
      </c>
      <c r="P121" t="n">
        <v>2030</v>
      </c>
      <c r="Q121" t="n">
        <v>5.830869528052236</v>
      </c>
    </row>
    <row r="122">
      <c r="A122" t="inlineStr">
        <is>
          <t>Danish QBIS 2020</t>
        </is>
      </c>
      <c r="B122" t="inlineStr">
        <is>
          <t>Offshore wind</t>
        </is>
      </c>
      <c r="C122" t="inlineStr">
        <is>
          <t>Construction&amp;Manufacturing</t>
        </is>
      </c>
      <c r="D122" t="inlineStr">
        <is>
          <t>Direct</t>
        </is>
      </c>
      <c r="E122" t="inlineStr">
        <is>
          <t>job-yr/MW</t>
        </is>
      </c>
      <c r="F122" t="n">
        <v>2050</v>
      </c>
      <c r="G122" t="n">
        <v>4.530574856601316</v>
      </c>
      <c r="H122" t="n">
        <v>4.530574856601316</v>
      </c>
      <c r="I122" t="inlineStr">
        <is>
          <t>Learning curve from cumulative capacity ratio</t>
        </is>
      </c>
      <c r="J122" t="inlineStr"/>
      <c r="K122" t="inlineStr"/>
      <c r="L122" t="inlineStr">
        <is>
          <t>Wind offshore</t>
        </is>
      </c>
      <c r="M122" t="n">
        <v>0.15</v>
      </c>
      <c r="N122" t="inlineStr">
        <is>
          <t>STEPS capacity ratio=8.8</t>
        </is>
      </c>
      <c r="O122" t="n">
        <v>2024</v>
      </c>
      <c r="P122" t="n">
        <v>2050</v>
      </c>
      <c r="Q122" t="n">
        <v>4.530574856601316</v>
      </c>
    </row>
    <row r="123">
      <c r="A123" t="inlineStr">
        <is>
          <t>Rutovitz 2015</t>
        </is>
      </c>
      <c r="B123" t="inlineStr">
        <is>
          <t>Offshore wind</t>
        </is>
      </c>
      <c r="C123" t="inlineStr">
        <is>
          <t>Manufacturing</t>
        </is>
      </c>
      <c r="D123" t="inlineStr">
        <is>
          <t>Direct</t>
        </is>
      </c>
      <c r="E123" t="inlineStr">
        <is>
          <t>job-yr/MW</t>
        </is>
      </c>
      <c r="F123" t="n">
        <v>2015</v>
      </c>
      <c r="G123" t="inlineStr">
        <is>
          <t>15.6</t>
        </is>
      </c>
      <c r="H123" t="n">
        <v>15.6</v>
      </c>
      <c r="I123" t="inlineStr">
        <is>
          <t>Original</t>
        </is>
      </c>
      <c r="J123" t="inlineStr"/>
      <c r="K123" t="inlineStr"/>
      <c r="L123" t="inlineStr"/>
      <c r="M123" t="inlineStr"/>
      <c r="N123" t="inlineStr"/>
      <c r="O123" t="n">
        <v>2015</v>
      </c>
      <c r="P123" t="n">
        <v>2015</v>
      </c>
      <c r="Q123" t="n">
        <v>15.6</v>
      </c>
    </row>
    <row r="124">
      <c r="A124" t="inlineStr">
        <is>
          <t>Rutovitz 2015</t>
        </is>
      </c>
      <c r="B124" t="inlineStr">
        <is>
          <t>Offshore wind</t>
        </is>
      </c>
      <c r="C124" t="inlineStr">
        <is>
          <t>Manufacturing</t>
        </is>
      </c>
      <c r="D124" t="inlineStr">
        <is>
          <t>Direct</t>
        </is>
      </c>
      <c r="E124" t="inlineStr">
        <is>
          <t>job-yr/MW</t>
        </is>
      </c>
      <c r="F124" t="n">
        <v>2030</v>
      </c>
      <c r="G124">
        <f>G123*K124</f>
        <v/>
      </c>
      <c r="H124">
        <f>H123*K124</f>
        <v/>
      </c>
      <c r="I124" t="inlineStr">
        <is>
          <t>Rutovitz Table 9 decline to 2030</t>
        </is>
      </c>
      <c r="J124" t="inlineStr">
        <is>
          <t>Wind offshore</t>
        </is>
      </c>
      <c r="K124">
        <f>INDEX(Mappings_Rutovitz!$D$2:$D$14,MATCH(J124,Mappings_Rutovitz!$B$2:$B$14,0))</f>
        <v/>
      </c>
      <c r="L124" t="inlineStr"/>
      <c r="M124" t="inlineStr"/>
      <c r="N124" t="inlineStr">
        <is>
          <t>Rutovitz Table 9 Latin America 2030</t>
        </is>
      </c>
      <c r="O124" t="n">
        <v>2015</v>
      </c>
      <c r="P124" t="n">
        <v>2030</v>
      </c>
      <c r="Q124">
        <f>Q123*K124</f>
        <v/>
      </c>
    </row>
    <row r="125">
      <c r="A125" t="inlineStr">
        <is>
          <t>Rutovitz 2025</t>
        </is>
      </c>
      <c r="B125" t="inlineStr">
        <is>
          <t>Offshore wind</t>
        </is>
      </c>
      <c r="C125" t="inlineStr">
        <is>
          <t>Manufacturing</t>
        </is>
      </c>
      <c r="D125" t="inlineStr">
        <is>
          <t>Direct</t>
        </is>
      </c>
      <c r="E125" t="inlineStr">
        <is>
          <t>job-yr/MW</t>
        </is>
      </c>
      <c r="F125" t="n">
        <v>2024</v>
      </c>
      <c r="G125" t="inlineStr">
        <is>
          <t>13.68</t>
        </is>
      </c>
      <c r="H125" t="n">
        <v>13.68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2024</v>
      </c>
      <c r="P125" t="n">
        <v>2024</v>
      </c>
      <c r="Q125" t="n">
        <v>13.68</v>
      </c>
    </row>
    <row r="126">
      <c r="A126" t="inlineStr">
        <is>
          <t>Rutovitz 2025</t>
        </is>
      </c>
      <c r="B126" t="inlineStr">
        <is>
          <t>Offshore wind</t>
        </is>
      </c>
      <c r="C126" t="inlineStr">
        <is>
          <t>Manufacturing</t>
        </is>
      </c>
      <c r="D126" t="inlineStr">
        <is>
          <t>Direct</t>
        </is>
      </c>
      <c r="E126" t="inlineStr">
        <is>
          <t>job-yr/MW</t>
        </is>
      </c>
      <c r="F126" t="n">
        <v>2030</v>
      </c>
      <c r="G126" t="n">
        <v>10.57347496603322</v>
      </c>
      <c r="H126" t="n">
        <v>10.57347496603322</v>
      </c>
      <c r="I126" t="inlineStr">
        <is>
          <t>Learning curve from cumulative capacity ratio</t>
        </is>
      </c>
      <c r="J126" t="inlineStr"/>
      <c r="K126" t="inlineStr"/>
      <c r="L126" t="inlineStr">
        <is>
          <t>Wind offshore</t>
        </is>
      </c>
      <c r="M126" t="n">
        <v>0.15</v>
      </c>
      <c r="N126" t="inlineStr">
        <is>
          <t>STEPS capacity ratio=3.0</t>
        </is>
      </c>
      <c r="O126" t="n">
        <v>2024</v>
      </c>
      <c r="P126" t="n">
        <v>2030</v>
      </c>
      <c r="Q126" t="n">
        <v>10.57347496603322</v>
      </c>
    </row>
    <row r="127">
      <c r="A127" t="inlineStr">
        <is>
          <t>Rutovitz 2025</t>
        </is>
      </c>
      <c r="B127" t="inlineStr">
        <is>
          <t>Offshore wind</t>
        </is>
      </c>
      <c r="C127" t="inlineStr">
        <is>
          <t>Manufacturing</t>
        </is>
      </c>
      <c r="D127" t="inlineStr">
        <is>
          <t>Direct</t>
        </is>
      </c>
      <c r="E127" t="inlineStr">
        <is>
          <t>job-yr/MW</t>
        </is>
      </c>
      <c r="F127" t="n">
        <v>2050</v>
      </c>
      <c r="G127" t="n">
        <v>8.215570524695918</v>
      </c>
      <c r="H127" t="n">
        <v>8.215570524695918</v>
      </c>
      <c r="I127" t="inlineStr">
        <is>
          <t>Learning curve from cumulative capacity ratio</t>
        </is>
      </c>
      <c r="J127" t="inlineStr"/>
      <c r="K127" t="inlineStr"/>
      <c r="L127" t="inlineStr">
        <is>
          <t>Wind offshore</t>
        </is>
      </c>
      <c r="M127" t="n">
        <v>0.15</v>
      </c>
      <c r="N127" t="inlineStr">
        <is>
          <t>STEPS capacity ratio=8.8</t>
        </is>
      </c>
      <c r="O127" t="n">
        <v>2024</v>
      </c>
      <c r="P127" t="n">
        <v>2050</v>
      </c>
      <c r="Q127" t="n">
        <v>8.215570524695918</v>
      </c>
    </row>
    <row r="128">
      <c r="A128" t="inlineStr">
        <is>
          <t>Danish QBIS 2020</t>
        </is>
      </c>
      <c r="B128" t="inlineStr">
        <is>
          <t>Offshore wind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2024</v>
      </c>
      <c r="G128" t="inlineStr">
        <is>
          <t>1907</t>
        </is>
      </c>
      <c r="H128" t="n">
        <v>1.907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2024</v>
      </c>
      <c r="P128" t="n">
        <v>2024</v>
      </c>
      <c r="Q128" t="n">
        <v>1.907</v>
      </c>
    </row>
    <row r="129">
      <c r="A129" t="inlineStr">
        <is>
          <t>Rutovitz 2015</t>
        </is>
      </c>
      <c r="B129" t="inlineStr">
        <is>
          <t>Offshore wind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2015</v>
      </c>
      <c r="G129" t="inlineStr">
        <is>
          <t>0.2</t>
        </is>
      </c>
      <c r="H129" t="n">
        <v>0.2</v>
      </c>
      <c r="I129" t="inlineStr">
        <is>
          <t>Original</t>
        </is>
      </c>
      <c r="J129" t="inlineStr"/>
      <c r="K129" t="inlineStr"/>
      <c r="L129" t="inlineStr"/>
      <c r="M129" t="inlineStr"/>
      <c r="N129" t="inlineStr"/>
      <c r="O129" t="n">
        <v>2015</v>
      </c>
      <c r="P129" t="n">
        <v>2015</v>
      </c>
      <c r="Q129" t="n">
        <v>0.2</v>
      </c>
    </row>
    <row r="130">
      <c r="A130" t="inlineStr">
        <is>
          <t>Rutovitz 2015</t>
        </is>
      </c>
      <c r="B130" t="inlineStr">
        <is>
          <t>Offshore wind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2030</v>
      </c>
      <c r="G130">
        <f>G129*K130</f>
        <v/>
      </c>
      <c r="H130">
        <f>H129*K130</f>
        <v/>
      </c>
      <c r="I130" t="inlineStr">
        <is>
          <t>Rutovitz Table 9 decline to 2030</t>
        </is>
      </c>
      <c r="J130" t="inlineStr">
        <is>
          <t>Wind offshore</t>
        </is>
      </c>
      <c r="K130">
        <f>INDEX(Mappings_Rutovitz!$D$2:$D$14,MATCH(J130,Mappings_Rutovitz!$B$2:$B$14,0))</f>
        <v/>
      </c>
      <c r="L130" t="inlineStr"/>
      <c r="M130" t="inlineStr"/>
      <c r="N130" t="inlineStr">
        <is>
          <t>Rutovitz Table 9 Latin America 2030</t>
        </is>
      </c>
      <c r="O130" t="n">
        <v>2015</v>
      </c>
      <c r="P130" t="n">
        <v>2030</v>
      </c>
      <c r="Q130">
        <f>Q129*K130</f>
        <v/>
      </c>
    </row>
    <row r="131">
      <c r="A131" t="inlineStr">
        <is>
          <t>Rutovitz 2025</t>
        </is>
      </c>
      <c r="B131" t="inlineStr">
        <is>
          <t>Offshore wind</t>
        </is>
      </c>
      <c r="C131" t="inlineStr">
        <is>
          <t>O&amp;M</t>
        </is>
      </c>
      <c r="D131" t="inlineStr">
        <is>
          <t>Direct</t>
        </is>
      </c>
      <c r="E131" t="inlineStr">
        <is>
          <t>job/MW</t>
        </is>
      </c>
      <c r="F131" t="n">
        <v>2024</v>
      </c>
      <c r="G131" t="inlineStr">
        <is>
          <t>0.28</t>
        </is>
      </c>
      <c r="H131" t="n">
        <v>0.28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2024</v>
      </c>
      <c r="P131" t="n">
        <v>2024</v>
      </c>
      <c r="Q131" t="n">
        <v>0.28</v>
      </c>
    </row>
    <row r="132">
      <c r="A132" t="inlineStr">
        <is>
          <t>French QBIS 2023</t>
        </is>
      </c>
      <c r="B132" t="inlineStr">
        <is>
          <t>Offshore wind (fixed)</t>
        </is>
      </c>
      <c r="C132" t="inlineStr">
        <is>
          <t>Construction&amp;Manufacturing</t>
        </is>
      </c>
      <c r="D132" t="inlineStr">
        <is>
          <t>Direct</t>
        </is>
      </c>
      <c r="E132" t="inlineStr">
        <is>
          <t>job-yr/MW</t>
        </is>
      </c>
      <c r="F132" t="n">
        <v>2024</v>
      </c>
      <c r="G132" t="inlineStr">
        <is>
          <t>6810</t>
        </is>
      </c>
      <c r="H132" t="n">
        <v>6.81</v>
      </c>
      <c r="I132" t="inlineStr">
        <is>
          <t>Original</t>
        </is>
      </c>
      <c r="J132" t="inlineStr"/>
      <c r="K132" t="inlineStr"/>
      <c r="L132" t="inlineStr"/>
      <c r="M132" t="inlineStr"/>
      <c r="N132" t="inlineStr"/>
      <c r="O132" t="n">
        <v>2024</v>
      </c>
      <c r="P132" t="n">
        <v>2024</v>
      </c>
      <c r="Q132" t="n">
        <v>6.81</v>
      </c>
    </row>
    <row r="133">
      <c r="A133" t="inlineStr">
        <is>
          <t>French QBIS 2023</t>
        </is>
      </c>
      <c r="B133" t="inlineStr">
        <is>
          <t>Offshore wind (fixed)</t>
        </is>
      </c>
      <c r="C133" t="inlineStr">
        <is>
          <t>O&amp;M</t>
        </is>
      </c>
      <c r="D133" t="inlineStr">
        <is>
          <t>Direct</t>
        </is>
      </c>
      <c r="E133" t="inlineStr">
        <is>
          <t>job/MW</t>
        </is>
      </c>
      <c r="F133" t="n">
        <v>2024</v>
      </c>
      <c r="G133" t="inlineStr">
        <is>
          <t>1907</t>
        </is>
      </c>
      <c r="H133" t="n">
        <v>1.907</v>
      </c>
      <c r="I133" t="inlineStr">
        <is>
          <t>Original</t>
        </is>
      </c>
      <c r="J133" t="inlineStr"/>
      <c r="K133" t="inlineStr"/>
      <c r="L133" t="inlineStr"/>
      <c r="M133" t="inlineStr"/>
      <c r="N133" t="inlineStr"/>
      <c r="O133" t="n">
        <v>2024</v>
      </c>
      <c r="P133" t="n">
        <v>2024</v>
      </c>
      <c r="Q133" t="n">
        <v>1.907</v>
      </c>
    </row>
    <row r="134">
      <c r="A134" t="inlineStr">
        <is>
          <t>French QBIS 2023</t>
        </is>
      </c>
      <c r="B134" t="inlineStr">
        <is>
          <t>Offshore wind (floating)</t>
        </is>
      </c>
      <c r="C134" t="inlineStr">
        <is>
          <t>Construction&amp;Manufacturing</t>
        </is>
      </c>
      <c r="D134" t="inlineStr">
        <is>
          <t>Direct</t>
        </is>
      </c>
      <c r="E134" t="inlineStr">
        <is>
          <t>job-yr/MW</t>
        </is>
      </c>
      <c r="F134" t="n">
        <v>2024</v>
      </c>
      <c r="G134" t="inlineStr">
        <is>
          <t>14.71</t>
        </is>
      </c>
      <c r="H134" t="n">
        <v>14.71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14.71</v>
      </c>
    </row>
    <row r="135">
      <c r="A135" t="inlineStr">
        <is>
          <t>French QBIS 2023</t>
        </is>
      </c>
      <c r="B135" t="inlineStr">
        <is>
          <t>Offshore wind (floating)</t>
        </is>
      </c>
      <c r="C135" t="inlineStr">
        <is>
          <t>O&amp;M</t>
        </is>
      </c>
      <c r="D135" t="inlineStr">
        <is>
          <t>Direct</t>
        </is>
      </c>
      <c r="E135" t="inlineStr">
        <is>
          <t>job/MW</t>
        </is>
      </c>
      <c r="F135" t="n">
        <v>2024</v>
      </c>
      <c r="G135" t="inlineStr">
        <is>
          <t>6040</t>
        </is>
      </c>
      <c r="H135" t="n">
        <v>6.04</v>
      </c>
      <c r="I135" t="inlineStr">
        <is>
          <t>Original</t>
        </is>
      </c>
      <c r="J135" t="inlineStr"/>
      <c r="K135" t="inlineStr"/>
      <c r="L135" t="inlineStr"/>
      <c r="M135" t="inlineStr"/>
      <c r="N135" t="inlineStr"/>
      <c r="O135" t="n">
        <v>2024</v>
      </c>
      <c r="P135" t="n">
        <v>2024</v>
      </c>
      <c r="Q135" t="n">
        <v>6.04</v>
      </c>
    </row>
    <row r="136">
      <c r="A136" t="inlineStr">
        <is>
          <t>Rutovitz 2015</t>
        </is>
      </c>
      <c r="B136" t="inlineStr">
        <is>
          <t>Oil and diesel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2015</v>
      </c>
      <c r="G136" t="inlineStr">
        <is>
          <t>1.3</t>
        </is>
      </c>
      <c r="H136" t="n">
        <v>1.3</v>
      </c>
      <c r="I136" t="inlineStr">
        <is>
          <t>Original</t>
        </is>
      </c>
      <c r="J136" t="inlineStr"/>
      <c r="K136" t="inlineStr"/>
      <c r="L136" t="inlineStr"/>
      <c r="M136" t="inlineStr"/>
      <c r="N136" t="inlineStr"/>
      <c r="O136" t="n">
        <v>2015</v>
      </c>
      <c r="P136" t="n">
        <v>2015</v>
      </c>
      <c r="Q136" t="n">
        <v>1.3</v>
      </c>
    </row>
    <row r="137">
      <c r="A137" t="inlineStr">
        <is>
          <t>Rutovitz 2015</t>
        </is>
      </c>
      <c r="B137" t="inlineStr">
        <is>
          <t>Oil and diesel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2030</v>
      </c>
      <c r="G137">
        <f>G136*K137</f>
        <v/>
      </c>
      <c r="H137">
        <f>H136*K137</f>
        <v/>
      </c>
      <c r="I137" t="inlineStr">
        <is>
          <t>Rutovitz Table 9 decline to 2030</t>
        </is>
      </c>
      <c r="J137" t="inlineStr">
        <is>
          <t>Oil</t>
        </is>
      </c>
      <c r="K137">
        <f>INDEX(Mappings_Rutovitz!$D$2:$D$14,MATCH(J137,Mappings_Rutovitz!$B$2:$B$14,0))</f>
        <v/>
      </c>
      <c r="L137" t="inlineStr"/>
      <c r="M137" t="inlineStr"/>
      <c r="N137" t="inlineStr">
        <is>
          <t>Rutovitz Table 9 Latin America 2030</t>
        </is>
      </c>
      <c r="O137" t="n">
        <v>2015</v>
      </c>
      <c r="P137" t="n">
        <v>2030</v>
      </c>
      <c r="Q137">
        <f>Q136*K137</f>
        <v/>
      </c>
    </row>
    <row r="138">
      <c r="A138" t="inlineStr">
        <is>
          <t>Rutovitz 2015</t>
        </is>
      </c>
      <c r="B138" t="inlineStr">
        <is>
          <t>Oil and diesel</t>
        </is>
      </c>
      <c r="C138" t="inlineStr">
        <is>
          <t>Fuel</t>
        </is>
      </c>
      <c r="D138" t="inlineStr">
        <is>
          <t>Fuel</t>
        </is>
      </c>
      <c r="E138" t="inlineStr">
        <is>
          <t>job/PJ</t>
        </is>
      </c>
      <c r="F138" t="n">
        <v>2015</v>
      </c>
      <c r="G138" t="inlineStr">
        <is>
          <t>World avg 15.1 jobs/PJ</t>
        </is>
      </c>
      <c r="H138" t="n">
        <v>15.1</v>
      </c>
      <c r="I138" t="inlineStr">
        <is>
          <t>Original</t>
        </is>
      </c>
      <c r="J138" t="inlineStr"/>
      <c r="K138" t="inlineStr"/>
      <c r="L138" t="inlineStr"/>
      <c r="M138" t="inlineStr"/>
      <c r="N138" t="inlineStr"/>
      <c r="O138" t="n">
        <v>2015</v>
      </c>
      <c r="P138" t="n">
        <v>2015</v>
      </c>
      <c r="Q138" t="n">
        <v>15.1</v>
      </c>
    </row>
    <row r="139">
      <c r="A139" t="inlineStr">
        <is>
          <t>Rutovitz 2015</t>
        </is>
      </c>
      <c r="B139" t="inlineStr">
        <is>
          <t>Oil and diesel</t>
        </is>
      </c>
      <c r="C139" t="inlineStr">
        <is>
          <t>Manufacturing</t>
        </is>
      </c>
      <c r="D139" t="inlineStr">
        <is>
          <t>Direct</t>
        </is>
      </c>
      <c r="E139" t="inlineStr">
        <is>
          <t>job-yr/MW</t>
        </is>
      </c>
      <c r="F139" t="n">
        <v>2015</v>
      </c>
      <c r="G139" t="inlineStr">
        <is>
          <t>0.93</t>
        </is>
      </c>
      <c r="H139" t="n">
        <v>0.93</v>
      </c>
      <c r="I139" t="inlineStr">
        <is>
          <t>Original</t>
        </is>
      </c>
      <c r="J139" t="inlineStr"/>
      <c r="K139" t="inlineStr"/>
      <c r="L139" t="inlineStr"/>
      <c r="M139" t="inlineStr"/>
      <c r="N139" t="inlineStr"/>
      <c r="O139" t="n">
        <v>2015</v>
      </c>
      <c r="P139" t="n">
        <v>2015</v>
      </c>
      <c r="Q139" t="n">
        <v>0.93</v>
      </c>
    </row>
    <row r="140">
      <c r="A140" t="inlineStr">
        <is>
          <t>Rutovitz 2015</t>
        </is>
      </c>
      <c r="B140" t="inlineStr">
        <is>
          <t>Oil and diesel</t>
        </is>
      </c>
      <c r="C140" t="inlineStr">
        <is>
          <t>Manufacturing</t>
        </is>
      </c>
      <c r="D140" t="inlineStr">
        <is>
          <t>Direct</t>
        </is>
      </c>
      <c r="E140" t="inlineStr">
        <is>
          <t>job-yr/MW</t>
        </is>
      </c>
      <c r="F140" t="n">
        <v>2030</v>
      </c>
      <c r="G140">
        <f>G139*K140</f>
        <v/>
      </c>
      <c r="H140">
        <f>H139*K140</f>
        <v/>
      </c>
      <c r="I140" t="inlineStr">
        <is>
          <t>Rutovitz Table 9 decline to 2030</t>
        </is>
      </c>
      <c r="J140" t="inlineStr">
        <is>
          <t>Oil</t>
        </is>
      </c>
      <c r="K140">
        <f>INDEX(Mappings_Rutovitz!$D$2:$D$14,MATCH(J140,Mappings_Rutovitz!$B$2:$B$14,0))</f>
        <v/>
      </c>
      <c r="L140" t="inlineStr"/>
      <c r="M140" t="inlineStr"/>
      <c r="N140" t="inlineStr">
        <is>
          <t>Rutovitz Table 9 Latin America 2030</t>
        </is>
      </c>
      <c r="O140" t="n">
        <v>2015</v>
      </c>
      <c r="P140" t="n">
        <v>2030</v>
      </c>
      <c r="Q140">
        <f>Q139*K140</f>
        <v/>
      </c>
    </row>
    <row r="141">
      <c r="A141" t="inlineStr">
        <is>
          <t>Rutovitz 2015</t>
        </is>
      </c>
      <c r="B141" t="inlineStr">
        <is>
          <t>Oil and diesel</t>
        </is>
      </c>
      <c r="C141" t="inlineStr">
        <is>
          <t>O&amp;M</t>
        </is>
      </c>
      <c r="D141" t="inlineStr">
        <is>
          <t>Direct</t>
        </is>
      </c>
      <c r="E141" t="inlineStr">
        <is>
          <t>job/MW</t>
        </is>
      </c>
      <c r="F141" t="n">
        <v>2015</v>
      </c>
      <c r="G141" t="inlineStr">
        <is>
          <t>0.14</t>
        </is>
      </c>
      <c r="H141" t="n">
        <v>0.14</v>
      </c>
      <c r="I141" t="inlineStr">
        <is>
          <t>Original</t>
        </is>
      </c>
      <c r="J141" t="inlineStr"/>
      <c r="K141" t="inlineStr"/>
      <c r="L141" t="inlineStr"/>
      <c r="M141" t="inlineStr"/>
      <c r="N141" t="inlineStr"/>
      <c r="O141" t="n">
        <v>2015</v>
      </c>
      <c r="P141" t="n">
        <v>2015</v>
      </c>
      <c r="Q141" t="n">
        <v>0.14</v>
      </c>
    </row>
    <row r="142">
      <c r="A142" t="inlineStr">
        <is>
          <t>Rutovitz 2015</t>
        </is>
      </c>
      <c r="B142" t="inlineStr">
        <is>
          <t>Oil and diesel</t>
        </is>
      </c>
      <c r="C142" t="inlineStr">
        <is>
          <t>O&amp;M</t>
        </is>
      </c>
      <c r="D142" t="inlineStr">
        <is>
          <t>Direct</t>
        </is>
      </c>
      <c r="E142" t="inlineStr">
        <is>
          <t>job/MW</t>
        </is>
      </c>
      <c r="F142" t="n">
        <v>2030</v>
      </c>
      <c r="G142">
        <f>G141*K142</f>
        <v/>
      </c>
      <c r="H142">
        <f>H141*K142</f>
        <v/>
      </c>
      <c r="I142" t="inlineStr">
        <is>
          <t>Rutovitz Table 9 decline to 2030</t>
        </is>
      </c>
      <c r="J142" t="inlineStr">
        <is>
          <t>Oil</t>
        </is>
      </c>
      <c r="K142">
        <f>INDEX(Mappings_Rutovitz!$D$2:$D$14,MATCH(J142,Mappings_Rutovitz!$B$2:$B$14,0))</f>
        <v/>
      </c>
      <c r="L142" t="inlineStr"/>
      <c r="M142" t="inlineStr"/>
      <c r="N142" t="inlineStr">
        <is>
          <t>Rutovitz Table 9 Latin America 2030</t>
        </is>
      </c>
      <c r="O142" t="n">
        <v>2015</v>
      </c>
      <c r="P142" t="n">
        <v>2030</v>
      </c>
      <c r="Q142">
        <f>Q141*K142</f>
        <v/>
      </c>
    </row>
    <row r="143">
      <c r="A143" t="inlineStr">
        <is>
          <t>Rutovitz 2015</t>
        </is>
      </c>
      <c r="B143" t="inlineStr">
        <is>
          <t>Onshore wind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2015</v>
      </c>
      <c r="G143" t="inlineStr">
        <is>
          <t>6.7</t>
        </is>
      </c>
      <c r="H143" t="n">
        <v>6.7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2015</v>
      </c>
      <c r="P143" t="n">
        <v>2015</v>
      </c>
      <c r="Q143" t="n">
        <v>6.7</v>
      </c>
    </row>
    <row r="144">
      <c r="A144" t="inlineStr">
        <is>
          <t>Rutovitz 2015</t>
        </is>
      </c>
      <c r="B144" t="inlineStr">
        <is>
          <t>Onshore wind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2030</v>
      </c>
      <c r="G144">
        <f>G143*K144</f>
        <v/>
      </c>
      <c r="H144">
        <f>H143*K144</f>
        <v/>
      </c>
      <c r="I144" t="inlineStr">
        <is>
          <t>Rutovitz Table 9 decline to 2030</t>
        </is>
      </c>
      <c r="J144" t="inlineStr">
        <is>
          <t>Wind onshore</t>
        </is>
      </c>
      <c r="K144">
        <f>INDEX(Mappings_Rutovitz!$D$2:$D$14,MATCH(J144,Mappings_Rutovitz!$B$2:$B$14,0))</f>
        <v/>
      </c>
      <c r="L144" t="inlineStr"/>
      <c r="M144" t="inlineStr"/>
      <c r="N144" t="inlineStr">
        <is>
          <t>Rutovitz Table 9 Latin America 2030</t>
        </is>
      </c>
      <c r="O144" t="n">
        <v>2015</v>
      </c>
      <c r="P144" t="n">
        <v>2030</v>
      </c>
      <c r="Q144">
        <f>Q143*K144</f>
        <v/>
      </c>
    </row>
    <row r="145">
      <c r="A145" t="inlineStr">
        <is>
          <t>Rutovitz 2025</t>
        </is>
      </c>
      <c r="B145" t="inlineStr">
        <is>
          <t>Onshore wind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2024</v>
      </c>
      <c r="G145" t="inlineStr">
        <is>
          <t>2.65</t>
        </is>
      </c>
      <c r="H145" t="n">
        <v>2.65</v>
      </c>
      <c r="I145" t="inlineStr">
        <is>
          <t>Original</t>
        </is>
      </c>
      <c r="J145" t="inlineStr"/>
      <c r="K145" t="inlineStr"/>
      <c r="L145" t="inlineStr"/>
      <c r="M145" t="inlineStr"/>
      <c r="N145" t="inlineStr"/>
      <c r="O145" t="n">
        <v>2024</v>
      </c>
      <c r="P145" t="n">
        <v>2024</v>
      </c>
      <c r="Q145" t="n">
        <v>2.65</v>
      </c>
    </row>
    <row r="146">
      <c r="A146" t="inlineStr">
        <is>
          <t>Rutovitz 2025</t>
        </is>
      </c>
      <c r="B146" t="inlineStr">
        <is>
          <t>Onshore wind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2030</v>
      </c>
      <c r="G146" t="n">
        <v>2.547959495222345</v>
      </c>
      <c r="H146" t="n">
        <v>2.547959495222345</v>
      </c>
      <c r="I146" t="inlineStr">
        <is>
          <t>Learning curve from cumulative capacity ratio</t>
        </is>
      </c>
      <c r="J146" t="inlineStr"/>
      <c r="K146" t="inlineStr"/>
      <c r="L146" t="inlineStr">
        <is>
          <t>Wind onshore</t>
        </is>
      </c>
      <c r="M146" t="n">
        <v>0.05</v>
      </c>
      <c r="N146" t="inlineStr">
        <is>
          <t>STEPS capacity ratio=1.7</t>
        </is>
      </c>
      <c r="O146" t="n">
        <v>2024</v>
      </c>
      <c r="P146" t="n">
        <v>2030</v>
      </c>
      <c r="Q146" t="n">
        <v>2.547959495222345</v>
      </c>
    </row>
    <row r="147">
      <c r="A147" t="inlineStr">
        <is>
          <t>Rutovitz 2025</t>
        </is>
      </c>
      <c r="B147" t="inlineStr">
        <is>
          <t>Onshore wind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2050</v>
      </c>
      <c r="G147" t="n">
        <v>2.449222008045775</v>
      </c>
      <c r="H147" t="n">
        <v>2.449222008045775</v>
      </c>
      <c r="I147" t="inlineStr">
        <is>
          <t>Learning curve from cumulative capacity ratio</t>
        </is>
      </c>
      <c r="J147" t="inlineStr"/>
      <c r="K147" t="inlineStr"/>
      <c r="L147" t="inlineStr">
        <is>
          <t>Wind onshore</t>
        </is>
      </c>
      <c r="M147" t="n">
        <v>0.05</v>
      </c>
      <c r="N147" t="inlineStr">
        <is>
          <t>STEPS capacity ratio=2.9</t>
        </is>
      </c>
      <c r="O147" t="n">
        <v>2024</v>
      </c>
      <c r="P147" t="n">
        <v>2050</v>
      </c>
      <c r="Q147" t="n">
        <v>2.449222008045775</v>
      </c>
    </row>
    <row r="148">
      <c r="A148" t="inlineStr">
        <is>
          <t>I-JEDI</t>
        </is>
      </c>
      <c r="B148" t="inlineStr">
        <is>
          <t>Onshore wind</t>
        </is>
      </c>
      <c r="C148" t="inlineStr">
        <is>
          <t>Construction&amp;Manufacturing</t>
        </is>
      </c>
      <c r="D148" t="inlineStr">
        <is>
          <t>Direct</t>
        </is>
      </c>
      <c r="E148" t="inlineStr">
        <is>
          <t>job-yr/MW</t>
        </is>
      </c>
      <c r="F148" t="n">
        <v>2024</v>
      </c>
      <c r="G148" t="inlineStr">
        <is>
          <t>7.247</t>
        </is>
      </c>
      <c r="H148" t="n">
        <v>7.247</v>
      </c>
      <c r="I148" t="inlineStr">
        <is>
          <t>Original</t>
        </is>
      </c>
      <c r="J148" t="inlineStr"/>
      <c r="K148" t="inlineStr"/>
      <c r="L148" t="inlineStr"/>
      <c r="M148" t="inlineStr"/>
      <c r="N148" t="inlineStr"/>
      <c r="O148" t="n">
        <v>2024</v>
      </c>
      <c r="P148" t="n">
        <v>2024</v>
      </c>
      <c r="Q148" t="n">
        <v>7.247</v>
      </c>
    </row>
    <row r="149">
      <c r="A149" t="inlineStr">
        <is>
          <t>I-JEDI</t>
        </is>
      </c>
      <c r="B149" t="inlineStr">
        <is>
          <t>Onshore wind</t>
        </is>
      </c>
      <c r="C149" t="inlineStr">
        <is>
          <t>Construction&amp;Manufacturing</t>
        </is>
      </c>
      <c r="D149" t="inlineStr">
        <is>
          <t>Direct</t>
        </is>
      </c>
      <c r="E149" t="inlineStr">
        <is>
          <t>job-yr/MW</t>
        </is>
      </c>
      <c r="F149" t="n">
        <v>2030</v>
      </c>
      <c r="G149" t="n">
        <v>6.967948098821257</v>
      </c>
      <c r="H149" t="n">
        <v>6.967948098821257</v>
      </c>
      <c r="I149" t="inlineStr">
        <is>
          <t>Learning curve from cumulative capacity ratio</t>
        </is>
      </c>
      <c r="J149" t="inlineStr"/>
      <c r="K149" t="inlineStr"/>
      <c r="L149" t="inlineStr">
        <is>
          <t>Wind onshore</t>
        </is>
      </c>
      <c r="M149" t="n">
        <v>0.05</v>
      </c>
      <c r="N149" t="inlineStr">
        <is>
          <t>STEPS capacity ratio=1.7</t>
        </is>
      </c>
      <c r="O149" t="n">
        <v>2024</v>
      </c>
      <c r="P149" t="n">
        <v>2030</v>
      </c>
      <c r="Q149" t="n">
        <v>6.967948098821257</v>
      </c>
    </row>
    <row r="150">
      <c r="A150" t="inlineStr">
        <is>
          <t>I-JEDI</t>
        </is>
      </c>
      <c r="B150" t="inlineStr">
        <is>
          <t>Onshore wind</t>
        </is>
      </c>
      <c r="C150" t="inlineStr">
        <is>
          <t>Construction&amp;Manufacturing</t>
        </is>
      </c>
      <c r="D150" t="inlineStr">
        <is>
          <t>Direct</t>
        </is>
      </c>
      <c r="E150" t="inlineStr">
        <is>
          <t>job-yr/MW</t>
        </is>
      </c>
      <c r="F150" t="n">
        <v>2050</v>
      </c>
      <c r="G150" t="n">
        <v>6.697929015965182</v>
      </c>
      <c r="H150" t="n">
        <v>6.697929015965182</v>
      </c>
      <c r="I150" t="inlineStr">
        <is>
          <t>Learning curve from cumulative capacity ratio</t>
        </is>
      </c>
      <c r="J150" t="inlineStr"/>
      <c r="K150" t="inlineStr"/>
      <c r="L150" t="inlineStr">
        <is>
          <t>Wind onshore</t>
        </is>
      </c>
      <c r="M150" t="n">
        <v>0.05</v>
      </c>
      <c r="N150" t="inlineStr">
        <is>
          <t>STEPS capacity ratio=2.9</t>
        </is>
      </c>
      <c r="O150" t="n">
        <v>2024</v>
      </c>
      <c r="P150" t="n">
        <v>2050</v>
      </c>
      <c r="Q150" t="n">
        <v>6.697929015965182</v>
      </c>
    </row>
    <row r="151">
      <c r="A151" t="inlineStr">
        <is>
          <t>I-JEDI</t>
        </is>
      </c>
      <c r="B151" t="inlineStr">
        <is>
          <t>Onshore wind</t>
        </is>
      </c>
      <c r="C151" t="inlineStr">
        <is>
          <t>Construction&amp;Manufacturing</t>
        </is>
      </c>
      <c r="D151" t="inlineStr">
        <is>
          <t>Indirect</t>
        </is>
      </c>
      <c r="E151" t="inlineStr">
        <is>
          <t>job-yr/MW</t>
        </is>
      </c>
      <c r="F151" t="n">
        <v>2024</v>
      </c>
      <c r="G151" t="inlineStr">
        <is>
          <t>5.22</t>
        </is>
      </c>
      <c r="H151" t="n">
        <v>5.22</v>
      </c>
      <c r="I151" t="inlineStr">
        <is>
          <t>Original</t>
        </is>
      </c>
      <c r="J151" t="inlineStr"/>
      <c r="K151" t="inlineStr"/>
      <c r="L151" t="inlineStr"/>
      <c r="M151" t="inlineStr"/>
      <c r="N151" t="inlineStr"/>
      <c r="O151" t="n">
        <v>2024</v>
      </c>
      <c r="P151" t="n">
        <v>2024</v>
      </c>
      <c r="Q151" t="n">
        <v>5.22</v>
      </c>
    </row>
    <row r="152">
      <c r="A152" t="inlineStr">
        <is>
          <t>I-JEDI</t>
        </is>
      </c>
      <c r="B152" t="inlineStr">
        <is>
          <t>Onshore wind</t>
        </is>
      </c>
      <c r="C152" t="inlineStr">
        <is>
          <t>Construction&amp;Manufacturing</t>
        </is>
      </c>
      <c r="D152" t="inlineStr">
        <is>
          <t>Indirect</t>
        </is>
      </c>
      <c r="E152" t="inlineStr">
        <is>
          <t>job-yr/MW</t>
        </is>
      </c>
      <c r="F152" t="n">
        <v>2030</v>
      </c>
      <c r="G152" t="n">
        <v>5.018999458513449</v>
      </c>
      <c r="H152" t="n">
        <v>5.018999458513449</v>
      </c>
      <c r="I152" t="inlineStr">
        <is>
          <t>Learning curve from cumulative capacity ratio</t>
        </is>
      </c>
      <c r="J152" t="inlineStr"/>
      <c r="K152" t="inlineStr"/>
      <c r="L152" t="inlineStr">
        <is>
          <t>Wind onshore</t>
        </is>
      </c>
      <c r="M152" t="n">
        <v>0.05</v>
      </c>
      <c r="N152" t="inlineStr">
        <is>
          <t>STEPS capacity ratio=1.7</t>
        </is>
      </c>
      <c r="O152" t="n">
        <v>2024</v>
      </c>
      <c r="P152" t="n">
        <v>2030</v>
      </c>
      <c r="Q152" t="n">
        <v>5.018999458513449</v>
      </c>
    </row>
    <row r="153">
      <c r="A153" t="inlineStr">
        <is>
          <t>I-JEDI</t>
        </is>
      </c>
      <c r="B153" t="inlineStr">
        <is>
          <t>Onshore wind</t>
        </is>
      </c>
      <c r="C153" t="inlineStr">
        <is>
          <t>Construction&amp;Manufacturing</t>
        </is>
      </c>
      <c r="D153" t="inlineStr">
        <is>
          <t>Indirect</t>
        </is>
      </c>
      <c r="E153" t="inlineStr">
        <is>
          <t>job-yr/MW</t>
        </is>
      </c>
      <c r="F153" t="n">
        <v>2050</v>
      </c>
      <c r="G153" t="n">
        <v>4.824505238490168</v>
      </c>
      <c r="H153" t="n">
        <v>4.824505238490168</v>
      </c>
      <c r="I153" t="inlineStr">
        <is>
          <t>Learning curve from cumulative capacity ratio</t>
        </is>
      </c>
      <c r="J153" t="inlineStr"/>
      <c r="K153" t="inlineStr"/>
      <c r="L153" t="inlineStr">
        <is>
          <t>Wind onshore</t>
        </is>
      </c>
      <c r="M153" t="n">
        <v>0.05</v>
      </c>
      <c r="N153" t="inlineStr">
        <is>
          <t>STEPS capacity ratio=2.9</t>
        </is>
      </c>
      <c r="O153" t="n">
        <v>2024</v>
      </c>
      <c r="P153" t="n">
        <v>2050</v>
      </c>
      <c r="Q153" t="n">
        <v>4.824505238490168</v>
      </c>
    </row>
    <row r="154">
      <c r="A154" t="inlineStr">
        <is>
          <t>I-JEDI</t>
        </is>
      </c>
      <c r="B154" t="inlineStr">
        <is>
          <t>Onshore wind</t>
        </is>
      </c>
      <c r="C154" t="inlineStr">
        <is>
          <t>Construction&amp;Manufacturing</t>
        </is>
      </c>
      <c r="D154" t="inlineStr">
        <is>
          <t>Induced</t>
        </is>
      </c>
      <c r="E154" t="inlineStr">
        <is>
          <t>job-yr/MW</t>
        </is>
      </c>
      <c r="F154" t="n">
        <v>2024</v>
      </c>
      <c r="G154" t="inlineStr">
        <is>
          <t>4.044</t>
        </is>
      </c>
      <c r="H154" t="n">
        <v>4.044</v>
      </c>
      <c r="I154" t="inlineStr">
        <is>
          <t>Original</t>
        </is>
      </c>
      <c r="J154" t="inlineStr"/>
      <c r="K154" t="inlineStr"/>
      <c r="L154" t="inlineStr"/>
      <c r="M154" t="inlineStr"/>
      <c r="N154" t="inlineStr"/>
      <c r="O154" t="n">
        <v>2024</v>
      </c>
      <c r="P154" t="n">
        <v>2024</v>
      </c>
      <c r="Q154" t="n">
        <v>4.044</v>
      </c>
    </row>
    <row r="155">
      <c r="A155" t="inlineStr">
        <is>
          <t>I-JEDI</t>
        </is>
      </c>
      <c r="B155" t="inlineStr">
        <is>
          <t>Onshore wind</t>
        </is>
      </c>
      <c r="C155" t="inlineStr">
        <is>
          <t>Construction&amp;Manufacturing</t>
        </is>
      </c>
      <c r="D155" t="inlineStr">
        <is>
          <t>Induced</t>
        </is>
      </c>
      <c r="E155" t="inlineStr">
        <is>
          <t>job-yr/MW</t>
        </is>
      </c>
      <c r="F155" t="n">
        <v>2030</v>
      </c>
      <c r="G155" t="n">
        <v>3.888282339124211</v>
      </c>
      <c r="H155" t="n">
        <v>3.888282339124211</v>
      </c>
      <c r="I155" t="inlineStr">
        <is>
          <t>Learning curve from cumulative capacity ratio</t>
        </is>
      </c>
      <c r="J155" t="inlineStr"/>
      <c r="K155" t="inlineStr"/>
      <c r="L155" t="inlineStr">
        <is>
          <t>Wind onshore</t>
        </is>
      </c>
      <c r="M155" t="n">
        <v>0.05</v>
      </c>
      <c r="N155" t="inlineStr">
        <is>
          <t>STEPS capacity ratio=1.7</t>
        </is>
      </c>
      <c r="O155" t="n">
        <v>2024</v>
      </c>
      <c r="P155" t="n">
        <v>2030</v>
      </c>
      <c r="Q155" t="n">
        <v>3.888282339124211</v>
      </c>
    </row>
    <row r="156">
      <c r="A156" t="inlineStr">
        <is>
          <t>I-JEDI</t>
        </is>
      </c>
      <c r="B156" t="inlineStr">
        <is>
          <t>Onshore wind</t>
        </is>
      </c>
      <c r="C156" t="inlineStr">
        <is>
          <t>Construction&amp;Manufacturing</t>
        </is>
      </c>
      <c r="D156" t="inlineStr">
        <is>
          <t>Induced</t>
        </is>
      </c>
      <c r="E156" t="inlineStr">
        <is>
          <t>job-yr/MW</t>
        </is>
      </c>
      <c r="F156" t="n">
        <v>2050</v>
      </c>
      <c r="G156" t="n">
        <v>3.737605207749854</v>
      </c>
      <c r="H156" t="n">
        <v>3.737605207749854</v>
      </c>
      <c r="I156" t="inlineStr">
        <is>
          <t>Learning curve from cumulative capacity ratio</t>
        </is>
      </c>
      <c r="J156" t="inlineStr"/>
      <c r="K156" t="inlineStr"/>
      <c r="L156" t="inlineStr">
        <is>
          <t>Wind onshore</t>
        </is>
      </c>
      <c r="M156" t="n">
        <v>0.05</v>
      </c>
      <c r="N156" t="inlineStr">
        <is>
          <t>STEPS capacity ratio=2.9</t>
        </is>
      </c>
      <c r="O156" t="n">
        <v>2024</v>
      </c>
      <c r="P156" t="n">
        <v>2050</v>
      </c>
      <c r="Q156" t="n">
        <v>3.737605207749854</v>
      </c>
    </row>
    <row r="157">
      <c r="A157" t="inlineStr">
        <is>
          <t>Rutovitz 2015</t>
        </is>
      </c>
      <c r="B157" t="inlineStr">
        <is>
          <t>Onshore wind</t>
        </is>
      </c>
      <c r="C157" t="inlineStr">
        <is>
          <t>Manufacturing</t>
        </is>
      </c>
      <c r="D157" t="inlineStr">
        <is>
          <t>Direct</t>
        </is>
      </c>
      <c r="E157" t="inlineStr">
        <is>
          <t>job-yr/MW</t>
        </is>
      </c>
      <c r="F157" t="n">
        <v>2015</v>
      </c>
      <c r="G157" t="inlineStr">
        <is>
          <t>3.4</t>
        </is>
      </c>
      <c r="H157" t="n">
        <v>3.4</v>
      </c>
      <c r="I157" t="inlineStr">
        <is>
          <t>Original</t>
        </is>
      </c>
      <c r="J157" t="inlineStr"/>
      <c r="K157" t="inlineStr"/>
      <c r="L157" t="inlineStr"/>
      <c r="M157" t="inlineStr"/>
      <c r="N157" t="inlineStr"/>
      <c r="O157" t="n">
        <v>2015</v>
      </c>
      <c r="P157" t="n">
        <v>2015</v>
      </c>
      <c r="Q157" t="n">
        <v>3.4</v>
      </c>
    </row>
    <row r="158">
      <c r="A158" t="inlineStr">
        <is>
          <t>Rutovitz 2015</t>
        </is>
      </c>
      <c r="B158" t="inlineStr">
        <is>
          <t>Onshore wind</t>
        </is>
      </c>
      <c r="C158" t="inlineStr">
        <is>
          <t>Manufacturing</t>
        </is>
      </c>
      <c r="D158" t="inlineStr">
        <is>
          <t>Direct</t>
        </is>
      </c>
      <c r="E158" t="inlineStr">
        <is>
          <t>job-yr/MW</t>
        </is>
      </c>
      <c r="F158" t="n">
        <v>2030</v>
      </c>
      <c r="G158">
        <f>G157*K158</f>
        <v/>
      </c>
      <c r="H158">
        <f>H157*K158</f>
        <v/>
      </c>
      <c r="I158" t="inlineStr">
        <is>
          <t>Rutovitz Table 9 decline to 2030</t>
        </is>
      </c>
      <c r="J158" t="inlineStr">
        <is>
          <t>Wind onshore</t>
        </is>
      </c>
      <c r="K158">
        <f>INDEX(Mappings_Rutovitz!$D$2:$D$14,MATCH(J158,Mappings_Rutovitz!$B$2:$B$14,0))</f>
        <v/>
      </c>
      <c r="L158" t="inlineStr"/>
      <c r="M158" t="inlineStr"/>
      <c r="N158" t="inlineStr">
        <is>
          <t>Rutovitz Table 9 Latin America 2030</t>
        </is>
      </c>
      <c r="O158" t="n">
        <v>2015</v>
      </c>
      <c r="P158" t="n">
        <v>2030</v>
      </c>
      <c r="Q158">
        <f>Q157*K158</f>
        <v/>
      </c>
    </row>
    <row r="159">
      <c r="A159" t="inlineStr">
        <is>
          <t>Rutovitz 2025</t>
        </is>
      </c>
      <c r="B159" t="inlineStr">
        <is>
          <t>Onshore wind</t>
        </is>
      </c>
      <c r="C159" t="inlineStr">
        <is>
          <t>Manufacturing</t>
        </is>
      </c>
      <c r="D159" t="inlineStr">
        <is>
          <t>Direct</t>
        </is>
      </c>
      <c r="E159" t="inlineStr">
        <is>
          <t>job-yr/MW</t>
        </is>
      </c>
      <c r="F159" t="n">
        <v>2024</v>
      </c>
      <c r="G159" t="inlineStr">
        <is>
          <t>1.54</t>
        </is>
      </c>
      <c r="H159" t="n">
        <v>1.54</v>
      </c>
      <c r="I159" t="inlineStr">
        <is>
          <t>Original</t>
        </is>
      </c>
      <c r="J159" t="inlineStr"/>
      <c r="K159" t="inlineStr"/>
      <c r="L159" t="inlineStr"/>
      <c r="M159" t="inlineStr"/>
      <c r="N159" t="inlineStr"/>
      <c r="O159" t="n">
        <v>2024</v>
      </c>
      <c r="P159" t="n">
        <v>2024</v>
      </c>
      <c r="Q159" t="n">
        <v>1.54</v>
      </c>
    </row>
    <row r="160">
      <c r="A160" t="inlineStr">
        <is>
          <t>Rutovitz 2025</t>
        </is>
      </c>
      <c r="B160" t="inlineStr">
        <is>
          <t>Onshore wind</t>
        </is>
      </c>
      <c r="C160" t="inlineStr">
        <is>
          <t>Manufacturing</t>
        </is>
      </c>
      <c r="D160" t="inlineStr">
        <is>
          <t>Direct</t>
        </is>
      </c>
      <c r="E160" t="inlineStr">
        <is>
          <t>job-yr/MW</t>
        </is>
      </c>
      <c r="F160" t="n">
        <v>2030</v>
      </c>
      <c r="G160" t="n">
        <v>1.480700989676381</v>
      </c>
      <c r="H160" t="n">
        <v>1.480700989676381</v>
      </c>
      <c r="I160" t="inlineStr">
        <is>
          <t>Learning curve from cumulative capacity ratio</t>
        </is>
      </c>
      <c r="J160" t="inlineStr"/>
      <c r="K160" t="inlineStr"/>
      <c r="L160" t="inlineStr">
        <is>
          <t>Wind onshore</t>
        </is>
      </c>
      <c r="M160" t="n">
        <v>0.05</v>
      </c>
      <c r="N160" t="inlineStr">
        <is>
          <t>STEPS capacity ratio=1.7</t>
        </is>
      </c>
      <c r="O160" t="n">
        <v>2024</v>
      </c>
      <c r="P160" t="n">
        <v>2030</v>
      </c>
      <c r="Q160" t="n">
        <v>1.480700989676381</v>
      </c>
    </row>
    <row r="161">
      <c r="A161" t="inlineStr">
        <is>
          <t>Rutovitz 2025</t>
        </is>
      </c>
      <c r="B161" t="inlineStr">
        <is>
          <t>Onshore wind</t>
        </is>
      </c>
      <c r="C161" t="inlineStr">
        <is>
          <t>Manufacturing</t>
        </is>
      </c>
      <c r="D161" t="inlineStr">
        <is>
          <t>Direct</t>
        </is>
      </c>
      <c r="E161" t="inlineStr">
        <is>
          <t>job-yr/MW</t>
        </is>
      </c>
      <c r="F161" t="n">
        <v>2050</v>
      </c>
      <c r="G161" t="n">
        <v>1.423321468826602</v>
      </c>
      <c r="H161" t="n">
        <v>1.423321468826602</v>
      </c>
      <c r="I161" t="inlineStr">
        <is>
          <t>Learning curve from cumulative capacity ratio</t>
        </is>
      </c>
      <c r="J161" t="inlineStr"/>
      <c r="K161" t="inlineStr"/>
      <c r="L161" t="inlineStr">
        <is>
          <t>Wind onshore</t>
        </is>
      </c>
      <c r="M161" t="n">
        <v>0.05</v>
      </c>
      <c r="N161" t="inlineStr">
        <is>
          <t>STEPS capacity ratio=2.9</t>
        </is>
      </c>
      <c r="O161" t="n">
        <v>2024</v>
      </c>
      <c r="P161" t="n">
        <v>2050</v>
      </c>
      <c r="Q161" t="n">
        <v>1.423321468826602</v>
      </c>
    </row>
    <row r="162">
      <c r="A162" t="inlineStr">
        <is>
          <t>I-JEDI</t>
        </is>
      </c>
      <c r="B162" t="inlineStr">
        <is>
          <t>Onshore wind</t>
        </is>
      </c>
      <c r="C162" t="inlineStr">
        <is>
          <t>O&amp;M</t>
        </is>
      </c>
      <c r="D162" t="inlineStr">
        <is>
          <t>Direct</t>
        </is>
      </c>
      <c r="E162" t="inlineStr">
        <is>
          <t>job/MW</t>
        </is>
      </c>
      <c r="F162" t="n">
        <v>2024</v>
      </c>
      <c r="G162" t="inlineStr">
        <is>
          <t>0.03</t>
        </is>
      </c>
      <c r="H162" t="n">
        <v>0.03</v>
      </c>
      <c r="I162" t="inlineStr">
        <is>
          <t>Original</t>
        </is>
      </c>
      <c r="J162" t="inlineStr"/>
      <c r="K162" t="inlineStr"/>
      <c r="L162" t="inlineStr"/>
      <c r="M162" t="inlineStr"/>
      <c r="N162" t="inlineStr"/>
      <c r="O162" t="n">
        <v>2024</v>
      </c>
      <c r="P162" t="n">
        <v>2024</v>
      </c>
      <c r="Q162" t="n">
        <v>0.03</v>
      </c>
    </row>
    <row r="163">
      <c r="A163" t="inlineStr">
        <is>
          <t>Rutovitz 2015</t>
        </is>
      </c>
      <c r="B163" t="inlineStr">
        <is>
          <t>Onshore wind</t>
        </is>
      </c>
      <c r="C163" t="inlineStr">
        <is>
          <t>O&amp;M</t>
        </is>
      </c>
      <c r="D163" t="inlineStr">
        <is>
          <t>Direct</t>
        </is>
      </c>
      <c r="E163" t="inlineStr">
        <is>
          <t>job/MW</t>
        </is>
      </c>
      <c r="F163" t="n">
        <v>2015</v>
      </c>
      <c r="G163" t="inlineStr">
        <is>
          <t>0.6</t>
        </is>
      </c>
      <c r="H163" t="n">
        <v>0.6</v>
      </c>
      <c r="I163" t="inlineStr">
        <is>
          <t>Original</t>
        </is>
      </c>
      <c r="J163" t="inlineStr"/>
      <c r="K163" t="inlineStr"/>
      <c r="L163" t="inlineStr"/>
      <c r="M163" t="inlineStr"/>
      <c r="N163" t="inlineStr"/>
      <c r="O163" t="n">
        <v>2015</v>
      </c>
      <c r="P163" t="n">
        <v>2015</v>
      </c>
      <c r="Q163" t="n">
        <v>0.6</v>
      </c>
    </row>
    <row r="164">
      <c r="A164" t="inlineStr">
        <is>
          <t>Rutovitz 2015</t>
        </is>
      </c>
      <c r="B164" t="inlineStr">
        <is>
          <t>Onshore wind</t>
        </is>
      </c>
      <c r="C164" t="inlineStr">
        <is>
          <t>O&amp;M</t>
        </is>
      </c>
      <c r="D164" t="inlineStr">
        <is>
          <t>Direct</t>
        </is>
      </c>
      <c r="E164" t="inlineStr">
        <is>
          <t>job/MW</t>
        </is>
      </c>
      <c r="F164" t="n">
        <v>2030</v>
      </c>
      <c r="G164">
        <f>G163*K164</f>
        <v/>
      </c>
      <c r="H164">
        <f>H163*K164</f>
        <v/>
      </c>
      <c r="I164" t="inlineStr">
        <is>
          <t>Rutovitz Table 9 decline to 2030</t>
        </is>
      </c>
      <c r="J164" t="inlineStr">
        <is>
          <t>Wind onshore</t>
        </is>
      </c>
      <c r="K164">
        <f>INDEX(Mappings_Rutovitz!$D$2:$D$14,MATCH(J164,Mappings_Rutovitz!$B$2:$B$14,0))</f>
        <v/>
      </c>
      <c r="L164" t="inlineStr"/>
      <c r="M164" t="inlineStr"/>
      <c r="N164" t="inlineStr">
        <is>
          <t>Rutovitz Table 9 Latin America 2030</t>
        </is>
      </c>
      <c r="O164" t="n">
        <v>2015</v>
      </c>
      <c r="P164" t="n">
        <v>2030</v>
      </c>
      <c r="Q164">
        <f>Q163*K164</f>
        <v/>
      </c>
    </row>
    <row r="165">
      <c r="A165" t="inlineStr">
        <is>
          <t>Rutovitz 2025</t>
        </is>
      </c>
      <c r="B165" t="inlineStr">
        <is>
          <t>Onshore wind</t>
        </is>
      </c>
      <c r="C165" t="inlineStr">
        <is>
          <t>O&amp;M</t>
        </is>
      </c>
      <c r="D165" t="inlineStr">
        <is>
          <t>Direct</t>
        </is>
      </c>
      <c r="E165" t="inlineStr">
        <is>
          <t>job/MW</t>
        </is>
      </c>
      <c r="F165" t="n">
        <v>2024</v>
      </c>
      <c r="G165" t="inlineStr">
        <is>
          <t>0.21</t>
        </is>
      </c>
      <c r="H165" t="n">
        <v>0.21</v>
      </c>
      <c r="I165" t="inlineStr">
        <is>
          <t>Original</t>
        </is>
      </c>
      <c r="J165" t="inlineStr"/>
      <c r="K165" t="inlineStr"/>
      <c r="L165" t="inlineStr"/>
      <c r="M165" t="inlineStr"/>
      <c r="N165" t="inlineStr"/>
      <c r="O165" t="n">
        <v>2024</v>
      </c>
      <c r="P165" t="n">
        <v>2024</v>
      </c>
      <c r="Q165" t="n">
        <v>0.21</v>
      </c>
    </row>
    <row r="166">
      <c r="A166" t="inlineStr">
        <is>
          <t>I-JEDI</t>
        </is>
      </c>
      <c r="B166" t="inlineStr">
        <is>
          <t>Onshore wind</t>
        </is>
      </c>
      <c r="C166" t="inlineStr">
        <is>
          <t>O&amp;M</t>
        </is>
      </c>
      <c r="D166" t="inlineStr">
        <is>
          <t>Indirect</t>
        </is>
      </c>
      <c r="E166" t="inlineStr">
        <is>
          <t>job/MW</t>
        </is>
      </c>
      <c r="F166" t="n">
        <v>2024</v>
      </c>
      <c r="G166" t="inlineStr">
        <is>
          <t>0.043</t>
        </is>
      </c>
      <c r="H166" t="n">
        <v>0.043</v>
      </c>
      <c r="I166" t="inlineStr">
        <is>
          <t>Original</t>
        </is>
      </c>
      <c r="J166" t="inlineStr"/>
      <c r="K166" t="inlineStr"/>
      <c r="L166" t="inlineStr"/>
      <c r="M166" t="inlineStr"/>
      <c r="N166" t="inlineStr"/>
      <c r="O166" t="n">
        <v>2024</v>
      </c>
      <c r="P166" t="n">
        <v>2024</v>
      </c>
      <c r="Q166" t="n">
        <v>0.043</v>
      </c>
    </row>
    <row r="167">
      <c r="A167" t="inlineStr">
        <is>
          <t>I-JEDI</t>
        </is>
      </c>
      <c r="B167" t="inlineStr">
        <is>
          <t>Onshore wind</t>
        </is>
      </c>
      <c r="C167" t="inlineStr">
        <is>
          <t>O&amp;M</t>
        </is>
      </c>
      <c r="D167" t="inlineStr">
        <is>
          <t>Induced</t>
        </is>
      </c>
      <c r="E167" t="inlineStr">
        <is>
          <t>job/MW</t>
        </is>
      </c>
      <c r="F167" t="n">
        <v>2024</v>
      </c>
      <c r="G167" t="inlineStr">
        <is>
          <t>0.0448</t>
        </is>
      </c>
      <c r="H167" t="n">
        <v>0.0448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2024</v>
      </c>
      <c r="P167" t="n">
        <v>2024</v>
      </c>
      <c r="Q167" t="n">
        <v>0.0448</v>
      </c>
    </row>
    <row r="168">
      <c r="A168" t="inlineStr">
        <is>
          <t>Rutovitz 2025</t>
        </is>
      </c>
      <c r="B168" t="inlineStr">
        <is>
          <t>Pumped hydro storage</t>
        </is>
      </c>
      <c r="C168" t="inlineStr">
        <is>
          <t>Construction</t>
        </is>
      </c>
      <c r="D168" t="inlineStr">
        <is>
          <t>Direct</t>
        </is>
      </c>
      <c r="E168" t="inlineStr">
        <is>
          <t>job-yr/MW</t>
        </is>
      </c>
      <c r="F168" t="n">
        <v>2024</v>
      </c>
      <c r="G168" t="inlineStr">
        <is>
          <t>7.18</t>
        </is>
      </c>
      <c r="H168" t="n">
        <v>7.18</v>
      </c>
      <c r="I168" t="inlineStr">
        <is>
          <t>Original</t>
        </is>
      </c>
      <c r="J168" t="inlineStr"/>
      <c r="K168" t="inlineStr"/>
      <c r="L168" t="inlineStr"/>
      <c r="M168" t="inlineStr"/>
      <c r="N168" t="inlineStr"/>
      <c r="O168" t="n">
        <v>2024</v>
      </c>
      <c r="P168" t="n">
        <v>2024</v>
      </c>
      <c r="Q168" t="n">
        <v>7.18</v>
      </c>
    </row>
    <row r="169">
      <c r="A169" t="inlineStr">
        <is>
          <t>Rutovitz 2025</t>
        </is>
      </c>
      <c r="B169" t="inlineStr">
        <is>
          <t>Pumped hydro storage</t>
        </is>
      </c>
      <c r="C169" t="inlineStr">
        <is>
          <t>Construction</t>
        </is>
      </c>
      <c r="D169" t="inlineStr">
        <is>
          <t>Direct</t>
        </is>
      </c>
      <c r="E169" t="inlineStr">
        <is>
          <t>job-yr/MW</t>
        </is>
      </c>
      <c r="F169" t="n">
        <v>2030</v>
      </c>
      <c r="G169" t="n">
        <v>7.170084404689097</v>
      </c>
      <c r="H169" t="n">
        <v>7.170084404689097</v>
      </c>
      <c r="I169" t="inlineStr">
        <is>
          <t>Learning curve from cumulative capacity ratio</t>
        </is>
      </c>
      <c r="J169" t="inlineStr"/>
      <c r="K169" t="inlineStr"/>
      <c r="L169" t="inlineStr">
        <is>
          <t>Hydro</t>
        </is>
      </c>
      <c r="M169" t="n">
        <v>0.01</v>
      </c>
      <c r="N169" t="inlineStr">
        <is>
          <t>STEPS capacity ratio=1.1</t>
        </is>
      </c>
      <c r="O169" t="n">
        <v>2024</v>
      </c>
      <c r="P169" t="n">
        <v>2030</v>
      </c>
      <c r="Q169" t="n">
        <v>7.170084404689097</v>
      </c>
    </row>
    <row r="170">
      <c r="A170" t="inlineStr">
        <is>
          <t>Rutovitz 2025</t>
        </is>
      </c>
      <c r="B170" t="inlineStr">
        <is>
          <t>Pumped hydro storage</t>
        </is>
      </c>
      <c r="C170" t="inlineStr">
        <is>
          <t>Construction</t>
        </is>
      </c>
      <c r="D170" t="inlineStr">
        <is>
          <t>Direct</t>
        </is>
      </c>
      <c r="E170" t="inlineStr">
        <is>
          <t>job-yr/MW</t>
        </is>
      </c>
      <c r="F170" t="n">
        <v>2050</v>
      </c>
      <c r="G170" t="n">
        <v>7.145056224461583</v>
      </c>
      <c r="H170" t="n">
        <v>7.145056224461583</v>
      </c>
      <c r="I170" t="inlineStr">
        <is>
          <t>Learning curve from cumulative capacity ratio</t>
        </is>
      </c>
      <c r="J170" t="inlineStr"/>
      <c r="K170" t="inlineStr"/>
      <c r="L170" t="inlineStr">
        <is>
          <t>Hydro</t>
        </is>
      </c>
      <c r="M170" t="n">
        <v>0.01</v>
      </c>
      <c r="N170" t="inlineStr">
        <is>
          <t>STEPS capacity ratio=1.4</t>
        </is>
      </c>
      <c r="O170" t="n">
        <v>2024</v>
      </c>
      <c r="P170" t="n">
        <v>2050</v>
      </c>
      <c r="Q170" t="n">
        <v>7.145056224461583</v>
      </c>
    </row>
    <row r="171">
      <c r="A171" t="inlineStr">
        <is>
          <t>Rutovitz 2025</t>
        </is>
      </c>
      <c r="B171" t="inlineStr">
        <is>
          <t>Pumped hydro storage</t>
        </is>
      </c>
      <c r="C171" t="inlineStr">
        <is>
          <t>Manufacturing</t>
        </is>
      </c>
      <c r="D171" t="inlineStr">
        <is>
          <t>Direct</t>
        </is>
      </c>
      <c r="E171" t="inlineStr">
        <is>
          <t>job-yr/MW</t>
        </is>
      </c>
      <c r="F171" t="n">
        <v>2024</v>
      </c>
      <c r="G171" t="inlineStr">
        <is>
          <t>6.4</t>
        </is>
      </c>
      <c r="H171" t="n">
        <v>6.4</v>
      </c>
      <c r="I171" t="inlineStr">
        <is>
          <t>Original</t>
        </is>
      </c>
      <c r="J171" t="inlineStr"/>
      <c r="K171" t="inlineStr"/>
      <c r="L171" t="inlineStr"/>
      <c r="M171" t="inlineStr"/>
      <c r="N171" t="inlineStr"/>
      <c r="O171" t="n">
        <v>2024</v>
      </c>
      <c r="P171" t="n">
        <v>2024</v>
      </c>
      <c r="Q171" t="n">
        <v>6.4</v>
      </c>
    </row>
    <row r="172">
      <c r="A172" t="inlineStr">
        <is>
          <t>Rutovitz 2025</t>
        </is>
      </c>
      <c r="B172" t="inlineStr">
        <is>
          <t>Pumped hydro storage</t>
        </is>
      </c>
      <c r="C172" t="inlineStr">
        <is>
          <t>Manufacturing</t>
        </is>
      </c>
      <c r="D172" t="inlineStr">
        <is>
          <t>Direct</t>
        </is>
      </c>
      <c r="E172" t="inlineStr">
        <is>
          <t>job-yr/MW</t>
        </is>
      </c>
      <c r="F172" t="n">
        <v>2030</v>
      </c>
      <c r="G172" t="n">
        <v>6.3911615863524</v>
      </c>
      <c r="H172" t="n">
        <v>6.3911615863524</v>
      </c>
      <c r="I172" t="inlineStr">
        <is>
          <t>Learning curve from cumulative capacity ratio</t>
        </is>
      </c>
      <c r="J172" t="inlineStr"/>
      <c r="K172" t="inlineStr"/>
      <c r="L172" t="inlineStr">
        <is>
          <t>Hydro</t>
        </is>
      </c>
      <c r="M172" t="n">
        <v>0.01</v>
      </c>
      <c r="N172" t="inlineStr">
        <is>
          <t>STEPS capacity ratio=1.1</t>
        </is>
      </c>
      <c r="O172" t="n">
        <v>2024</v>
      </c>
      <c r="P172" t="n">
        <v>2030</v>
      </c>
      <c r="Q172" t="n">
        <v>6.3911615863524</v>
      </c>
    </row>
    <row r="173">
      <c r="A173" t="inlineStr">
        <is>
          <t>Rutovitz 2025</t>
        </is>
      </c>
      <c r="B173" t="inlineStr">
        <is>
          <t>Pumped hydro storage</t>
        </is>
      </c>
      <c r="C173" t="inlineStr">
        <is>
          <t>Manufacturing</t>
        </is>
      </c>
      <c r="D173" t="inlineStr">
        <is>
          <t>Direct</t>
        </is>
      </c>
      <c r="E173" t="inlineStr">
        <is>
          <t>job-yr/MW</t>
        </is>
      </c>
      <c r="F173" t="n">
        <v>2050</v>
      </c>
      <c r="G173" t="n">
        <v>6.368852344923974</v>
      </c>
      <c r="H173" t="n">
        <v>6.368852344923974</v>
      </c>
      <c r="I173" t="inlineStr">
        <is>
          <t>Learning curve from cumulative capacity ratio</t>
        </is>
      </c>
      <c r="J173" t="inlineStr"/>
      <c r="K173" t="inlineStr"/>
      <c r="L173" t="inlineStr">
        <is>
          <t>Hydro</t>
        </is>
      </c>
      <c r="M173" t="n">
        <v>0.01</v>
      </c>
      <c r="N173" t="inlineStr">
        <is>
          <t>STEPS capacity ratio=1.4</t>
        </is>
      </c>
      <c r="O173" t="n">
        <v>2024</v>
      </c>
      <c r="P173" t="n">
        <v>2050</v>
      </c>
      <c r="Q173" t="n">
        <v>6.368852344923974</v>
      </c>
    </row>
    <row r="174">
      <c r="A174" t="inlineStr">
        <is>
          <t>Rutovitz 2025</t>
        </is>
      </c>
      <c r="B174" t="inlineStr">
        <is>
          <t>Pumped hydro storage</t>
        </is>
      </c>
      <c r="C174" t="inlineStr">
        <is>
          <t>O&amp;M</t>
        </is>
      </c>
      <c r="D174" t="inlineStr">
        <is>
          <t>Direct</t>
        </is>
      </c>
      <c r="E174" t="inlineStr">
        <is>
          <t>job/MW</t>
        </is>
      </c>
      <c r="F174" t="n">
        <v>2024</v>
      </c>
      <c r="G174" t="inlineStr">
        <is>
          <t>0.08</t>
        </is>
      </c>
      <c r="H174" t="n">
        <v>0.08</v>
      </c>
      <c r="I174" t="inlineStr">
        <is>
          <t>Original</t>
        </is>
      </c>
      <c r="J174" t="inlineStr"/>
      <c r="K174" t="inlineStr"/>
      <c r="L174" t="inlineStr"/>
      <c r="M174" t="inlineStr"/>
      <c r="N174" t="inlineStr"/>
      <c r="O174" t="n">
        <v>2024</v>
      </c>
      <c r="P174" t="n">
        <v>2024</v>
      </c>
      <c r="Q174" t="n">
        <v>0.08</v>
      </c>
    </row>
    <row r="175">
      <c r="A175" t="inlineStr">
        <is>
          <t>Rutovitz 2025</t>
        </is>
      </c>
      <c r="B175" t="inlineStr">
        <is>
          <t>Rooftop solar PV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2024</v>
      </c>
      <c r="G175" t="inlineStr">
        <is>
          <t>4.19</t>
        </is>
      </c>
      <c r="H175" t="n">
        <v>4.19</v>
      </c>
      <c r="I175" t="inlineStr">
        <is>
          <t>Original</t>
        </is>
      </c>
      <c r="J175" t="inlineStr"/>
      <c r="K175" t="inlineStr"/>
      <c r="L175" t="inlineStr"/>
      <c r="M175" t="inlineStr"/>
      <c r="N175" t="inlineStr"/>
      <c r="O175" t="n">
        <v>2024</v>
      </c>
      <c r="P175" t="n">
        <v>2024</v>
      </c>
      <c r="Q175" t="n">
        <v>4.19</v>
      </c>
    </row>
    <row r="176">
      <c r="A176" t="inlineStr">
        <is>
          <t>JEDI-US</t>
        </is>
      </c>
      <c r="B176" t="inlineStr">
        <is>
          <t>Rooftop solar PV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2024</v>
      </c>
      <c r="G176" t="inlineStr">
        <is>
          <t>9328</t>
        </is>
      </c>
      <c r="H176" t="n">
        <v>9.327999999999999</v>
      </c>
      <c r="I176" t="inlineStr">
        <is>
          <t>Original</t>
        </is>
      </c>
      <c r="J176" t="inlineStr"/>
      <c r="K176" t="inlineStr"/>
      <c r="L176" t="inlineStr"/>
      <c r="M176" t="inlineStr"/>
      <c r="N176" t="inlineStr"/>
      <c r="O176" t="n">
        <v>2024</v>
      </c>
      <c r="P176" t="n">
        <v>2024</v>
      </c>
      <c r="Q176" t="n">
        <v>9.327999999999999</v>
      </c>
    </row>
    <row r="177">
      <c r="A177" t="inlineStr">
        <is>
          <t>JEDI-US</t>
        </is>
      </c>
      <c r="B177" t="inlineStr">
        <is>
          <t>Rooftop solar PV</t>
        </is>
      </c>
      <c r="C177" t="inlineStr">
        <is>
          <t>Construction&amp;Manufacturing</t>
        </is>
      </c>
      <c r="D177" t="inlineStr">
        <is>
          <t>Indirect</t>
        </is>
      </c>
      <c r="E177" t="inlineStr">
        <is>
          <t>job-yr/MW</t>
        </is>
      </c>
      <c r="F177" t="n">
        <v>2024</v>
      </c>
      <c r="G177" t="inlineStr">
        <is>
          <t>10.8</t>
        </is>
      </c>
      <c r="H177" t="n">
        <v>10.8</v>
      </c>
      <c r="I177" t="inlineStr">
        <is>
          <t>Original</t>
        </is>
      </c>
      <c r="J177" t="inlineStr"/>
      <c r="K177" t="inlineStr"/>
      <c r="L177" t="inlineStr"/>
      <c r="M177" t="inlineStr"/>
      <c r="N177" t="inlineStr"/>
      <c r="O177" t="n">
        <v>2024</v>
      </c>
      <c r="P177" t="n">
        <v>2024</v>
      </c>
      <c r="Q177" t="n">
        <v>10.8</v>
      </c>
    </row>
    <row r="178">
      <c r="A178" t="inlineStr">
        <is>
          <t>JEDI-US</t>
        </is>
      </c>
      <c r="B178" t="inlineStr">
        <is>
          <t>Rooftop solar PV</t>
        </is>
      </c>
      <c r="C178" t="inlineStr">
        <is>
          <t>Construction&amp;Manufacturing</t>
        </is>
      </c>
      <c r="D178" t="inlineStr">
        <is>
          <t>Induced</t>
        </is>
      </c>
      <c r="E178" t="inlineStr">
        <is>
          <t>job-yr/MW</t>
        </is>
      </c>
      <c r="F178" t="n">
        <v>2024</v>
      </c>
      <c r="G178" t="inlineStr">
        <is>
          <t>10</t>
        </is>
      </c>
      <c r="H178" t="n">
        <v>10</v>
      </c>
      <c r="I178" t="inlineStr">
        <is>
          <t>Original</t>
        </is>
      </c>
      <c r="J178" t="inlineStr"/>
      <c r="K178" t="inlineStr"/>
      <c r="L178" t="inlineStr"/>
      <c r="M178" t="inlineStr"/>
      <c r="N178" t="inlineStr"/>
      <c r="O178" t="n">
        <v>2024</v>
      </c>
      <c r="P178" t="n">
        <v>2024</v>
      </c>
      <c r="Q178" t="n">
        <v>10</v>
      </c>
    </row>
    <row r="179">
      <c r="A179" t="inlineStr">
        <is>
          <t>Rutovitz 2025</t>
        </is>
      </c>
      <c r="B179" t="inlineStr">
        <is>
          <t>Rooftop solar PV</t>
        </is>
      </c>
      <c r="C179" t="inlineStr">
        <is>
          <t>Manufacturing</t>
        </is>
      </c>
      <c r="D179" t="inlineStr">
        <is>
          <t>Direct</t>
        </is>
      </c>
      <c r="E179" t="inlineStr">
        <is>
          <t>job-yr/MW</t>
        </is>
      </c>
      <c r="F179" t="n">
        <v>2024</v>
      </c>
      <c r="G179" t="inlineStr">
        <is>
          <t>2.86</t>
        </is>
      </c>
      <c r="H179" t="n">
        <v>2.86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2024</v>
      </c>
      <c r="P179" t="n">
        <v>2024</v>
      </c>
      <c r="Q179" t="n">
        <v>2.86</v>
      </c>
    </row>
    <row r="180">
      <c r="A180" t="inlineStr">
        <is>
          <t>JEDI-US</t>
        </is>
      </c>
      <c r="B180" t="inlineStr">
        <is>
          <t>Rooftop solar PV</t>
        </is>
      </c>
      <c r="C180" t="inlineStr">
        <is>
          <t>O&amp;M</t>
        </is>
      </c>
      <c r="D180" t="inlineStr">
        <is>
          <t>Direct</t>
        </is>
      </c>
      <c r="E180" t="inlineStr">
        <is>
          <t>job/MW</t>
        </is>
      </c>
      <c r="F180" t="n">
        <v>2024</v>
      </c>
      <c r="G180" t="inlineStr">
        <is>
          <t>0.3</t>
        </is>
      </c>
      <c r="H180" t="n">
        <v>0.3</v>
      </c>
      <c r="I180" t="inlineStr">
        <is>
          <t>Original</t>
        </is>
      </c>
      <c r="J180" t="inlineStr"/>
      <c r="K180" t="inlineStr"/>
      <c r="L180" t="inlineStr"/>
      <c r="M180" t="inlineStr"/>
      <c r="N180" t="inlineStr"/>
      <c r="O180" t="n">
        <v>2024</v>
      </c>
      <c r="P180" t="n">
        <v>2024</v>
      </c>
      <c r="Q180" t="n">
        <v>0.3</v>
      </c>
    </row>
    <row r="181">
      <c r="A181" t="inlineStr">
        <is>
          <t>Rutovitz 2025</t>
        </is>
      </c>
      <c r="B181" t="inlineStr">
        <is>
          <t>Rooftop solar PV</t>
        </is>
      </c>
      <c r="C181" t="inlineStr">
        <is>
          <t>O&amp;M</t>
        </is>
      </c>
      <c r="D181" t="inlineStr">
        <is>
          <t>Direct</t>
        </is>
      </c>
      <c r="E181" t="inlineStr">
        <is>
          <t>job/MW</t>
        </is>
      </c>
      <c r="F181" t="n">
        <v>2024</v>
      </c>
      <c r="G181" t="inlineStr">
        <is>
          <t>0.13</t>
        </is>
      </c>
      <c r="H181" t="n">
        <v>0.13</v>
      </c>
      <c r="I181" t="inlineStr">
        <is>
          <t>Original</t>
        </is>
      </c>
      <c r="J181" t="inlineStr"/>
      <c r="K181" t="inlineStr"/>
      <c r="L181" t="inlineStr"/>
      <c r="M181" t="inlineStr"/>
      <c r="N181" t="inlineStr"/>
      <c r="O181" t="n">
        <v>2024</v>
      </c>
      <c r="P181" t="n">
        <v>2024</v>
      </c>
      <c r="Q181" t="n">
        <v>0.13</v>
      </c>
    </row>
    <row r="182">
      <c r="A182" t="inlineStr">
        <is>
          <t>JEDI-US</t>
        </is>
      </c>
      <c r="B182" t="inlineStr">
        <is>
          <t>Rooftop solar PV</t>
        </is>
      </c>
      <c r="C182" t="inlineStr">
        <is>
          <t>O&amp;M</t>
        </is>
      </c>
      <c r="D182" t="inlineStr">
        <is>
          <t>Indirect</t>
        </is>
      </c>
      <c r="E182" t="inlineStr">
        <is>
          <t>job/MW</t>
        </is>
      </c>
      <c r="F182" t="n">
        <v>2024</v>
      </c>
      <c r="G182" t="inlineStr">
        <is>
          <t>0.105</t>
        </is>
      </c>
      <c r="H182" t="n">
        <v>0.105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2024</v>
      </c>
      <c r="P182" t="n">
        <v>2024</v>
      </c>
      <c r="Q182" t="n">
        <v>0.105</v>
      </c>
    </row>
    <row r="183">
      <c r="A183" t="inlineStr">
        <is>
          <t>JEDI-US</t>
        </is>
      </c>
      <c r="B183" t="inlineStr">
        <is>
          <t>Rooftop solar PV</t>
        </is>
      </c>
      <c r="C183" t="inlineStr">
        <is>
          <t>O&amp;M</t>
        </is>
      </c>
      <c r="D183" t="inlineStr">
        <is>
          <t>Induced</t>
        </is>
      </c>
      <c r="E183" t="inlineStr">
        <is>
          <t>job/MW</t>
        </is>
      </c>
      <c r="F183" t="n">
        <v>2024</v>
      </c>
      <c r="G183" t="inlineStr">
        <is>
          <t>0.101</t>
        </is>
      </c>
      <c r="H183" t="n">
        <v>0.101</v>
      </c>
      <c r="I183" t="inlineStr">
        <is>
          <t>Original</t>
        </is>
      </c>
      <c r="J183" t="inlineStr"/>
      <c r="K183" t="inlineStr"/>
      <c r="L183" t="inlineStr"/>
      <c r="M183" t="inlineStr"/>
      <c r="N183" t="inlineStr"/>
      <c r="O183" t="n">
        <v>2024</v>
      </c>
      <c r="P183" t="n">
        <v>2024</v>
      </c>
      <c r="Q183" t="n">
        <v>0.101</v>
      </c>
    </row>
    <row r="184">
      <c r="A184" t="inlineStr">
        <is>
          <t>Rutovitz 2015</t>
        </is>
      </c>
      <c r="B184" t="inlineStr">
        <is>
          <t>Solar thermal (CSP)</t>
        </is>
      </c>
      <c r="C184" t="inlineStr">
        <is>
          <t>Construction</t>
        </is>
      </c>
      <c r="D184" t="inlineStr">
        <is>
          <t>Direct</t>
        </is>
      </c>
      <c r="E184" t="inlineStr">
        <is>
          <t>job-yr/MW</t>
        </is>
      </c>
      <c r="F184" t="n">
        <v>2015</v>
      </c>
      <c r="G184" t="inlineStr">
        <is>
          <t>8</t>
        </is>
      </c>
      <c r="H184" t="n">
        <v>8</v>
      </c>
      <c r="I184" t="inlineStr">
        <is>
          <t>Original</t>
        </is>
      </c>
      <c r="J184" t="inlineStr"/>
      <c r="K184" t="inlineStr"/>
      <c r="L184" t="inlineStr"/>
      <c r="M184" t="inlineStr"/>
      <c r="N184" t="inlineStr"/>
      <c r="O184" t="n">
        <v>2015</v>
      </c>
      <c r="P184" t="n">
        <v>2015</v>
      </c>
      <c r="Q184" t="n">
        <v>8</v>
      </c>
    </row>
    <row r="185">
      <c r="A185" t="inlineStr">
        <is>
          <t>Rutovitz 2015</t>
        </is>
      </c>
      <c r="B185" t="inlineStr">
        <is>
          <t>Solar thermal (CSP)</t>
        </is>
      </c>
      <c r="C185" t="inlineStr">
        <is>
          <t>Construction</t>
        </is>
      </c>
      <c r="D185" t="inlineStr">
        <is>
          <t>Direct</t>
        </is>
      </c>
      <c r="E185" t="inlineStr">
        <is>
          <t>job-yr/MW</t>
        </is>
      </c>
      <c r="F185" t="n">
        <v>2030</v>
      </c>
      <c r="G185">
        <f>G184*K185</f>
        <v/>
      </c>
      <c r="H185">
        <f>H184*K185</f>
        <v/>
      </c>
      <c r="I185" t="inlineStr">
        <is>
          <t>Rutovitz Table 9 decline to 2030</t>
        </is>
      </c>
      <c r="J185" t="inlineStr">
        <is>
          <t>Solar thermal power</t>
        </is>
      </c>
      <c r="K185">
        <f>INDEX(Mappings_Rutovitz!$D$2:$D$14,MATCH(J185,Mappings_Rutovitz!$B$2:$B$14,0))</f>
        <v/>
      </c>
      <c r="L185" t="inlineStr"/>
      <c r="M185" t="inlineStr"/>
      <c r="N185" t="inlineStr">
        <is>
          <t>Rutovitz Table 9 Latin America 2030</t>
        </is>
      </c>
      <c r="O185" t="n">
        <v>2015</v>
      </c>
      <c r="P185" t="n">
        <v>2030</v>
      </c>
      <c r="Q185">
        <f>Q184*K185</f>
        <v/>
      </c>
    </row>
    <row r="186">
      <c r="A186" t="inlineStr">
        <is>
          <t>Rutovitz 2015</t>
        </is>
      </c>
      <c r="B186" t="inlineStr">
        <is>
          <t>Solar thermal (CSP)</t>
        </is>
      </c>
      <c r="C186" t="inlineStr">
        <is>
          <t>Manufacturing</t>
        </is>
      </c>
      <c r="D186" t="inlineStr">
        <is>
          <t>Direct</t>
        </is>
      </c>
      <c r="E186" t="inlineStr">
        <is>
          <t>job-yr/MW</t>
        </is>
      </c>
      <c r="F186" t="n">
        <v>2015</v>
      </c>
      <c r="G186" t="inlineStr">
        <is>
          <t>4</t>
        </is>
      </c>
      <c r="H186" t="n">
        <v>4</v>
      </c>
      <c r="I186" t="inlineStr">
        <is>
          <t>Original</t>
        </is>
      </c>
      <c r="J186" t="inlineStr"/>
      <c r="K186" t="inlineStr"/>
      <c r="L186" t="inlineStr"/>
      <c r="M186" t="inlineStr"/>
      <c r="N186" t="inlineStr"/>
      <c r="O186" t="n">
        <v>2015</v>
      </c>
      <c r="P186" t="n">
        <v>2015</v>
      </c>
      <c r="Q186" t="n">
        <v>4</v>
      </c>
    </row>
    <row r="187">
      <c r="A187" t="inlineStr">
        <is>
          <t>Rutovitz 2015</t>
        </is>
      </c>
      <c r="B187" t="inlineStr">
        <is>
          <t>Solar thermal (CSP)</t>
        </is>
      </c>
      <c r="C187" t="inlineStr">
        <is>
          <t>Manufacturing</t>
        </is>
      </c>
      <c r="D187" t="inlineStr">
        <is>
          <t>Direct</t>
        </is>
      </c>
      <c r="E187" t="inlineStr">
        <is>
          <t>job-yr/MW</t>
        </is>
      </c>
      <c r="F187" t="n">
        <v>2030</v>
      </c>
      <c r="G187">
        <f>G186*K187</f>
        <v/>
      </c>
      <c r="H187">
        <f>H186*K187</f>
        <v/>
      </c>
      <c r="I187" t="inlineStr">
        <is>
          <t>Rutovitz Table 9 decline to 2030</t>
        </is>
      </c>
      <c r="J187" t="inlineStr">
        <is>
          <t>Solar thermal power</t>
        </is>
      </c>
      <c r="K187">
        <f>INDEX(Mappings_Rutovitz!$D$2:$D$14,MATCH(J187,Mappings_Rutovitz!$B$2:$B$14,0))</f>
        <v/>
      </c>
      <c r="L187" t="inlineStr"/>
      <c r="M187" t="inlineStr"/>
      <c r="N187" t="inlineStr">
        <is>
          <t>Rutovitz Table 9 Latin America 2030</t>
        </is>
      </c>
      <c r="O187" t="n">
        <v>2015</v>
      </c>
      <c r="P187" t="n">
        <v>2030</v>
      </c>
      <c r="Q187">
        <f>Q186*K187</f>
        <v/>
      </c>
    </row>
    <row r="188">
      <c r="A188" t="inlineStr">
        <is>
          <t>Rutovitz 2015</t>
        </is>
      </c>
      <c r="B188" t="inlineStr">
        <is>
          <t>Solar thermal (CSP)</t>
        </is>
      </c>
      <c r="C188" t="inlineStr">
        <is>
          <t>O&amp;M</t>
        </is>
      </c>
      <c r="D188" t="inlineStr">
        <is>
          <t>Direct</t>
        </is>
      </c>
      <c r="E188" t="inlineStr">
        <is>
          <t>job/MW</t>
        </is>
      </c>
      <c r="F188" t="n">
        <v>2015</v>
      </c>
      <c r="G188" t="inlineStr">
        <is>
          <t>0.6</t>
        </is>
      </c>
      <c r="H188" t="n">
        <v>0.6</v>
      </c>
      <c r="I188" t="inlineStr">
        <is>
          <t>Original</t>
        </is>
      </c>
      <c r="J188" t="inlineStr"/>
      <c r="K188" t="inlineStr"/>
      <c r="L188" t="inlineStr"/>
      <c r="M188" t="inlineStr"/>
      <c r="N188" t="inlineStr"/>
      <c r="O188" t="n">
        <v>2015</v>
      </c>
      <c r="P188" t="n">
        <v>2015</v>
      </c>
      <c r="Q188" t="n">
        <v>0.6</v>
      </c>
    </row>
    <row r="189">
      <c r="A189" t="inlineStr">
        <is>
          <t>Rutovitz 2015</t>
        </is>
      </c>
      <c r="B189" t="inlineStr">
        <is>
          <t>Solar thermal (CSP)</t>
        </is>
      </c>
      <c r="C189" t="inlineStr">
        <is>
          <t>O&amp;M</t>
        </is>
      </c>
      <c r="D189" t="inlineStr">
        <is>
          <t>Direct</t>
        </is>
      </c>
      <c r="E189" t="inlineStr">
        <is>
          <t>job/MW</t>
        </is>
      </c>
      <c r="F189" t="n">
        <v>2030</v>
      </c>
      <c r="G189">
        <f>G188*K189</f>
        <v/>
      </c>
      <c r="H189">
        <f>H188*K189</f>
        <v/>
      </c>
      <c r="I189" t="inlineStr">
        <is>
          <t>Rutovitz Table 9 decline to 2030</t>
        </is>
      </c>
      <c r="J189" t="inlineStr">
        <is>
          <t>Solar thermal power</t>
        </is>
      </c>
      <c r="K189">
        <f>INDEX(Mappings_Rutovitz!$D$2:$D$14,MATCH(J189,Mappings_Rutovitz!$B$2:$B$14,0))</f>
        <v/>
      </c>
      <c r="L189" t="inlineStr"/>
      <c r="M189" t="inlineStr"/>
      <c r="N189" t="inlineStr">
        <is>
          <t>Rutovitz Table 9 Latin America 2030</t>
        </is>
      </c>
      <c r="O189" t="n">
        <v>2015</v>
      </c>
      <c r="P189" t="n">
        <v>2030</v>
      </c>
      <c r="Q189">
        <f>Q188*K189</f>
        <v/>
      </c>
    </row>
    <row r="190">
      <c r="A190" t="inlineStr">
        <is>
          <t>Rutovitz 2025</t>
        </is>
      </c>
      <c r="B190" t="inlineStr">
        <is>
          <t>Transmission (double circuit)</t>
        </is>
      </c>
      <c r="C190" t="inlineStr">
        <is>
          <t>Construction</t>
        </is>
      </c>
      <c r="D190" t="inlineStr">
        <is>
          <t>Direct</t>
        </is>
      </c>
      <c r="E190" t="inlineStr">
        <is>
          <t>job-yr/km</t>
        </is>
      </c>
      <c r="F190" t="n">
        <v>2024</v>
      </c>
      <c r="G190" t="inlineStr">
        <is>
          <t>3.7</t>
        </is>
      </c>
      <c r="H190" t="n">
        <v>3.7</v>
      </c>
      <c r="I190" t="inlineStr">
        <is>
          <t>Original</t>
        </is>
      </c>
      <c r="J190" t="inlineStr"/>
      <c r="K190" t="inlineStr"/>
      <c r="L190" t="inlineStr"/>
      <c r="M190" t="inlineStr"/>
      <c r="N190" t="inlineStr"/>
      <c r="O190" t="n">
        <v>2024</v>
      </c>
      <c r="P190" t="n">
        <v>2024</v>
      </c>
      <c r="Q190" t="n">
        <v>3.7</v>
      </c>
    </row>
    <row r="191">
      <c r="A191" t="inlineStr">
        <is>
          <t>Rutovitz 2025</t>
        </is>
      </c>
      <c r="B191" t="inlineStr">
        <is>
          <t>Transmission (other)</t>
        </is>
      </c>
      <c r="C191" t="inlineStr">
        <is>
          <t>Construction</t>
        </is>
      </c>
      <c r="D191" t="inlineStr">
        <is>
          <t>Direct</t>
        </is>
      </c>
      <c r="E191" t="inlineStr">
        <is>
          <t>job-yr/MUSD</t>
        </is>
      </c>
      <c r="F191" t="n">
        <v>2024</v>
      </c>
      <c r="G191" t="inlineStr">
        <is>
          <t>1.9</t>
        </is>
      </c>
      <c r="H191" t="n">
        <v>1.9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2024</v>
      </c>
      <c r="P191" t="n">
        <v>2024</v>
      </c>
      <c r="Q191" t="n">
        <v>1.9</v>
      </c>
    </row>
    <row r="192">
      <c r="A192" t="inlineStr">
        <is>
          <t>Rutovitz 2025</t>
        </is>
      </c>
      <c r="B192" t="inlineStr">
        <is>
          <t>Transmission (single circuit)</t>
        </is>
      </c>
      <c r="C192" t="inlineStr">
        <is>
          <t>Construction</t>
        </is>
      </c>
      <c r="D192" t="inlineStr">
        <is>
          <t>Direct</t>
        </is>
      </c>
      <c r="E192" t="inlineStr">
        <is>
          <t>job-yr/km</t>
        </is>
      </c>
      <c r="F192" t="n">
        <v>2024</v>
      </c>
      <c r="G192" t="inlineStr">
        <is>
          <t>0.7</t>
        </is>
      </c>
      <c r="H192" t="n">
        <v>0.7</v>
      </c>
      <c r="I192" t="inlineStr">
        <is>
          <t>Original</t>
        </is>
      </c>
      <c r="J192" t="inlineStr"/>
      <c r="K192" t="inlineStr"/>
      <c r="L192" t="inlineStr"/>
      <c r="M192" t="inlineStr"/>
      <c r="N192" t="inlineStr"/>
      <c r="O192" t="n">
        <v>2024</v>
      </c>
      <c r="P192" t="n">
        <v>2024</v>
      </c>
      <c r="Q192" t="n">
        <v>0.7</v>
      </c>
    </row>
    <row r="193">
      <c r="A193" t="inlineStr">
        <is>
          <t>JEDI-US</t>
        </is>
      </c>
      <c r="B193" t="inlineStr">
        <is>
          <t>Transmission (single circuit)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job-yr/mile</t>
        </is>
      </c>
      <c r="F193" t="n">
        <v>2024</v>
      </c>
      <c r="G193" t="inlineStr">
        <is>
          <t>0.12</t>
        </is>
      </c>
      <c r="H193" t="n">
        <v>0.12</v>
      </c>
      <c r="I193" t="inlineStr">
        <is>
          <t>Original</t>
        </is>
      </c>
      <c r="J193" t="inlineStr"/>
      <c r="K193" t="inlineStr"/>
      <c r="L193" t="inlineStr"/>
      <c r="M193" t="inlineStr"/>
      <c r="N193" t="inlineStr"/>
      <c r="O193" t="n">
        <v>2024</v>
      </c>
      <c r="P193" t="n">
        <v>2024</v>
      </c>
      <c r="Q193" t="n">
        <v>0.12</v>
      </c>
    </row>
    <row r="194">
      <c r="A194" t="inlineStr">
        <is>
          <t>JEDI-US</t>
        </is>
      </c>
      <c r="B194" t="inlineStr">
        <is>
          <t>Transmission (single circuit)</t>
        </is>
      </c>
      <c r="C194" t="inlineStr">
        <is>
          <t>Construction&amp;Manufacturing</t>
        </is>
      </c>
      <c r="D194" t="inlineStr">
        <is>
          <t>Indirect</t>
        </is>
      </c>
      <c r="E194" t="inlineStr">
        <is>
          <t>job-yr/mile</t>
        </is>
      </c>
      <c r="F194" t="n">
        <v>2024</v>
      </c>
      <c r="G194" t="inlineStr">
        <is>
          <t>0.3</t>
        </is>
      </c>
      <c r="H194" t="n">
        <v>0.3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</v>
      </c>
    </row>
    <row r="195">
      <c r="A195" t="inlineStr">
        <is>
          <t>JEDI-US</t>
        </is>
      </c>
      <c r="B195" t="inlineStr">
        <is>
          <t>Transmission (single circuit)</t>
        </is>
      </c>
      <c r="C195" t="inlineStr">
        <is>
          <t>Construction&amp;Manufacturing</t>
        </is>
      </c>
      <c r="D195" t="inlineStr">
        <is>
          <t>Induced</t>
        </is>
      </c>
      <c r="E195" t="inlineStr">
        <is>
          <t>job-yr/mile</t>
        </is>
      </c>
      <c r="F195" t="n">
        <v>2024</v>
      </c>
      <c r="G195" t="inlineStr">
        <is>
          <t>0.24</t>
        </is>
      </c>
      <c r="H195" t="n">
        <v>0.24</v>
      </c>
      <c r="I195" t="inlineStr">
        <is>
          <t>Original</t>
        </is>
      </c>
      <c r="J195" t="inlineStr"/>
      <c r="K195" t="inlineStr"/>
      <c r="L195" t="inlineStr"/>
      <c r="M195" t="inlineStr"/>
      <c r="N195" t="inlineStr"/>
      <c r="O195" t="n">
        <v>2024</v>
      </c>
      <c r="P195" t="n">
        <v>2024</v>
      </c>
      <c r="Q195" t="n">
        <v>0.24</v>
      </c>
    </row>
    <row r="196">
      <c r="A196" t="inlineStr">
        <is>
          <t>JEDI-US</t>
        </is>
      </c>
      <c r="B196" t="inlineStr">
        <is>
          <t>Transmission (single circuit)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job/mile</t>
        </is>
      </c>
      <c r="F196" t="n">
        <v>2024</v>
      </c>
      <c r="G196" t="inlineStr">
        <is>
          <t>0</t>
        </is>
      </c>
      <c r="H196" t="n">
        <v>0</v>
      </c>
      <c r="I196" t="inlineStr">
        <is>
          <t>Original</t>
        </is>
      </c>
      <c r="J196" t="inlineStr"/>
      <c r="K196" t="inlineStr"/>
      <c r="L196" t="inlineStr"/>
      <c r="M196" t="inlineStr"/>
      <c r="N196" t="inlineStr"/>
      <c r="O196" t="n">
        <v>2024</v>
      </c>
      <c r="P196" t="n">
        <v>2024</v>
      </c>
      <c r="Q196" t="n">
        <v>0</v>
      </c>
    </row>
    <row r="197">
      <c r="A197" t="inlineStr">
        <is>
          <t>JEDI-US</t>
        </is>
      </c>
      <c r="B197" t="inlineStr">
        <is>
          <t>Transmission (single circuit)</t>
        </is>
      </c>
      <c r="C197" t="inlineStr">
        <is>
          <t>O&amp;M</t>
        </is>
      </c>
      <c r="D197" t="inlineStr">
        <is>
          <t>Indirect</t>
        </is>
      </c>
      <c r="E197" t="inlineStr">
        <is>
          <t>job/mile</t>
        </is>
      </c>
      <c r="F197" t="n">
        <v>2024</v>
      </c>
      <c r="G197" t="inlineStr">
        <is>
          <t>0.026</t>
        </is>
      </c>
      <c r="H197" t="n">
        <v>0.026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2024</v>
      </c>
      <c r="P197" t="n">
        <v>2024</v>
      </c>
      <c r="Q197" t="n">
        <v>0.026</v>
      </c>
    </row>
    <row r="198">
      <c r="A198" t="inlineStr">
        <is>
          <t>JEDI-US</t>
        </is>
      </c>
      <c r="B198" t="inlineStr">
        <is>
          <t>Transmission (single circuit)</t>
        </is>
      </c>
      <c r="C198" t="inlineStr">
        <is>
          <t>O&amp;M</t>
        </is>
      </c>
      <c r="D198" t="inlineStr">
        <is>
          <t>Induced</t>
        </is>
      </c>
      <c r="E198" t="inlineStr">
        <is>
          <t>job/mile</t>
        </is>
      </c>
      <c r="F198" t="n">
        <v>2024</v>
      </c>
      <c r="G198" t="inlineStr">
        <is>
          <t>0.013</t>
        </is>
      </c>
      <c r="H198" t="n">
        <v>0.013</v>
      </c>
      <c r="I198" t="inlineStr">
        <is>
          <t>Original</t>
        </is>
      </c>
      <c r="J198" t="inlineStr"/>
      <c r="K198" t="inlineStr"/>
      <c r="L198" t="inlineStr"/>
      <c r="M198" t="inlineStr"/>
      <c r="N198" t="inlineStr"/>
      <c r="O198" t="n">
        <v>2024</v>
      </c>
      <c r="P198" t="n">
        <v>2024</v>
      </c>
      <c r="Q198" t="n">
        <v>0.013</v>
      </c>
    </row>
    <row r="199">
      <c r="A199" t="inlineStr">
        <is>
          <t>Rutovitz 2015</t>
        </is>
      </c>
      <c r="B199" t="inlineStr">
        <is>
          <t>Utility-scale solar PV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2015</v>
      </c>
      <c r="G199" t="inlineStr">
        <is>
          <t>13</t>
        </is>
      </c>
      <c r="H199" t="n">
        <v>13</v>
      </c>
      <c r="I199" t="inlineStr">
        <is>
          <t>Original</t>
        </is>
      </c>
      <c r="J199" t="inlineStr"/>
      <c r="K199" t="inlineStr"/>
      <c r="L199" t="inlineStr"/>
      <c r="M199" t="inlineStr"/>
      <c r="N199" t="inlineStr"/>
      <c r="O199" t="n">
        <v>2015</v>
      </c>
      <c r="P199" t="n">
        <v>2015</v>
      </c>
      <c r="Q199" t="n">
        <v>13</v>
      </c>
    </row>
    <row r="200">
      <c r="A200" t="inlineStr">
        <is>
          <t>Rutovitz 2015</t>
        </is>
      </c>
      <c r="B200" t="inlineStr">
        <is>
          <t>Utility-scale solar PV</t>
        </is>
      </c>
      <c r="C200" t="inlineStr">
        <is>
          <t>Construction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>
        <f>G199*K200</f>
        <v/>
      </c>
      <c r="H200">
        <f>H199*K200</f>
        <v/>
      </c>
      <c r="I200" t="inlineStr">
        <is>
          <t>Rutovitz Table 9 decline to 2030</t>
        </is>
      </c>
      <c r="J200" t="inlineStr">
        <is>
          <t>PV</t>
        </is>
      </c>
      <c r="K200">
        <f>INDEX(Mappings_Rutovitz!$D$2:$D$14,MATCH(J200,Mappings_Rutovitz!$B$2:$B$14,0))</f>
        <v/>
      </c>
      <c r="L200" t="inlineStr"/>
      <c r="M200" t="inlineStr"/>
      <c r="N200" t="inlineStr">
        <is>
          <t>Rutovitz Table 9 Latin America 2030</t>
        </is>
      </c>
      <c r="O200" t="n">
        <v>2015</v>
      </c>
      <c r="P200" t="n">
        <v>2030</v>
      </c>
      <c r="Q200">
        <f>Q199*K200</f>
        <v/>
      </c>
    </row>
    <row r="201">
      <c r="A201" t="inlineStr">
        <is>
          <t>Rutovitz 2025</t>
        </is>
      </c>
      <c r="B201" t="inlineStr">
        <is>
          <t>Utility-scale solar PV</t>
        </is>
      </c>
      <c r="C201" t="inlineStr">
        <is>
          <t>Construction</t>
        </is>
      </c>
      <c r="D201" t="inlineStr">
        <is>
          <t>Direct</t>
        </is>
      </c>
      <c r="E201" t="inlineStr">
        <is>
          <t>job-yr/MW</t>
        </is>
      </c>
      <c r="F201" t="n">
        <v>2024</v>
      </c>
      <c r="G201" t="inlineStr">
        <is>
          <t>1.61</t>
        </is>
      </c>
      <c r="H201" t="n">
        <v>1.61</v>
      </c>
      <c r="I201" t="inlineStr">
        <is>
          <t>Original</t>
        </is>
      </c>
      <c r="J201" t="inlineStr"/>
      <c r="K201" t="inlineStr"/>
      <c r="L201" t="inlineStr"/>
      <c r="M201" t="inlineStr"/>
      <c r="N201" t="inlineStr"/>
      <c r="O201" t="n">
        <v>2024</v>
      </c>
      <c r="P201" t="n">
        <v>2024</v>
      </c>
      <c r="Q201" t="n">
        <v>1.61</v>
      </c>
    </row>
    <row r="202">
      <c r="A202" t="inlineStr">
        <is>
          <t>I-JEDI</t>
        </is>
      </c>
      <c r="B202" t="inlineStr">
        <is>
          <t>Utility-scale solar PV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2024</v>
      </c>
      <c r="G202" t="inlineStr">
        <is>
          <t>9.97</t>
        </is>
      </c>
      <c r="H202" t="n">
        <v>9.970000000000001</v>
      </c>
      <c r="I202" t="inlineStr">
        <is>
          <t>Original</t>
        </is>
      </c>
      <c r="J202" t="inlineStr"/>
      <c r="K202" t="inlineStr"/>
      <c r="L202" t="inlineStr"/>
      <c r="M202" t="inlineStr"/>
      <c r="N202" t="inlineStr"/>
      <c r="O202" t="n">
        <v>2024</v>
      </c>
      <c r="P202" t="n">
        <v>2024</v>
      </c>
      <c r="Q202" t="n">
        <v>9.970000000000001</v>
      </c>
    </row>
    <row r="203">
      <c r="A203" t="inlineStr">
        <is>
          <t>I-JEDI</t>
        </is>
      </c>
      <c r="B203" t="inlineStr">
        <is>
          <t>Utility-scale solar PV</t>
        </is>
      </c>
      <c r="C203" t="inlineStr">
        <is>
          <t>Construction&amp;Manufacturing</t>
        </is>
      </c>
      <c r="D203" t="inlineStr">
        <is>
          <t>Indirect</t>
        </is>
      </c>
      <c r="E203" t="inlineStr">
        <is>
          <t>job-yr/MW</t>
        </is>
      </c>
      <c r="F203" t="n">
        <v>2024</v>
      </c>
      <c r="G203" t="inlineStr">
        <is>
          <t>6.364</t>
        </is>
      </c>
      <c r="H203" t="n">
        <v>6.364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2024</v>
      </c>
      <c r="P203" t="n">
        <v>2024</v>
      </c>
      <c r="Q203" t="n">
        <v>6.364</v>
      </c>
    </row>
    <row r="204">
      <c r="A204" t="inlineStr">
        <is>
          <t>I-JEDI</t>
        </is>
      </c>
      <c r="B204" t="inlineStr">
        <is>
          <t>Utility-scale solar PV</t>
        </is>
      </c>
      <c r="C204" t="inlineStr">
        <is>
          <t>Construction&amp;Manufacturing</t>
        </is>
      </c>
      <c r="D204" t="inlineStr">
        <is>
          <t>Induced</t>
        </is>
      </c>
      <c r="E204" t="inlineStr">
        <is>
          <t>job-yr/MW</t>
        </is>
      </c>
      <c r="F204" t="n">
        <v>2024</v>
      </c>
      <c r="G204" t="inlineStr">
        <is>
          <t>6.366</t>
        </is>
      </c>
      <c r="H204" t="n">
        <v>6.366</v>
      </c>
      <c r="I204" t="inlineStr">
        <is>
          <t>Original</t>
        </is>
      </c>
      <c r="J204" t="inlineStr"/>
      <c r="K204" t="inlineStr"/>
      <c r="L204" t="inlineStr"/>
      <c r="M204" t="inlineStr"/>
      <c r="N204" t="inlineStr"/>
      <c r="O204" t="n">
        <v>2024</v>
      </c>
      <c r="P204" t="n">
        <v>2024</v>
      </c>
      <c r="Q204" t="n">
        <v>6.366</v>
      </c>
    </row>
    <row r="205">
      <c r="A205" t="inlineStr">
        <is>
          <t>Rutovitz 2015</t>
        </is>
      </c>
      <c r="B205" t="inlineStr">
        <is>
          <t>Utility-scale solar PV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2015</v>
      </c>
      <c r="G205" t="inlineStr">
        <is>
          <t>6.7</t>
        </is>
      </c>
      <c r="H205" t="n">
        <v>6.7</v>
      </c>
      <c r="I205" t="inlineStr">
        <is>
          <t>Original</t>
        </is>
      </c>
      <c r="J205" t="inlineStr"/>
      <c r="K205" t="inlineStr"/>
      <c r="L205" t="inlineStr"/>
      <c r="M205" t="inlineStr"/>
      <c r="N205" t="inlineStr"/>
      <c r="O205" t="n">
        <v>2015</v>
      </c>
      <c r="P205" t="n">
        <v>2015</v>
      </c>
      <c r="Q205" t="n">
        <v>6.7</v>
      </c>
    </row>
    <row r="206">
      <c r="A206" t="inlineStr">
        <is>
          <t>Rutovitz 2015</t>
        </is>
      </c>
      <c r="B206" t="inlineStr">
        <is>
          <t>Utility-scale solar PV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2030</v>
      </c>
      <c r="G206">
        <f>G205*K206</f>
        <v/>
      </c>
      <c r="H206">
        <f>H205*K206</f>
        <v/>
      </c>
      <c r="I206" t="inlineStr">
        <is>
          <t>Rutovitz Table 9 decline to 2030</t>
        </is>
      </c>
      <c r="J206" t="inlineStr">
        <is>
          <t>PV</t>
        </is>
      </c>
      <c r="K206">
        <f>INDEX(Mappings_Rutovitz!$D$2:$D$14,MATCH(J206,Mappings_Rutovitz!$B$2:$B$14,0))</f>
        <v/>
      </c>
      <c r="L206" t="inlineStr"/>
      <c r="M206" t="inlineStr"/>
      <c r="N206" t="inlineStr">
        <is>
          <t>Rutovitz Table 9 Latin America 2030</t>
        </is>
      </c>
      <c r="O206" t="n">
        <v>2015</v>
      </c>
      <c r="P206" t="n">
        <v>2030</v>
      </c>
      <c r="Q206">
        <f>Q205*K206</f>
        <v/>
      </c>
    </row>
    <row r="207">
      <c r="A207" t="inlineStr">
        <is>
          <t>Rutovitz 2025</t>
        </is>
      </c>
      <c r="B207" t="inlineStr">
        <is>
          <t>Utility-scale solar PV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2024</v>
      </c>
      <c r="G207" t="inlineStr">
        <is>
          <t>3.08</t>
        </is>
      </c>
      <c r="H207" t="n">
        <v>3.08</v>
      </c>
      <c r="I207" t="inlineStr">
        <is>
          <t>Original</t>
        </is>
      </c>
      <c r="J207" t="inlineStr"/>
      <c r="K207" t="inlineStr"/>
      <c r="L207" t="inlineStr"/>
      <c r="M207" t="inlineStr"/>
      <c r="N207" t="inlineStr"/>
      <c r="O207" t="n">
        <v>2024</v>
      </c>
      <c r="P207" t="n">
        <v>2024</v>
      </c>
      <c r="Q207" t="n">
        <v>3.08</v>
      </c>
    </row>
    <row r="208">
      <c r="A208" t="inlineStr">
        <is>
          <t>I-JEDI</t>
        </is>
      </c>
      <c r="B208" t="inlineStr">
        <is>
          <t>Utility-scale solar PV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2024</v>
      </c>
      <c r="G208" t="inlineStr">
        <is>
          <t>0.0965</t>
        </is>
      </c>
      <c r="H208" t="n">
        <v>0.0965</v>
      </c>
      <c r="I208" t="inlineStr">
        <is>
          <t>Original</t>
        </is>
      </c>
      <c r="J208" t="inlineStr"/>
      <c r="K208" t="inlineStr"/>
      <c r="L208" t="inlineStr"/>
      <c r="M208" t="inlineStr"/>
      <c r="N208" t="inlineStr"/>
      <c r="O208" t="n">
        <v>2024</v>
      </c>
      <c r="P208" t="n">
        <v>2024</v>
      </c>
      <c r="Q208" t="n">
        <v>0.0965</v>
      </c>
    </row>
    <row r="209">
      <c r="A209" t="inlineStr">
        <is>
          <t>Rutovitz 2015</t>
        </is>
      </c>
      <c r="B209" t="inlineStr">
        <is>
          <t>Utility-scale solar PV</t>
        </is>
      </c>
      <c r="C209" t="inlineStr">
        <is>
          <t>O&amp;M</t>
        </is>
      </c>
      <c r="D209" t="inlineStr">
        <is>
          <t>Direct</t>
        </is>
      </c>
      <c r="E209" t="inlineStr">
        <is>
          <t>job/MW</t>
        </is>
      </c>
      <c r="F209" t="n">
        <v>2015</v>
      </c>
      <c r="G209" t="inlineStr">
        <is>
          <t>0.7</t>
        </is>
      </c>
      <c r="H209" t="n">
        <v>0.7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0.7</v>
      </c>
    </row>
    <row r="210">
      <c r="A210" t="inlineStr">
        <is>
          <t>Rutovitz 2015</t>
        </is>
      </c>
      <c r="B210" t="inlineStr">
        <is>
          <t>Utility-scale solar PV</t>
        </is>
      </c>
      <c r="C210" t="inlineStr">
        <is>
          <t>O&amp;M</t>
        </is>
      </c>
      <c r="D210" t="inlineStr">
        <is>
          <t>Direct</t>
        </is>
      </c>
      <c r="E210" t="inlineStr">
        <is>
          <t>job/MW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PV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2025</t>
        </is>
      </c>
      <c r="B211" t="inlineStr">
        <is>
          <t>Utility-scale solar PV</t>
        </is>
      </c>
      <c r="C211" t="inlineStr">
        <is>
          <t>O&amp;M</t>
        </is>
      </c>
      <c r="D211" t="inlineStr">
        <is>
          <t>Direct</t>
        </is>
      </c>
      <c r="E211" t="inlineStr">
        <is>
          <t>job/MW</t>
        </is>
      </c>
      <c r="F211" t="n">
        <v>2024</v>
      </c>
      <c r="G211" t="inlineStr">
        <is>
          <t>0.09</t>
        </is>
      </c>
      <c r="H211" t="n">
        <v>0.09</v>
      </c>
      <c r="I211" t="inlineStr">
        <is>
          <t>Original</t>
        </is>
      </c>
      <c r="J211" t="inlineStr"/>
      <c r="K211" t="inlineStr"/>
      <c r="L211" t="inlineStr"/>
      <c r="M211" t="inlineStr"/>
      <c r="N211" t="inlineStr"/>
      <c r="O211" t="n">
        <v>2024</v>
      </c>
      <c r="P211" t="n">
        <v>2024</v>
      </c>
      <c r="Q211" t="n">
        <v>0.09</v>
      </c>
    </row>
    <row r="212">
      <c r="A212" t="inlineStr">
        <is>
          <t>I-JEDI</t>
        </is>
      </c>
      <c r="B212" t="inlineStr">
        <is>
          <t>Utility-scale solar PV</t>
        </is>
      </c>
      <c r="C212" t="inlineStr">
        <is>
          <t>O&amp;M</t>
        </is>
      </c>
      <c r="D212" t="inlineStr">
        <is>
          <t>Indirect</t>
        </is>
      </c>
      <c r="E212" t="inlineStr">
        <is>
          <t>job/MW</t>
        </is>
      </c>
      <c r="F212" t="n">
        <v>2024</v>
      </c>
      <c r="G212" t="inlineStr">
        <is>
          <t>0.066</t>
        </is>
      </c>
      <c r="H212" t="n">
        <v>0.066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2024</v>
      </c>
      <c r="P212" t="n">
        <v>2024</v>
      </c>
      <c r="Q212" t="n">
        <v>0.066</v>
      </c>
    </row>
    <row r="213">
      <c r="A213" t="inlineStr">
        <is>
          <t>I-JEDI</t>
        </is>
      </c>
      <c r="B213" t="inlineStr">
        <is>
          <t>Utility-scale solar PV</t>
        </is>
      </c>
      <c r="C213" t="inlineStr">
        <is>
          <t>O&amp;M</t>
        </is>
      </c>
      <c r="D213" t="inlineStr">
        <is>
          <t>Induced</t>
        </is>
      </c>
      <c r="E213" t="inlineStr">
        <is>
          <t>job/MW</t>
        </is>
      </c>
      <c r="F213" t="n">
        <v>2024</v>
      </c>
      <c r="G213" t="inlineStr">
        <is>
          <t>0.0498</t>
        </is>
      </c>
      <c r="H213" t="n">
        <v>0.0498</v>
      </c>
      <c r="I213" t="inlineStr">
        <is>
          <t>Original</t>
        </is>
      </c>
      <c r="J213" t="inlineStr"/>
      <c r="K213" t="inlineStr"/>
      <c r="L213" t="inlineStr"/>
      <c r="M213" t="inlineStr"/>
      <c r="N213" t="inlineStr"/>
      <c r="O213" t="n">
        <v>2024</v>
      </c>
      <c r="P213" t="n">
        <v>2024</v>
      </c>
      <c r="Q213" t="n">
        <v>0.0498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2026-07-09T16:53:54Z</dcterms:created>
  <dcterms:modified xsi:type="dcterms:W3CDTF">2026-07-09T16:53:55Z</dcterms:modified>
</cp:coreProperties>
</file>